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erom\Downloads\"/>
    </mc:Choice>
  </mc:AlternateContent>
  <xr:revisionPtr revIDLastSave="0" documentId="8_{5F9DE103-9956-4ECE-91E1-B8AB663AB356}" xr6:coauthVersionLast="47" xr6:coauthVersionMax="47" xr10:uidLastSave="{00000000-0000-0000-0000-000000000000}"/>
  <bookViews>
    <workbookView xWindow="-120" yWindow="-120" windowWidth="29040" windowHeight="15720" tabRatio="500" activeTab="1" xr2:uid="{00000000-000D-0000-FFFF-FFFF00000000}"/>
  </bookViews>
  <sheets>
    <sheet name="How to Use" sheetId="1" r:id="rId1"/>
    <sheet name="Assumptions" sheetId="2" r:id="rId2"/>
    <sheet name="SPA Optimizer" sheetId="3" r:id="rId3"/>
    <sheet name="Customer View" sheetId="4" r:id="rId4"/>
    <sheet name="IML_IMIT Brief" sheetId="5" r:id="rId5"/>
    <sheet name="SPA Rationale" sheetId="6" r:id="rId6"/>
    <sheet name="Scenario Planner" sheetId="7" r:id="rId7"/>
    <sheet name="MD Approval Request"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3" i="8" l="1"/>
  <c r="D23" i="8"/>
  <c r="D19" i="8"/>
  <c r="D18" i="8"/>
  <c r="H16" i="8"/>
  <c r="B16" i="8"/>
  <c r="C12" i="8"/>
  <c r="C11" i="8"/>
  <c r="C5" i="8"/>
  <c r="B4" i="8"/>
  <c r="B8" i="7"/>
  <c r="B7" i="7"/>
  <c r="L57" i="5"/>
  <c r="K57" i="5"/>
  <c r="J57" i="5"/>
  <c r="F57" i="5"/>
  <c r="D57" i="5"/>
  <c r="C57" i="5"/>
  <c r="B57" i="5"/>
  <c r="A57" i="5"/>
  <c r="M56" i="5"/>
  <c r="L56" i="5"/>
  <c r="K56" i="5"/>
  <c r="J56" i="5"/>
  <c r="I56" i="5"/>
  <c r="H56" i="5"/>
  <c r="F56" i="5"/>
  <c r="D56" i="5"/>
  <c r="C56" i="5"/>
  <c r="B56" i="5"/>
  <c r="A56" i="5"/>
  <c r="L55" i="5"/>
  <c r="K55" i="5"/>
  <c r="J55" i="5"/>
  <c r="I55" i="5"/>
  <c r="F55" i="5"/>
  <c r="D55" i="5"/>
  <c r="C55" i="5"/>
  <c r="B55" i="5"/>
  <c r="A55" i="5"/>
  <c r="M54" i="5"/>
  <c r="L54" i="5"/>
  <c r="K54" i="5"/>
  <c r="J54" i="5"/>
  <c r="I54" i="5"/>
  <c r="H54" i="5"/>
  <c r="F54" i="5"/>
  <c r="D54" i="5"/>
  <c r="C54" i="5"/>
  <c r="B54" i="5"/>
  <c r="A54" i="5"/>
  <c r="L53" i="5"/>
  <c r="K53" i="5"/>
  <c r="J53" i="5"/>
  <c r="I53" i="5"/>
  <c r="F53" i="5"/>
  <c r="D53" i="5"/>
  <c r="C53" i="5"/>
  <c r="B53" i="5"/>
  <c r="A53" i="5"/>
  <c r="L52" i="5"/>
  <c r="K52" i="5"/>
  <c r="J52" i="5"/>
  <c r="F52" i="5"/>
  <c r="D52" i="5"/>
  <c r="C52" i="5"/>
  <c r="B52" i="5"/>
  <c r="A52" i="5"/>
  <c r="M51" i="5"/>
  <c r="L51" i="5"/>
  <c r="K51" i="5"/>
  <c r="J51" i="5"/>
  <c r="I51" i="5"/>
  <c r="H51" i="5"/>
  <c r="F51" i="5"/>
  <c r="E51" i="5"/>
  <c r="D51" i="5"/>
  <c r="C51" i="5"/>
  <c r="B51" i="5"/>
  <c r="A51" i="5"/>
  <c r="L50" i="5"/>
  <c r="K50" i="5"/>
  <c r="J50" i="5"/>
  <c r="H50" i="5"/>
  <c r="F50" i="5"/>
  <c r="D50" i="5"/>
  <c r="C50" i="5"/>
  <c r="B50" i="5"/>
  <c r="A50" i="5"/>
  <c r="L49" i="5"/>
  <c r="K49" i="5"/>
  <c r="J49" i="5"/>
  <c r="I49" i="5"/>
  <c r="F49" i="5"/>
  <c r="D49" i="5"/>
  <c r="C49" i="5"/>
  <c r="B49" i="5"/>
  <c r="A49" i="5"/>
  <c r="L48" i="5"/>
  <c r="K48" i="5"/>
  <c r="J48" i="5"/>
  <c r="F48" i="5"/>
  <c r="D48" i="5"/>
  <c r="C48" i="5"/>
  <c r="B48" i="5"/>
  <c r="A48" i="5"/>
  <c r="L47" i="5"/>
  <c r="K47" i="5"/>
  <c r="J47" i="5"/>
  <c r="I47" i="5"/>
  <c r="F47" i="5"/>
  <c r="D47" i="5"/>
  <c r="C47" i="5"/>
  <c r="B47" i="5"/>
  <c r="A47" i="5"/>
  <c r="L46" i="5"/>
  <c r="K46" i="5"/>
  <c r="J46" i="5"/>
  <c r="I46" i="5"/>
  <c r="H46" i="5"/>
  <c r="F46" i="5"/>
  <c r="E46" i="5"/>
  <c r="D46" i="5"/>
  <c r="C46" i="5"/>
  <c r="B46" i="5"/>
  <c r="A46" i="5"/>
  <c r="L45" i="5"/>
  <c r="K45" i="5"/>
  <c r="J45" i="5"/>
  <c r="F45" i="5"/>
  <c r="D45" i="5"/>
  <c r="C45" i="5"/>
  <c r="B45" i="5"/>
  <c r="A45" i="5"/>
  <c r="L44" i="5"/>
  <c r="K44" i="5"/>
  <c r="J44" i="5"/>
  <c r="I44" i="5"/>
  <c r="F44" i="5"/>
  <c r="D44" i="5"/>
  <c r="C44" i="5"/>
  <c r="B44" i="5"/>
  <c r="A44" i="5"/>
  <c r="L43" i="5"/>
  <c r="K43" i="5"/>
  <c r="J43" i="5"/>
  <c r="F43" i="5"/>
  <c r="D43" i="5"/>
  <c r="C43" i="5"/>
  <c r="B43" i="5"/>
  <c r="A43" i="5"/>
  <c r="M42" i="5"/>
  <c r="L42" i="5"/>
  <c r="K42" i="5"/>
  <c r="J42" i="5"/>
  <c r="I42" i="5"/>
  <c r="H42" i="5"/>
  <c r="F42" i="5"/>
  <c r="D42" i="5"/>
  <c r="C42" i="5"/>
  <c r="B42" i="5"/>
  <c r="A42" i="5"/>
  <c r="L41" i="5"/>
  <c r="K41" i="5"/>
  <c r="J41" i="5"/>
  <c r="F41" i="5"/>
  <c r="D41" i="5"/>
  <c r="C41" i="5"/>
  <c r="B41" i="5"/>
  <c r="A41" i="5"/>
  <c r="M40" i="5"/>
  <c r="L40" i="5"/>
  <c r="K40" i="5"/>
  <c r="J40" i="5"/>
  <c r="I40" i="5"/>
  <c r="H40" i="5"/>
  <c r="F40" i="5"/>
  <c r="D40" i="5"/>
  <c r="C40" i="5"/>
  <c r="B40" i="5"/>
  <c r="A40" i="5"/>
  <c r="L39" i="5"/>
  <c r="K39" i="5"/>
  <c r="J39" i="5"/>
  <c r="I39" i="5"/>
  <c r="F39" i="5"/>
  <c r="D39" i="5"/>
  <c r="C39" i="5"/>
  <c r="B39" i="5"/>
  <c r="A39" i="5"/>
  <c r="M38" i="5"/>
  <c r="L38" i="5"/>
  <c r="K38" i="5"/>
  <c r="J38" i="5"/>
  <c r="I38" i="5"/>
  <c r="F38" i="5"/>
  <c r="D38" i="5"/>
  <c r="C38" i="5"/>
  <c r="B38" i="5"/>
  <c r="A38" i="5"/>
  <c r="L37" i="5"/>
  <c r="K37" i="5"/>
  <c r="J37" i="5"/>
  <c r="I37" i="5"/>
  <c r="F37" i="5"/>
  <c r="D37" i="5"/>
  <c r="C37" i="5"/>
  <c r="B37" i="5"/>
  <c r="A37" i="5"/>
  <c r="M36" i="5"/>
  <c r="L36" i="5"/>
  <c r="K36" i="5"/>
  <c r="J36" i="5"/>
  <c r="F36" i="5"/>
  <c r="E36" i="5"/>
  <c r="D36" i="5"/>
  <c r="C36" i="5"/>
  <c r="B36" i="5"/>
  <c r="A36" i="5"/>
  <c r="L35" i="5"/>
  <c r="K35" i="5"/>
  <c r="J35" i="5"/>
  <c r="I35" i="5"/>
  <c r="H35" i="5"/>
  <c r="F35" i="5"/>
  <c r="E35" i="5"/>
  <c r="D35" i="5"/>
  <c r="C35" i="5"/>
  <c r="B35" i="5"/>
  <c r="A35" i="5"/>
  <c r="L34" i="5"/>
  <c r="K34" i="5"/>
  <c r="J34" i="5"/>
  <c r="I34" i="5"/>
  <c r="F34" i="5"/>
  <c r="E34" i="5"/>
  <c r="D34" i="5"/>
  <c r="C34" i="5"/>
  <c r="B34" i="5"/>
  <c r="A34" i="5"/>
  <c r="L33" i="5"/>
  <c r="K33" i="5"/>
  <c r="J33" i="5"/>
  <c r="I33" i="5"/>
  <c r="F33" i="5"/>
  <c r="D33" i="5"/>
  <c r="C33" i="5"/>
  <c r="B33" i="5"/>
  <c r="A33" i="5"/>
  <c r="L32" i="5"/>
  <c r="K32" i="5"/>
  <c r="J32" i="5"/>
  <c r="I32" i="5"/>
  <c r="H32" i="5"/>
  <c r="F32" i="5"/>
  <c r="D32" i="5"/>
  <c r="C32" i="5"/>
  <c r="B32" i="5"/>
  <c r="A32" i="5"/>
  <c r="L31" i="5"/>
  <c r="K31" i="5"/>
  <c r="J31" i="5"/>
  <c r="I31" i="5"/>
  <c r="F31" i="5"/>
  <c r="D31" i="5"/>
  <c r="C31" i="5"/>
  <c r="B31" i="5"/>
  <c r="A31" i="5"/>
  <c r="L30" i="5"/>
  <c r="K30" i="5"/>
  <c r="J30" i="5"/>
  <c r="F30" i="5"/>
  <c r="E30" i="5"/>
  <c r="D30" i="5"/>
  <c r="C30" i="5"/>
  <c r="B30" i="5"/>
  <c r="A30" i="5"/>
  <c r="L29" i="5"/>
  <c r="K29" i="5"/>
  <c r="J29" i="5"/>
  <c r="F29" i="5"/>
  <c r="D29" i="5"/>
  <c r="C29" i="5"/>
  <c r="B29" i="5"/>
  <c r="A29" i="5"/>
  <c r="M28" i="5"/>
  <c r="L28" i="5"/>
  <c r="K28" i="5"/>
  <c r="J28" i="5"/>
  <c r="I28" i="5"/>
  <c r="H28" i="5"/>
  <c r="F28" i="5"/>
  <c r="D28" i="5"/>
  <c r="C28" i="5"/>
  <c r="B28" i="5"/>
  <c r="A28" i="5"/>
  <c r="A27" i="5"/>
  <c r="L26" i="5"/>
  <c r="K26" i="5"/>
  <c r="J26" i="5"/>
  <c r="F26" i="5"/>
  <c r="D26" i="5"/>
  <c r="C26" i="5"/>
  <c r="B26" i="5"/>
  <c r="A26" i="5"/>
  <c r="L25" i="5"/>
  <c r="K25" i="5"/>
  <c r="J25" i="5"/>
  <c r="F25" i="5"/>
  <c r="D25" i="5"/>
  <c r="C25" i="5"/>
  <c r="B25" i="5"/>
  <c r="A25" i="5"/>
  <c r="L24" i="5"/>
  <c r="K24" i="5"/>
  <c r="J24" i="5"/>
  <c r="G24" i="5"/>
  <c r="F24" i="5"/>
  <c r="E24" i="5"/>
  <c r="D24" i="5"/>
  <c r="C24" i="5"/>
  <c r="B24" i="5"/>
  <c r="A24" i="5"/>
  <c r="L23" i="5"/>
  <c r="L58" i="5" s="1"/>
  <c r="K23" i="5"/>
  <c r="J23" i="5"/>
  <c r="F23" i="5"/>
  <c r="D23" i="5"/>
  <c r="C23" i="5"/>
  <c r="B23" i="5"/>
  <c r="A23" i="5"/>
  <c r="M22" i="5"/>
  <c r="L22" i="5"/>
  <c r="K22" i="5"/>
  <c r="J22" i="5"/>
  <c r="I22" i="5"/>
  <c r="H22" i="5"/>
  <c r="F22" i="5"/>
  <c r="D22" i="5"/>
  <c r="C22" i="5"/>
  <c r="B22" i="5"/>
  <c r="A22" i="5"/>
  <c r="L21" i="5"/>
  <c r="K21" i="5"/>
  <c r="J21" i="5"/>
  <c r="I21" i="5"/>
  <c r="F21" i="5"/>
  <c r="D21" i="5"/>
  <c r="C21" i="5"/>
  <c r="B21" i="5"/>
  <c r="A21" i="5"/>
  <c r="L20" i="5"/>
  <c r="K20" i="5"/>
  <c r="J20" i="5"/>
  <c r="F20" i="5"/>
  <c r="D20" i="5"/>
  <c r="C20" i="5"/>
  <c r="B20" i="5"/>
  <c r="A20" i="5"/>
  <c r="L19" i="5"/>
  <c r="K19" i="5"/>
  <c r="J19" i="5"/>
  <c r="G19" i="5"/>
  <c r="F19" i="5"/>
  <c r="D19" i="5"/>
  <c r="C19" i="5"/>
  <c r="B19" i="5"/>
  <c r="A19" i="5"/>
  <c r="L18" i="5"/>
  <c r="K18" i="5"/>
  <c r="J18" i="5"/>
  <c r="F18" i="5"/>
  <c r="D18" i="5"/>
  <c r="C18" i="5"/>
  <c r="B18" i="5"/>
  <c r="A18" i="5"/>
  <c r="L17" i="5"/>
  <c r="K17" i="5"/>
  <c r="J17" i="5"/>
  <c r="I17" i="5"/>
  <c r="H17" i="5"/>
  <c r="F17" i="5"/>
  <c r="D17" i="5"/>
  <c r="C17" i="5"/>
  <c r="B17" i="5"/>
  <c r="A17" i="5"/>
  <c r="L16" i="5"/>
  <c r="K16" i="5"/>
  <c r="J16" i="5"/>
  <c r="F16" i="5"/>
  <c r="D16" i="5"/>
  <c r="C16" i="5"/>
  <c r="B16" i="5"/>
  <c r="A16" i="5"/>
  <c r="L15" i="5"/>
  <c r="K15" i="5"/>
  <c r="J15" i="5"/>
  <c r="G15" i="5"/>
  <c r="F15" i="5"/>
  <c r="D15" i="5"/>
  <c r="C15" i="5"/>
  <c r="B15" i="5"/>
  <c r="A15" i="5"/>
  <c r="M14" i="5"/>
  <c r="L14" i="5"/>
  <c r="K14" i="5"/>
  <c r="J14" i="5"/>
  <c r="I14" i="5"/>
  <c r="F14" i="5"/>
  <c r="D14" i="5"/>
  <c r="C14" i="5"/>
  <c r="B14" i="5"/>
  <c r="A14" i="5"/>
  <c r="L13" i="5"/>
  <c r="K13" i="5"/>
  <c r="J13" i="5"/>
  <c r="I13" i="5"/>
  <c r="F13" i="5"/>
  <c r="D13" i="5"/>
  <c r="C13" i="5"/>
  <c r="B13" i="5"/>
  <c r="A13" i="5"/>
  <c r="L12" i="5"/>
  <c r="K12" i="5"/>
  <c r="J12" i="5"/>
  <c r="I12" i="5"/>
  <c r="F12" i="5"/>
  <c r="D12" i="5"/>
  <c r="C12" i="5"/>
  <c r="B12" i="5"/>
  <c r="A12" i="5"/>
  <c r="M11" i="5"/>
  <c r="L11" i="5"/>
  <c r="K11" i="5"/>
  <c r="J11" i="5"/>
  <c r="I11" i="5"/>
  <c r="G11" i="5"/>
  <c r="F11" i="5"/>
  <c r="D11" i="5"/>
  <c r="C11" i="5"/>
  <c r="B11" i="5"/>
  <c r="A11" i="5"/>
  <c r="L10" i="5"/>
  <c r="K10" i="5"/>
  <c r="J10" i="5"/>
  <c r="F10" i="5"/>
  <c r="E10" i="5"/>
  <c r="D10" i="5"/>
  <c r="C10" i="5"/>
  <c r="B10" i="5"/>
  <c r="A10" i="5"/>
  <c r="L9" i="5"/>
  <c r="K9" i="5"/>
  <c r="J9" i="5"/>
  <c r="I9" i="5"/>
  <c r="F9" i="5"/>
  <c r="D9" i="5"/>
  <c r="C9" i="5"/>
  <c r="B9" i="5"/>
  <c r="A9" i="5"/>
  <c r="L8" i="5"/>
  <c r="K8" i="5"/>
  <c r="J8" i="5"/>
  <c r="I8" i="5"/>
  <c r="F8" i="5"/>
  <c r="D8" i="5"/>
  <c r="C8" i="5"/>
  <c r="B8" i="5"/>
  <c r="A8" i="5"/>
  <c r="L7" i="5"/>
  <c r="K7" i="5"/>
  <c r="J7" i="5"/>
  <c r="F7" i="5"/>
  <c r="D7" i="5"/>
  <c r="C7" i="5"/>
  <c r="B7" i="5"/>
  <c r="A7" i="5"/>
  <c r="L6" i="5"/>
  <c r="K6" i="5"/>
  <c r="J6" i="5"/>
  <c r="F6" i="5"/>
  <c r="D6" i="5"/>
  <c r="C6" i="5"/>
  <c r="B6" i="5"/>
  <c r="A6" i="5"/>
  <c r="L5" i="5"/>
  <c r="K5" i="5"/>
  <c r="J5" i="5"/>
  <c r="F5" i="5"/>
  <c r="D5" i="5"/>
  <c r="C5" i="5"/>
  <c r="B5" i="5"/>
  <c r="A5" i="5"/>
  <c r="K60" i="3"/>
  <c r="G60" i="3"/>
  <c r="D35" i="8" s="1"/>
  <c r="F60" i="3"/>
  <c r="D34" i="8" s="1"/>
  <c r="E60" i="3"/>
  <c r="AA58" i="3"/>
  <c r="Z58" i="3"/>
  <c r="I57" i="5" s="1"/>
  <c r="X58" i="3"/>
  <c r="Y58" i="3" s="1"/>
  <c r="AB58" i="3" s="1"/>
  <c r="W58" i="3"/>
  <c r="V58" i="3"/>
  <c r="T58" i="3"/>
  <c r="S58" i="3"/>
  <c r="U58" i="3" s="1"/>
  <c r="Q58" i="3"/>
  <c r="R58" i="3" s="1"/>
  <c r="L57" i="4" s="1"/>
  <c r="O58" i="3"/>
  <c r="N58" i="3"/>
  <c r="M58" i="3"/>
  <c r="L58" i="3"/>
  <c r="P58" i="3" s="1"/>
  <c r="H58" i="3"/>
  <c r="I58" i="3" s="1"/>
  <c r="E57" i="5" s="1"/>
  <c r="AB57" i="3"/>
  <c r="AA57" i="3"/>
  <c r="Z57" i="3"/>
  <c r="X57" i="3"/>
  <c r="Y57" i="3" s="1"/>
  <c r="W57" i="3"/>
  <c r="V57" i="3"/>
  <c r="T57" i="3"/>
  <c r="S57" i="3"/>
  <c r="U57" i="3" s="1"/>
  <c r="P57" i="3"/>
  <c r="M57" i="3"/>
  <c r="N57" i="3" s="1"/>
  <c r="L57" i="3"/>
  <c r="H56" i="4" s="1"/>
  <c r="I57" i="3"/>
  <c r="E56" i="5" s="1"/>
  <c r="H57" i="3"/>
  <c r="Z56" i="3"/>
  <c r="X56" i="3"/>
  <c r="Y56" i="3" s="1"/>
  <c r="AB56" i="3" s="1"/>
  <c r="W56" i="3"/>
  <c r="V56" i="3"/>
  <c r="M56" i="3"/>
  <c r="N56" i="3" s="1"/>
  <c r="L56" i="3"/>
  <c r="P56" i="3" s="1"/>
  <c r="H56" i="3"/>
  <c r="AA56" i="3" s="1"/>
  <c r="AA55" i="3"/>
  <c r="Z55" i="3"/>
  <c r="X55" i="3"/>
  <c r="W55" i="3"/>
  <c r="V55" i="3"/>
  <c r="M55" i="3"/>
  <c r="N55" i="3" s="1"/>
  <c r="L55" i="3"/>
  <c r="H55" i="3"/>
  <c r="Z54" i="3"/>
  <c r="X54" i="3"/>
  <c r="W54" i="3"/>
  <c r="V54" i="3"/>
  <c r="N54" i="3"/>
  <c r="M54" i="3"/>
  <c r="L54" i="3"/>
  <c r="P54" i="3" s="1"/>
  <c r="H54" i="3"/>
  <c r="AA53" i="3"/>
  <c r="H52" i="5" s="1"/>
  <c r="Z53" i="3"/>
  <c r="I52" i="5" s="1"/>
  <c r="X53" i="3"/>
  <c r="Y53" i="3" s="1"/>
  <c r="AB53" i="3" s="1"/>
  <c r="W53" i="3"/>
  <c r="V53" i="3"/>
  <c r="T53" i="3"/>
  <c r="M53" i="3"/>
  <c r="N53" i="3" s="1"/>
  <c r="L53" i="3"/>
  <c r="P53" i="3" s="1"/>
  <c r="H53" i="3"/>
  <c r="I53" i="3" s="1"/>
  <c r="E52" i="5" s="1"/>
  <c r="AA52" i="3"/>
  <c r="Z52" i="3"/>
  <c r="X52" i="3"/>
  <c r="Y52" i="3" s="1"/>
  <c r="AB52" i="3" s="1"/>
  <c r="W52" i="3"/>
  <c r="V52" i="3"/>
  <c r="T52" i="3"/>
  <c r="S52" i="3"/>
  <c r="U52" i="3" s="1"/>
  <c r="Q52" i="3"/>
  <c r="R52" i="3" s="1"/>
  <c r="L51" i="4" s="1"/>
  <c r="P52" i="3"/>
  <c r="O52" i="3"/>
  <c r="M52" i="3"/>
  <c r="N52" i="3" s="1"/>
  <c r="L52" i="3"/>
  <c r="H52" i="3"/>
  <c r="I52" i="3" s="1"/>
  <c r="AA51" i="3"/>
  <c r="M50" i="5" s="1"/>
  <c r="Z51" i="3"/>
  <c r="I50" i="5" s="1"/>
  <c r="Y51" i="3"/>
  <c r="AB51" i="3" s="1"/>
  <c r="X51" i="3"/>
  <c r="W51" i="3"/>
  <c r="V51" i="3"/>
  <c r="U51" i="3"/>
  <c r="T51" i="3"/>
  <c r="S51" i="3"/>
  <c r="M51" i="3"/>
  <c r="N51" i="3" s="1"/>
  <c r="L51" i="3"/>
  <c r="I51" i="3"/>
  <c r="E50" i="5" s="1"/>
  <c r="H51" i="3"/>
  <c r="Z50" i="3"/>
  <c r="X50" i="3"/>
  <c r="W50" i="3"/>
  <c r="V50" i="3"/>
  <c r="M50" i="3"/>
  <c r="N50" i="3" s="1"/>
  <c r="L50" i="3"/>
  <c r="I49" i="4" s="1"/>
  <c r="H50" i="3"/>
  <c r="Z49" i="3"/>
  <c r="I48" i="5" s="1"/>
  <c r="X49" i="3"/>
  <c r="W49" i="3"/>
  <c r="V49" i="3"/>
  <c r="M49" i="3"/>
  <c r="N49" i="3" s="1"/>
  <c r="L49" i="3"/>
  <c r="P49" i="3" s="1"/>
  <c r="H49" i="3"/>
  <c r="AA48" i="3"/>
  <c r="H47" i="5" s="1"/>
  <c r="Z48" i="3"/>
  <c r="X48" i="3"/>
  <c r="Y48" i="3" s="1"/>
  <c r="AB48" i="3" s="1"/>
  <c r="W48" i="3"/>
  <c r="V48" i="3"/>
  <c r="S48" i="3"/>
  <c r="U48" i="3" s="1"/>
  <c r="M48" i="3"/>
  <c r="N48" i="3" s="1"/>
  <c r="L48" i="3"/>
  <c r="P48" i="3" s="1"/>
  <c r="H48" i="3"/>
  <c r="T48" i="3" s="1"/>
  <c r="AA47" i="3"/>
  <c r="M46" i="5" s="1"/>
  <c r="Z47" i="3"/>
  <c r="X47" i="3"/>
  <c r="Y47" i="3" s="1"/>
  <c r="AB47" i="3" s="1"/>
  <c r="W47" i="3"/>
  <c r="V47" i="3"/>
  <c r="T47" i="3"/>
  <c r="S47" i="3"/>
  <c r="U47" i="3" s="1"/>
  <c r="P47" i="3"/>
  <c r="N47" i="3"/>
  <c r="M47" i="3"/>
  <c r="L47" i="3"/>
  <c r="H47" i="3"/>
  <c r="I47" i="3" s="1"/>
  <c r="AA46" i="3"/>
  <c r="H45" i="5" s="1"/>
  <c r="Z46" i="3"/>
  <c r="I45" i="5" s="1"/>
  <c r="X46" i="3"/>
  <c r="Y46" i="3" s="1"/>
  <c r="AB46" i="3" s="1"/>
  <c r="W46" i="3"/>
  <c r="V46" i="3"/>
  <c r="T46" i="3"/>
  <c r="S46" i="3"/>
  <c r="U46" i="3" s="1"/>
  <c r="M46" i="3"/>
  <c r="N46" i="3" s="1"/>
  <c r="O46" i="3" s="1"/>
  <c r="L46" i="3"/>
  <c r="I46" i="3"/>
  <c r="E45" i="5" s="1"/>
  <c r="H46" i="3"/>
  <c r="Z45" i="3"/>
  <c r="X45" i="3"/>
  <c r="Y45" i="3" s="1"/>
  <c r="AB45" i="3" s="1"/>
  <c r="W45" i="3"/>
  <c r="V45" i="3"/>
  <c r="P45" i="3"/>
  <c r="M45" i="3"/>
  <c r="N45" i="3" s="1"/>
  <c r="L45" i="3"/>
  <c r="H45" i="3"/>
  <c r="Z44" i="3"/>
  <c r="I43" i="5" s="1"/>
  <c r="X44" i="3"/>
  <c r="Y44" i="3" s="1"/>
  <c r="AB44" i="3" s="1"/>
  <c r="W44" i="3"/>
  <c r="V44" i="3"/>
  <c r="M44" i="3"/>
  <c r="N44" i="3" s="1"/>
  <c r="L44" i="3"/>
  <c r="H44" i="3"/>
  <c r="I44" i="3" s="1"/>
  <c r="E43" i="5" s="1"/>
  <c r="Z43" i="3"/>
  <c r="X43" i="3"/>
  <c r="Y43" i="3" s="1"/>
  <c r="AB43" i="3" s="1"/>
  <c r="W43" i="3"/>
  <c r="V43" i="3"/>
  <c r="S43" i="3"/>
  <c r="U43" i="3" s="1"/>
  <c r="M43" i="3"/>
  <c r="N43" i="3" s="1"/>
  <c r="L43" i="3"/>
  <c r="P43" i="3" s="1"/>
  <c r="H43" i="3"/>
  <c r="AA43" i="3" s="1"/>
  <c r="AA42" i="3"/>
  <c r="M41" i="5" s="1"/>
  <c r="Z42" i="3"/>
  <c r="I41" i="5" s="1"/>
  <c r="X42" i="3"/>
  <c r="Y42" i="3" s="1"/>
  <c r="AB42" i="3" s="1"/>
  <c r="W42" i="3"/>
  <c r="V42" i="3"/>
  <c r="T42" i="3"/>
  <c r="S42" i="3"/>
  <c r="U42" i="3" s="1"/>
  <c r="R42" i="3"/>
  <c r="L41" i="4" s="1"/>
  <c r="Q42" i="3"/>
  <c r="O42" i="3"/>
  <c r="N42" i="3"/>
  <c r="M42" i="3"/>
  <c r="L42" i="3"/>
  <c r="P42" i="3" s="1"/>
  <c r="H42" i="3"/>
  <c r="I42" i="3" s="1"/>
  <c r="E41" i="5" s="1"/>
  <c r="AA41" i="3"/>
  <c r="Z41" i="3"/>
  <c r="X41" i="3"/>
  <c r="Y41" i="3" s="1"/>
  <c r="AB41" i="3" s="1"/>
  <c r="W41" i="3"/>
  <c r="V41" i="3"/>
  <c r="T41" i="3"/>
  <c r="S41" i="3"/>
  <c r="U41" i="3" s="1"/>
  <c r="P41" i="3"/>
  <c r="M41" i="3"/>
  <c r="N41" i="3" s="1"/>
  <c r="L41" i="3"/>
  <c r="I41" i="3"/>
  <c r="E40" i="5" s="1"/>
  <c r="H41" i="3"/>
  <c r="Z40" i="3"/>
  <c r="X40" i="3"/>
  <c r="Y40" i="3" s="1"/>
  <c r="AB40" i="3" s="1"/>
  <c r="W40" i="3"/>
  <c r="V40" i="3"/>
  <c r="N40" i="3"/>
  <c r="O40" i="3" s="1"/>
  <c r="M40" i="3"/>
  <c r="L40" i="3"/>
  <c r="P40" i="3" s="1"/>
  <c r="H40" i="3"/>
  <c r="T40" i="3" s="1"/>
  <c r="AA39" i="3"/>
  <c r="H38" i="5" s="1"/>
  <c r="Z39" i="3"/>
  <c r="Y39" i="3"/>
  <c r="AB39" i="3" s="1"/>
  <c r="X39" i="3"/>
  <c r="W39" i="3"/>
  <c r="V39" i="3"/>
  <c r="S39" i="3"/>
  <c r="U39" i="3" s="1"/>
  <c r="M39" i="3"/>
  <c r="N39" i="3" s="1"/>
  <c r="L39" i="3"/>
  <c r="P39" i="3" s="1"/>
  <c r="I39" i="3"/>
  <c r="E38" i="5" s="1"/>
  <c r="H39" i="3"/>
  <c r="T39" i="3" s="1"/>
  <c r="Z38" i="3"/>
  <c r="X38" i="3"/>
  <c r="Y38" i="3" s="1"/>
  <c r="AB38" i="3" s="1"/>
  <c r="W38" i="3"/>
  <c r="V38" i="3"/>
  <c r="P38" i="3"/>
  <c r="N38" i="3"/>
  <c r="M38" i="3"/>
  <c r="L38" i="3"/>
  <c r="H38" i="3"/>
  <c r="AA37" i="3"/>
  <c r="H36" i="5" s="1"/>
  <c r="Z37" i="3"/>
  <c r="I36" i="5" s="1"/>
  <c r="Y37" i="3"/>
  <c r="AB37" i="3" s="1"/>
  <c r="X37" i="3"/>
  <c r="W37" i="3"/>
  <c r="V37" i="3"/>
  <c r="U37" i="3"/>
  <c r="T37" i="3"/>
  <c r="S37" i="3"/>
  <c r="M37" i="3"/>
  <c r="N37" i="3" s="1"/>
  <c r="O37" i="3" s="1"/>
  <c r="L37" i="3"/>
  <c r="P37" i="3" s="1"/>
  <c r="I37" i="3"/>
  <c r="H37" i="3"/>
  <c r="Z36" i="3"/>
  <c r="X36" i="3"/>
  <c r="Y36" i="3" s="1"/>
  <c r="AB36" i="3" s="1"/>
  <c r="W36" i="3"/>
  <c r="V36" i="3"/>
  <c r="U36" i="3"/>
  <c r="T36" i="3"/>
  <c r="S36" i="3"/>
  <c r="P36" i="3"/>
  <c r="M36" i="3"/>
  <c r="N36" i="3" s="1"/>
  <c r="O36" i="3" s="1"/>
  <c r="L36" i="3"/>
  <c r="I36" i="3"/>
  <c r="H36" i="3"/>
  <c r="AA36" i="3" s="1"/>
  <c r="M35" i="5" s="1"/>
  <c r="AA35" i="3"/>
  <c r="M34" i="5" s="1"/>
  <c r="Z35" i="3"/>
  <c r="X35" i="3"/>
  <c r="Y35" i="3" s="1"/>
  <c r="AB35" i="3" s="1"/>
  <c r="W35" i="3"/>
  <c r="V35" i="3"/>
  <c r="T35" i="3"/>
  <c r="S35" i="3"/>
  <c r="U35" i="3" s="1"/>
  <c r="M35" i="3"/>
  <c r="N35" i="3" s="1"/>
  <c r="L35" i="3"/>
  <c r="I35" i="3"/>
  <c r="H35" i="3"/>
  <c r="Z34" i="3"/>
  <c r="X34" i="3"/>
  <c r="Y34" i="3" s="1"/>
  <c r="AB34" i="3" s="1"/>
  <c r="W34" i="3"/>
  <c r="V34" i="3"/>
  <c r="M34" i="3"/>
  <c r="N34" i="3" s="1"/>
  <c r="L34" i="3"/>
  <c r="P34" i="3" s="1"/>
  <c r="H34" i="3"/>
  <c r="I34" i="3" s="1"/>
  <c r="E33" i="5" s="1"/>
  <c r="AA33" i="3"/>
  <c r="M32" i="5" s="1"/>
  <c r="Z33" i="3"/>
  <c r="Y33" i="3"/>
  <c r="AB33" i="3" s="1"/>
  <c r="X33" i="3"/>
  <c r="W33" i="3"/>
  <c r="V33" i="3"/>
  <c r="M33" i="3"/>
  <c r="N33" i="3" s="1"/>
  <c r="L33" i="3"/>
  <c r="I33" i="3"/>
  <c r="E32" i="5" s="1"/>
  <c r="H33" i="3"/>
  <c r="Z32" i="3"/>
  <c r="X32" i="3"/>
  <c r="W32" i="3"/>
  <c r="V32" i="3"/>
  <c r="P32" i="3"/>
  <c r="N32" i="3"/>
  <c r="M32" i="3"/>
  <c r="L32" i="3"/>
  <c r="H32" i="3"/>
  <c r="AA31" i="3"/>
  <c r="M30" i="5" s="1"/>
  <c r="Z31" i="3"/>
  <c r="I30" i="5" s="1"/>
  <c r="X31" i="3"/>
  <c r="Y31" i="3" s="1"/>
  <c r="AB31" i="3" s="1"/>
  <c r="W31" i="3"/>
  <c r="V31" i="3"/>
  <c r="M31" i="3"/>
  <c r="N31" i="3" s="1"/>
  <c r="L31" i="3"/>
  <c r="P31" i="3" s="1"/>
  <c r="H31" i="3"/>
  <c r="I31" i="3" s="1"/>
  <c r="Z30" i="3"/>
  <c r="I29" i="5" s="1"/>
  <c r="X30" i="3"/>
  <c r="Y30" i="3" s="1"/>
  <c r="AB30" i="3" s="1"/>
  <c r="W30" i="3"/>
  <c r="V30" i="3"/>
  <c r="T30" i="3"/>
  <c r="S30" i="3"/>
  <c r="U30" i="3" s="1"/>
  <c r="Q30" i="3"/>
  <c r="R30" i="3" s="1"/>
  <c r="L29" i="4" s="1"/>
  <c r="P30" i="3"/>
  <c r="O30" i="3"/>
  <c r="G29" i="5" s="1"/>
  <c r="M30" i="3"/>
  <c r="N30" i="3" s="1"/>
  <c r="L30" i="3"/>
  <c r="H30" i="3"/>
  <c r="I30" i="3" s="1"/>
  <c r="E29" i="5" s="1"/>
  <c r="AA29" i="3"/>
  <c r="Z29" i="3"/>
  <c r="Y29" i="3"/>
  <c r="AB29" i="3" s="1"/>
  <c r="X29" i="3"/>
  <c r="W29" i="3"/>
  <c r="V29" i="3"/>
  <c r="U29" i="3"/>
  <c r="T29" i="3"/>
  <c r="S29" i="3"/>
  <c r="N29" i="3"/>
  <c r="M29" i="3"/>
  <c r="L29" i="3"/>
  <c r="I29" i="3"/>
  <c r="E28" i="5" s="1"/>
  <c r="H29" i="3"/>
  <c r="Z28" i="3"/>
  <c r="X28" i="3"/>
  <c r="W28" i="3"/>
  <c r="V28" i="3"/>
  <c r="M28" i="3"/>
  <c r="N28" i="3" s="1"/>
  <c r="L28" i="3"/>
  <c r="P28" i="3" s="1"/>
  <c r="H28" i="3"/>
  <c r="Z27" i="3"/>
  <c r="I26" i="5" s="1"/>
  <c r="X27" i="3"/>
  <c r="W27" i="3"/>
  <c r="V27" i="3"/>
  <c r="S27" i="3"/>
  <c r="U27" i="3" s="1"/>
  <c r="M27" i="3"/>
  <c r="N27" i="3" s="1"/>
  <c r="L27" i="3"/>
  <c r="I27" i="3"/>
  <c r="E26" i="5" s="1"/>
  <c r="H27" i="3"/>
  <c r="Z26" i="3"/>
  <c r="I25" i="5" s="1"/>
  <c r="X26" i="3"/>
  <c r="W26" i="3"/>
  <c r="V26" i="3"/>
  <c r="P26" i="3"/>
  <c r="N26" i="3"/>
  <c r="M26" i="3"/>
  <c r="L26" i="3"/>
  <c r="H26" i="3"/>
  <c r="AA25" i="3"/>
  <c r="Z25" i="3"/>
  <c r="I24" i="5" s="1"/>
  <c r="X25" i="3"/>
  <c r="Y25" i="3" s="1"/>
  <c r="AB25" i="3" s="1"/>
  <c r="W25" i="3"/>
  <c r="V25" i="3"/>
  <c r="P25" i="3"/>
  <c r="N25" i="3"/>
  <c r="M25" i="3"/>
  <c r="L25" i="3"/>
  <c r="O25" i="3" s="1"/>
  <c r="I25" i="3"/>
  <c r="H25" i="3"/>
  <c r="T25" i="3" s="1"/>
  <c r="Z24" i="3"/>
  <c r="I23" i="5" s="1"/>
  <c r="X24" i="3"/>
  <c r="Y24" i="3" s="1"/>
  <c r="AB24" i="3" s="1"/>
  <c r="W24" i="3"/>
  <c r="V24" i="3"/>
  <c r="T24" i="3"/>
  <c r="S24" i="3"/>
  <c r="U24" i="3" s="1"/>
  <c r="N24" i="3"/>
  <c r="M24" i="3"/>
  <c r="L24" i="3"/>
  <c r="H23" i="4" s="1"/>
  <c r="I24" i="3"/>
  <c r="E23" i="5" s="1"/>
  <c r="H24" i="3"/>
  <c r="AA24" i="3" s="1"/>
  <c r="AA23" i="3"/>
  <c r="Z23" i="3"/>
  <c r="Y23" i="3"/>
  <c r="AB23" i="3" s="1"/>
  <c r="X23" i="3"/>
  <c r="W23" i="3"/>
  <c r="V23" i="3"/>
  <c r="T23" i="3"/>
  <c r="S23" i="3"/>
  <c r="U23" i="3" s="1"/>
  <c r="P23" i="3"/>
  <c r="M23" i="3"/>
  <c r="N23" i="3" s="1"/>
  <c r="L23" i="3"/>
  <c r="I23" i="3"/>
  <c r="E22" i="5" s="1"/>
  <c r="H23" i="3"/>
  <c r="Z22" i="3"/>
  <c r="X22" i="3"/>
  <c r="W22" i="3"/>
  <c r="V22" i="3"/>
  <c r="M22" i="3"/>
  <c r="N22" i="3" s="1"/>
  <c r="L22" i="3"/>
  <c r="P22" i="3" s="1"/>
  <c r="H22" i="3"/>
  <c r="AA21" i="3"/>
  <c r="Z21" i="3"/>
  <c r="I20" i="5" s="1"/>
  <c r="X21" i="3"/>
  <c r="Y21" i="3" s="1"/>
  <c r="AB21" i="3" s="1"/>
  <c r="W21" i="3"/>
  <c r="V21" i="3"/>
  <c r="S21" i="3"/>
  <c r="U21" i="3" s="1"/>
  <c r="M21" i="3"/>
  <c r="N21" i="3" s="1"/>
  <c r="L21" i="3"/>
  <c r="H21" i="3"/>
  <c r="T21" i="3" s="1"/>
  <c r="Z20" i="3"/>
  <c r="I19" i="5" s="1"/>
  <c r="X20" i="3"/>
  <c r="W20" i="3"/>
  <c r="V20" i="3"/>
  <c r="P20" i="3"/>
  <c r="N20" i="3"/>
  <c r="O20" i="3" s="1"/>
  <c r="M20" i="3"/>
  <c r="L20" i="3"/>
  <c r="H20" i="3"/>
  <c r="AA19" i="3"/>
  <c r="Z19" i="3"/>
  <c r="I18" i="5" s="1"/>
  <c r="X19" i="3"/>
  <c r="Y19" i="3" s="1"/>
  <c r="AB19" i="3" s="1"/>
  <c r="W19" i="3"/>
  <c r="V19" i="3"/>
  <c r="U19" i="3"/>
  <c r="T19" i="3"/>
  <c r="S19" i="3"/>
  <c r="M19" i="3"/>
  <c r="N19" i="3" s="1"/>
  <c r="Q19" i="3" s="1"/>
  <c r="R19" i="3" s="1"/>
  <c r="L19" i="3"/>
  <c r="P19" i="3" s="1"/>
  <c r="I19" i="3"/>
  <c r="E18" i="5" s="1"/>
  <c r="H19" i="3"/>
  <c r="AA18" i="3"/>
  <c r="M17" i="5" s="1"/>
  <c r="Z18" i="3"/>
  <c r="X18" i="3"/>
  <c r="Y18" i="3" s="1"/>
  <c r="AB18" i="3" s="1"/>
  <c r="W18" i="3"/>
  <c r="V18" i="3"/>
  <c r="U18" i="3"/>
  <c r="T18" i="3"/>
  <c r="P18" i="3"/>
  <c r="M18" i="3"/>
  <c r="N18" i="3" s="1"/>
  <c r="Q18" i="3" s="1"/>
  <c r="R18" i="3" s="1"/>
  <c r="L18" i="3"/>
  <c r="I18" i="3"/>
  <c r="E17" i="5" s="1"/>
  <c r="H18" i="3"/>
  <c r="S18" i="3" s="1"/>
  <c r="AA17" i="3"/>
  <c r="H16" i="5" s="1"/>
  <c r="Z17" i="3"/>
  <c r="I16" i="5" s="1"/>
  <c r="Y17" i="3"/>
  <c r="AB17" i="3" s="1"/>
  <c r="X17" i="3"/>
  <c r="W17" i="3"/>
  <c r="V17" i="3"/>
  <c r="T17" i="3"/>
  <c r="S17" i="3"/>
  <c r="U17" i="3" s="1"/>
  <c r="M17" i="3"/>
  <c r="N17" i="3" s="1"/>
  <c r="L17" i="3"/>
  <c r="I17" i="3"/>
  <c r="E16" i="5" s="1"/>
  <c r="H17" i="3"/>
  <c r="Z16" i="3"/>
  <c r="I15" i="5" s="1"/>
  <c r="X16" i="3"/>
  <c r="Y16" i="3" s="1"/>
  <c r="AB16" i="3" s="1"/>
  <c r="W16" i="3"/>
  <c r="V16" i="3"/>
  <c r="N16" i="3"/>
  <c r="O16" i="3" s="1"/>
  <c r="M16" i="3"/>
  <c r="L16" i="3"/>
  <c r="H16" i="3"/>
  <c r="AA15" i="3"/>
  <c r="H14" i="5" s="1"/>
  <c r="Z15" i="3"/>
  <c r="Y15" i="3"/>
  <c r="AB15" i="3" s="1"/>
  <c r="X15" i="3"/>
  <c r="W15" i="3"/>
  <c r="V15" i="3"/>
  <c r="T15" i="3"/>
  <c r="S15" i="3"/>
  <c r="U15" i="3" s="1"/>
  <c r="N15" i="3"/>
  <c r="Q15" i="3" s="1"/>
  <c r="R15" i="3" s="1"/>
  <c r="L14" i="4" s="1"/>
  <c r="M15" i="3"/>
  <c r="L15" i="3"/>
  <c r="P15" i="3" s="1"/>
  <c r="I15" i="3"/>
  <c r="E14" i="5" s="1"/>
  <c r="H15" i="3"/>
  <c r="Z14" i="3"/>
  <c r="X14" i="3"/>
  <c r="Y14" i="3" s="1"/>
  <c r="AB14" i="3" s="1"/>
  <c r="W14" i="3"/>
  <c r="V14" i="3"/>
  <c r="M14" i="3"/>
  <c r="N14" i="3" s="1"/>
  <c r="L14" i="3"/>
  <c r="H14" i="3"/>
  <c r="I14" i="3" s="1"/>
  <c r="E13" i="5" s="1"/>
  <c r="AA13" i="3"/>
  <c r="Z13" i="3"/>
  <c r="X13" i="3"/>
  <c r="Y13" i="3" s="1"/>
  <c r="AB13" i="3" s="1"/>
  <c r="W13" i="3"/>
  <c r="V13" i="3"/>
  <c r="M13" i="3"/>
  <c r="N13" i="3" s="1"/>
  <c r="L13" i="3"/>
  <c r="H12" i="4" s="1"/>
  <c r="H13" i="3"/>
  <c r="AA12" i="3"/>
  <c r="H11" i="5" s="1"/>
  <c r="Z12" i="3"/>
  <c r="X12" i="3"/>
  <c r="Y12" i="3" s="1"/>
  <c r="AB12" i="3" s="1"/>
  <c r="W12" i="3"/>
  <c r="V12" i="3"/>
  <c r="T12" i="3"/>
  <c r="S12" i="3"/>
  <c r="U12" i="3" s="1"/>
  <c r="P12" i="3"/>
  <c r="N12" i="3"/>
  <c r="Q12" i="3" s="1"/>
  <c r="R12" i="3" s="1"/>
  <c r="L11" i="4" s="1"/>
  <c r="M12" i="3"/>
  <c r="L12" i="3"/>
  <c r="O12" i="3" s="1"/>
  <c r="I12" i="3"/>
  <c r="E11" i="5" s="1"/>
  <c r="H12" i="3"/>
  <c r="Z11" i="3"/>
  <c r="I10" i="5" s="1"/>
  <c r="X11" i="3"/>
  <c r="Y11" i="3" s="1"/>
  <c r="AB11" i="3" s="1"/>
  <c r="W11" i="3"/>
  <c r="V11" i="3"/>
  <c r="S11" i="3"/>
  <c r="U11" i="3" s="1"/>
  <c r="P11" i="3"/>
  <c r="N11" i="3"/>
  <c r="Q11" i="3" s="1"/>
  <c r="R11" i="3" s="1"/>
  <c r="M11" i="3"/>
  <c r="L11" i="3"/>
  <c r="I11" i="3"/>
  <c r="H11" i="3"/>
  <c r="T11" i="3" s="1"/>
  <c r="Z10" i="3"/>
  <c r="X10" i="3"/>
  <c r="W10" i="3"/>
  <c r="V10" i="3"/>
  <c r="M10" i="3"/>
  <c r="N10" i="3" s="1"/>
  <c r="L10" i="3"/>
  <c r="I9" i="4" s="1"/>
  <c r="H10" i="3"/>
  <c r="Y10" i="3" s="1"/>
  <c r="AB10" i="3" s="1"/>
  <c r="AA9" i="3"/>
  <c r="Z9" i="3"/>
  <c r="X9" i="3"/>
  <c r="W9" i="3"/>
  <c r="V9" i="3"/>
  <c r="T9" i="3"/>
  <c r="Q9" i="3"/>
  <c r="R9" i="3" s="1"/>
  <c r="M9" i="3"/>
  <c r="N9" i="3" s="1"/>
  <c r="L9" i="3"/>
  <c r="P9" i="3" s="1"/>
  <c r="H9" i="3"/>
  <c r="Z8" i="3"/>
  <c r="I7" i="5" s="1"/>
  <c r="X8" i="3"/>
  <c r="W8" i="3"/>
  <c r="V8" i="3"/>
  <c r="M8" i="3"/>
  <c r="N8" i="3" s="1"/>
  <c r="L8" i="3"/>
  <c r="H8" i="3"/>
  <c r="AA7" i="3"/>
  <c r="H6" i="5" s="1"/>
  <c r="Z7" i="3"/>
  <c r="I6" i="5" s="1"/>
  <c r="X7" i="3"/>
  <c r="W7" i="3"/>
  <c r="V7" i="3"/>
  <c r="M7" i="3"/>
  <c r="N7" i="3" s="1"/>
  <c r="L7" i="3"/>
  <c r="P7" i="3" s="1"/>
  <c r="H7" i="3"/>
  <c r="Z6" i="3"/>
  <c r="I5" i="5" s="1"/>
  <c r="X6" i="3"/>
  <c r="Y6" i="3" s="1"/>
  <c r="W6" i="3"/>
  <c r="V6" i="3"/>
  <c r="T6" i="3"/>
  <c r="S6" i="3"/>
  <c r="U6" i="3" s="1"/>
  <c r="Q6" i="3"/>
  <c r="R6" i="3" s="1"/>
  <c r="O6" i="3"/>
  <c r="G5" i="5" s="1"/>
  <c r="N6" i="3"/>
  <c r="M6" i="3"/>
  <c r="L6" i="3"/>
  <c r="P6" i="3" s="1"/>
  <c r="H6" i="3"/>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A72" i="2"/>
  <c r="B71" i="2"/>
  <c r="A71" i="2"/>
  <c r="B70" i="2"/>
  <c r="A70" i="2"/>
  <c r="B69" i="2"/>
  <c r="A69" i="2"/>
  <c r="B68" i="2"/>
  <c r="A68" i="2"/>
  <c r="D67" i="2"/>
  <c r="B67" i="2"/>
  <c r="A67" i="2"/>
  <c r="B66" i="2"/>
  <c r="A66" i="2"/>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D46" i="2"/>
  <c r="C46" i="2"/>
  <c r="B46" i="2"/>
  <c r="A46" i="2"/>
  <c r="B45" i="2"/>
  <c r="A45" i="2"/>
  <c r="B44" i="2"/>
  <c r="A44" i="2"/>
  <c r="B43" i="2"/>
  <c r="A43" i="2"/>
  <c r="D42" i="2"/>
  <c r="C42" i="2"/>
  <c r="B42" i="2"/>
  <c r="A42" i="2"/>
  <c r="B41" i="2"/>
  <c r="A41" i="2"/>
  <c r="B40" i="2"/>
  <c r="A40" i="2"/>
  <c r="B39" i="2"/>
  <c r="A39" i="2"/>
  <c r="B38" i="2"/>
  <c r="A38" i="2"/>
  <c r="B37" i="2"/>
  <c r="A37" i="2"/>
  <c r="D36" i="2"/>
  <c r="C36" i="2"/>
  <c r="B36" i="2"/>
  <c r="A36" i="2"/>
  <c r="C30" i="2"/>
  <c r="B30" i="2"/>
  <c r="K57" i="4"/>
  <c r="J57" i="4"/>
  <c r="I57" i="4"/>
  <c r="H57" i="4"/>
  <c r="G57" i="4"/>
  <c r="F57" i="4"/>
  <c r="E57" i="4"/>
  <c r="D57" i="4"/>
  <c r="C57" i="4"/>
  <c r="B57" i="4"/>
  <c r="A57" i="4"/>
  <c r="K56" i="4"/>
  <c r="J56" i="4"/>
  <c r="I56" i="4"/>
  <c r="G56" i="4"/>
  <c r="F56" i="4"/>
  <c r="E56" i="4"/>
  <c r="D56" i="4"/>
  <c r="C56" i="4"/>
  <c r="B56" i="4"/>
  <c r="A56" i="4"/>
  <c r="K55" i="4"/>
  <c r="J55" i="4"/>
  <c r="G55" i="4"/>
  <c r="F55" i="4"/>
  <c r="E55" i="4"/>
  <c r="D55" i="4"/>
  <c r="C55" i="4"/>
  <c r="B55" i="4"/>
  <c r="A55" i="4"/>
  <c r="K54" i="4"/>
  <c r="J54" i="4"/>
  <c r="G54" i="4"/>
  <c r="F54" i="4"/>
  <c r="E54" i="4"/>
  <c r="D54" i="4"/>
  <c r="C54" i="4"/>
  <c r="B54" i="4"/>
  <c r="A54" i="4"/>
  <c r="K53" i="4"/>
  <c r="J53" i="4"/>
  <c r="I53" i="4"/>
  <c r="H53" i="4"/>
  <c r="G53" i="4"/>
  <c r="F53" i="4"/>
  <c r="E53" i="4"/>
  <c r="D53" i="4"/>
  <c r="C53" i="4"/>
  <c r="B53" i="4"/>
  <c r="A53" i="4"/>
  <c r="K52" i="4"/>
  <c r="J52" i="4"/>
  <c r="I52" i="4"/>
  <c r="H52" i="4"/>
  <c r="G52" i="4"/>
  <c r="F52" i="4"/>
  <c r="E52" i="4"/>
  <c r="D52" i="4"/>
  <c r="C52" i="4"/>
  <c r="B52" i="4"/>
  <c r="A52" i="4"/>
  <c r="K51" i="4"/>
  <c r="J51" i="4"/>
  <c r="I51" i="4"/>
  <c r="H51" i="4"/>
  <c r="G51" i="4"/>
  <c r="F51" i="4"/>
  <c r="E51" i="4"/>
  <c r="D51" i="4"/>
  <c r="C51" i="4"/>
  <c r="B51" i="4"/>
  <c r="A51" i="4"/>
  <c r="K50" i="4"/>
  <c r="J50" i="4"/>
  <c r="G50" i="4"/>
  <c r="F50" i="4"/>
  <c r="E50" i="4"/>
  <c r="D50" i="4"/>
  <c r="C50" i="4"/>
  <c r="B50" i="4"/>
  <c r="A50" i="4"/>
  <c r="K49" i="4"/>
  <c r="J49" i="4"/>
  <c r="G49" i="4"/>
  <c r="F49" i="4"/>
  <c r="E49" i="4"/>
  <c r="D49" i="4"/>
  <c r="C49" i="4"/>
  <c r="B49" i="4"/>
  <c r="A49" i="4"/>
  <c r="K48" i="4"/>
  <c r="J48" i="4"/>
  <c r="G48" i="4"/>
  <c r="F48" i="4"/>
  <c r="E48" i="4"/>
  <c r="D48" i="4"/>
  <c r="C48" i="4"/>
  <c r="B48" i="4"/>
  <c r="A48" i="4"/>
  <c r="K47" i="4"/>
  <c r="J47" i="4"/>
  <c r="I47" i="4"/>
  <c r="H47" i="4"/>
  <c r="G47" i="4"/>
  <c r="F47" i="4"/>
  <c r="E47" i="4"/>
  <c r="D47" i="4"/>
  <c r="C47" i="4"/>
  <c r="B47" i="4"/>
  <c r="A47" i="4"/>
  <c r="K46" i="4"/>
  <c r="J46" i="4"/>
  <c r="I46" i="4"/>
  <c r="H46" i="4"/>
  <c r="G46" i="4"/>
  <c r="F46" i="4"/>
  <c r="E46" i="4"/>
  <c r="D46" i="4"/>
  <c r="C46" i="4"/>
  <c r="B46" i="4"/>
  <c r="A46" i="4"/>
  <c r="K45" i="4"/>
  <c r="J45" i="4"/>
  <c r="G45" i="4"/>
  <c r="F45" i="4"/>
  <c r="E45" i="4"/>
  <c r="D45" i="4"/>
  <c r="C45" i="4"/>
  <c r="B45" i="4"/>
  <c r="A45" i="4"/>
  <c r="K44" i="4"/>
  <c r="J44" i="4"/>
  <c r="I44" i="4"/>
  <c r="H44" i="4"/>
  <c r="G44" i="4"/>
  <c r="F44" i="4"/>
  <c r="E44" i="4"/>
  <c r="D44" i="4"/>
  <c r="C44" i="4"/>
  <c r="B44" i="4"/>
  <c r="A44" i="4"/>
  <c r="K43" i="4"/>
  <c r="J43" i="4"/>
  <c r="G43" i="4"/>
  <c r="F43" i="4"/>
  <c r="E43" i="4"/>
  <c r="D43" i="4"/>
  <c r="C43" i="4"/>
  <c r="B43" i="4"/>
  <c r="A43" i="4"/>
  <c r="K42" i="4"/>
  <c r="J42" i="4"/>
  <c r="I42" i="4"/>
  <c r="H42" i="4"/>
  <c r="G42" i="4"/>
  <c r="F42" i="4"/>
  <c r="E42" i="4"/>
  <c r="D42" i="4"/>
  <c r="C42" i="4"/>
  <c r="B42" i="4"/>
  <c r="A42" i="4"/>
  <c r="K41" i="4"/>
  <c r="J41" i="4"/>
  <c r="I41" i="4"/>
  <c r="H41" i="4"/>
  <c r="G41" i="4"/>
  <c r="F41" i="4"/>
  <c r="E41" i="4"/>
  <c r="D41" i="4"/>
  <c r="C41" i="4"/>
  <c r="B41" i="4"/>
  <c r="A41" i="4"/>
  <c r="K40" i="4"/>
  <c r="J40" i="4"/>
  <c r="I40" i="4"/>
  <c r="H40" i="4"/>
  <c r="G40" i="4"/>
  <c r="F40" i="4"/>
  <c r="E40" i="4"/>
  <c r="D40" i="4"/>
  <c r="C40" i="4"/>
  <c r="B40" i="4"/>
  <c r="A40" i="4"/>
  <c r="K39" i="4"/>
  <c r="J39" i="4"/>
  <c r="I39" i="4"/>
  <c r="H39" i="4"/>
  <c r="G39" i="4"/>
  <c r="F39" i="4"/>
  <c r="E39" i="4"/>
  <c r="D39" i="4"/>
  <c r="C39" i="4"/>
  <c r="B39" i="4"/>
  <c r="A39" i="4"/>
  <c r="K38" i="4"/>
  <c r="J38" i="4"/>
  <c r="G38" i="4"/>
  <c r="F38" i="4"/>
  <c r="E38" i="4"/>
  <c r="D38" i="4"/>
  <c r="C38" i="4"/>
  <c r="B38" i="4"/>
  <c r="A38" i="4"/>
  <c r="K37" i="4"/>
  <c r="J37" i="4"/>
  <c r="I37" i="4"/>
  <c r="H37" i="4"/>
  <c r="G37" i="4"/>
  <c r="F37" i="4"/>
  <c r="E37" i="4"/>
  <c r="D37" i="4"/>
  <c r="C37" i="4"/>
  <c r="B37" i="4"/>
  <c r="A37" i="4"/>
  <c r="K36" i="4"/>
  <c r="J36" i="4"/>
  <c r="I36" i="4"/>
  <c r="H36" i="4"/>
  <c r="G36" i="4"/>
  <c r="F36" i="4"/>
  <c r="E36" i="4"/>
  <c r="D36" i="4"/>
  <c r="C36" i="4"/>
  <c r="B36" i="4"/>
  <c r="A36" i="4"/>
  <c r="K35" i="4"/>
  <c r="J35" i="4"/>
  <c r="I35" i="4"/>
  <c r="H35" i="4"/>
  <c r="G35" i="4"/>
  <c r="F35" i="4"/>
  <c r="E35" i="4"/>
  <c r="D35" i="4"/>
  <c r="C35" i="4"/>
  <c r="B35" i="4"/>
  <c r="A35" i="4"/>
  <c r="K34" i="4"/>
  <c r="J34" i="4"/>
  <c r="G34" i="4"/>
  <c r="F34" i="4"/>
  <c r="E34" i="4"/>
  <c r="D34" i="4"/>
  <c r="C34" i="4"/>
  <c r="B34" i="4"/>
  <c r="A34" i="4"/>
  <c r="K33" i="4"/>
  <c r="J33" i="4"/>
  <c r="I33" i="4"/>
  <c r="H33" i="4"/>
  <c r="G33" i="4"/>
  <c r="F33" i="4"/>
  <c r="E33" i="4"/>
  <c r="D33" i="4"/>
  <c r="C33" i="4"/>
  <c r="B33" i="4"/>
  <c r="A33" i="4"/>
  <c r="K32" i="4"/>
  <c r="J32" i="4"/>
  <c r="G32" i="4"/>
  <c r="F32" i="4"/>
  <c r="E32" i="4"/>
  <c r="D32" i="4"/>
  <c r="C32" i="4"/>
  <c r="B32" i="4"/>
  <c r="A32" i="4"/>
  <c r="K31" i="4"/>
  <c r="J31" i="4"/>
  <c r="I31" i="4"/>
  <c r="H31" i="4"/>
  <c r="G31" i="4"/>
  <c r="F31" i="4"/>
  <c r="E31" i="4"/>
  <c r="D31" i="4"/>
  <c r="C31" i="4"/>
  <c r="B31" i="4"/>
  <c r="A31" i="4"/>
  <c r="K30" i="4"/>
  <c r="J30" i="4"/>
  <c r="I30" i="4"/>
  <c r="H30" i="4"/>
  <c r="G30" i="4"/>
  <c r="F30" i="4"/>
  <c r="E30" i="4"/>
  <c r="D30" i="4"/>
  <c r="C30" i="4"/>
  <c r="B30" i="4"/>
  <c r="A30" i="4"/>
  <c r="K29" i="4"/>
  <c r="J29" i="4"/>
  <c r="I29" i="4"/>
  <c r="H29" i="4"/>
  <c r="G29" i="4"/>
  <c r="F29" i="4"/>
  <c r="E29" i="4"/>
  <c r="D29" i="4"/>
  <c r="C29" i="4"/>
  <c r="B29" i="4"/>
  <c r="A29" i="4"/>
  <c r="K28" i="4"/>
  <c r="J28" i="4"/>
  <c r="G28" i="4"/>
  <c r="F28" i="4"/>
  <c r="E28" i="4"/>
  <c r="D28" i="4"/>
  <c r="C28" i="4"/>
  <c r="B28" i="4"/>
  <c r="A28" i="4"/>
  <c r="K27" i="4"/>
  <c r="J27" i="4"/>
  <c r="I27" i="4"/>
  <c r="H27" i="4"/>
  <c r="G27" i="4"/>
  <c r="F27" i="4"/>
  <c r="E27" i="4"/>
  <c r="D27" i="4"/>
  <c r="C27" i="4"/>
  <c r="B27" i="4"/>
  <c r="A27" i="4"/>
  <c r="K26" i="4"/>
  <c r="J26" i="4"/>
  <c r="G26" i="4"/>
  <c r="F26" i="4"/>
  <c r="E26" i="4"/>
  <c r="D26" i="4"/>
  <c r="C26" i="4"/>
  <c r="B26" i="4"/>
  <c r="A26" i="4"/>
  <c r="K25" i="4"/>
  <c r="J25" i="4"/>
  <c r="I25" i="4"/>
  <c r="H25" i="4"/>
  <c r="G25" i="4"/>
  <c r="F25" i="4"/>
  <c r="E25" i="4"/>
  <c r="D25" i="4"/>
  <c r="C25" i="4"/>
  <c r="B25" i="4"/>
  <c r="A25" i="4"/>
  <c r="K24" i="4"/>
  <c r="J24" i="4"/>
  <c r="I24" i="4"/>
  <c r="G24" i="4"/>
  <c r="F24" i="4"/>
  <c r="E24" i="4"/>
  <c r="D24" i="4"/>
  <c r="C24" i="4"/>
  <c r="B24" i="4"/>
  <c r="A24" i="4"/>
  <c r="K23" i="4"/>
  <c r="J23" i="4"/>
  <c r="I23" i="4"/>
  <c r="G23" i="4"/>
  <c r="F23" i="4"/>
  <c r="E23" i="4"/>
  <c r="D23" i="4"/>
  <c r="C23" i="4"/>
  <c r="B23" i="4"/>
  <c r="A23" i="4"/>
  <c r="K22" i="4"/>
  <c r="J22" i="4"/>
  <c r="I22" i="4"/>
  <c r="H22" i="4"/>
  <c r="G22" i="4"/>
  <c r="F22" i="4"/>
  <c r="E22" i="4"/>
  <c r="D22" i="4"/>
  <c r="C22" i="4"/>
  <c r="B22" i="4"/>
  <c r="A22" i="4"/>
  <c r="K21" i="4"/>
  <c r="J21" i="4"/>
  <c r="I21" i="4"/>
  <c r="H21" i="4"/>
  <c r="G21" i="4"/>
  <c r="F21" i="4"/>
  <c r="E21" i="4"/>
  <c r="D21" i="4"/>
  <c r="C21" i="4"/>
  <c r="B21" i="4"/>
  <c r="A21" i="4"/>
  <c r="K20" i="4"/>
  <c r="J20" i="4"/>
  <c r="G20" i="4"/>
  <c r="F20" i="4"/>
  <c r="E20" i="4"/>
  <c r="D20" i="4"/>
  <c r="C20" i="4"/>
  <c r="B20" i="4"/>
  <c r="A20" i="4"/>
  <c r="K19" i="4"/>
  <c r="J19" i="4"/>
  <c r="I19" i="4"/>
  <c r="H19" i="4"/>
  <c r="G19" i="4"/>
  <c r="F19" i="4"/>
  <c r="E19" i="4"/>
  <c r="D19" i="4"/>
  <c r="C19" i="4"/>
  <c r="B19" i="4"/>
  <c r="A19" i="4"/>
  <c r="K18" i="4"/>
  <c r="J18" i="4"/>
  <c r="I18" i="4"/>
  <c r="H18" i="4"/>
  <c r="G18" i="4"/>
  <c r="F18" i="4"/>
  <c r="E18" i="4"/>
  <c r="D18" i="4"/>
  <c r="C18" i="4"/>
  <c r="B18" i="4"/>
  <c r="A18" i="4"/>
  <c r="K17" i="4"/>
  <c r="J17" i="4"/>
  <c r="I17" i="4"/>
  <c r="H17" i="4"/>
  <c r="G17" i="4"/>
  <c r="F17" i="4"/>
  <c r="E17" i="4"/>
  <c r="D17" i="4"/>
  <c r="C17" i="4"/>
  <c r="B17" i="4"/>
  <c r="A17" i="4"/>
  <c r="K16" i="4"/>
  <c r="J16" i="4"/>
  <c r="G16" i="4"/>
  <c r="F16" i="4"/>
  <c r="E16" i="4"/>
  <c r="D16" i="4"/>
  <c r="C16" i="4"/>
  <c r="B16" i="4"/>
  <c r="A16" i="4"/>
  <c r="K15" i="4"/>
  <c r="J15" i="4"/>
  <c r="G15" i="4"/>
  <c r="F15" i="4"/>
  <c r="E15" i="4"/>
  <c r="D15" i="4"/>
  <c r="C15" i="4"/>
  <c r="B15" i="4"/>
  <c r="A15" i="4"/>
  <c r="K14" i="4"/>
  <c r="J14" i="4"/>
  <c r="I14" i="4"/>
  <c r="H14" i="4"/>
  <c r="G14" i="4"/>
  <c r="F14" i="4"/>
  <c r="E14" i="4"/>
  <c r="D14" i="4"/>
  <c r="C14" i="4"/>
  <c r="B14" i="4"/>
  <c r="A14" i="4"/>
  <c r="K13" i="4"/>
  <c r="J13" i="4"/>
  <c r="G13" i="4"/>
  <c r="F13" i="4"/>
  <c r="E13" i="4"/>
  <c r="D13" i="4"/>
  <c r="C13" i="4"/>
  <c r="B13" i="4"/>
  <c r="A13" i="4"/>
  <c r="K12" i="4"/>
  <c r="J12" i="4"/>
  <c r="I12" i="4"/>
  <c r="G12" i="4"/>
  <c r="F12" i="4"/>
  <c r="E12" i="4"/>
  <c r="D12" i="4"/>
  <c r="C12" i="4"/>
  <c r="B12" i="4"/>
  <c r="A12" i="4"/>
  <c r="K11" i="4"/>
  <c r="J11" i="4"/>
  <c r="I11" i="4"/>
  <c r="H11" i="4"/>
  <c r="G11" i="4"/>
  <c r="F11" i="4"/>
  <c r="E11" i="4"/>
  <c r="D11" i="4"/>
  <c r="C11" i="4"/>
  <c r="B11" i="4"/>
  <c r="A11" i="4"/>
  <c r="K10" i="4"/>
  <c r="J10" i="4"/>
  <c r="I10" i="4"/>
  <c r="H10" i="4"/>
  <c r="G10" i="4"/>
  <c r="F10" i="4"/>
  <c r="E10" i="4"/>
  <c r="D10" i="4"/>
  <c r="C10" i="4"/>
  <c r="B10" i="4"/>
  <c r="A10" i="4"/>
  <c r="K9" i="4"/>
  <c r="J9" i="4"/>
  <c r="G9" i="4"/>
  <c r="F9" i="4"/>
  <c r="E9" i="4"/>
  <c r="D9" i="4"/>
  <c r="C9" i="4"/>
  <c r="B9" i="4"/>
  <c r="A9" i="4"/>
  <c r="K8" i="4"/>
  <c r="J8" i="4"/>
  <c r="I8" i="4"/>
  <c r="H8" i="4"/>
  <c r="G8" i="4"/>
  <c r="F8" i="4"/>
  <c r="E8" i="4"/>
  <c r="D8" i="4"/>
  <c r="C8" i="4"/>
  <c r="B8" i="4"/>
  <c r="A8" i="4"/>
  <c r="K7" i="4"/>
  <c r="J7" i="4"/>
  <c r="G7" i="4"/>
  <c r="F7" i="4"/>
  <c r="E7" i="4"/>
  <c r="D7" i="4"/>
  <c r="C7" i="4"/>
  <c r="B7" i="4"/>
  <c r="A7" i="4"/>
  <c r="K6" i="4"/>
  <c r="K58" i="4" s="1"/>
  <c r="J6" i="4"/>
  <c r="I6" i="4"/>
  <c r="H6" i="4"/>
  <c r="G6" i="4"/>
  <c r="F6" i="4"/>
  <c r="E6" i="4"/>
  <c r="D6" i="4"/>
  <c r="C6" i="4"/>
  <c r="B6" i="4"/>
  <c r="A6" i="4"/>
  <c r="K5" i="4"/>
  <c r="J5" i="4"/>
  <c r="I5" i="4"/>
  <c r="H5" i="4"/>
  <c r="G5" i="4"/>
  <c r="F5" i="4"/>
  <c r="E5" i="4"/>
  <c r="D5" i="4"/>
  <c r="C5" i="4"/>
  <c r="B5" i="4"/>
  <c r="A5" i="4"/>
  <c r="A2" i="4"/>
  <c r="Q23" i="3" l="1"/>
  <c r="R23" i="3" s="1"/>
  <c r="L22" i="4" s="1"/>
  <c r="O23" i="3"/>
  <c r="Q49" i="3"/>
  <c r="R49" i="3" s="1"/>
  <c r="O49" i="3"/>
  <c r="Q17" i="3"/>
  <c r="R17" i="3" s="1"/>
  <c r="L16" i="4" s="1"/>
  <c r="O17" i="3"/>
  <c r="Q57" i="3"/>
  <c r="R57" i="3" s="1"/>
  <c r="L56" i="4" s="1"/>
  <c r="O57" i="3"/>
  <c r="O8" i="3"/>
  <c r="Q8" i="3"/>
  <c r="R8" i="3" s="1"/>
  <c r="Q41" i="3"/>
  <c r="R41" i="3" s="1"/>
  <c r="L40" i="4" s="1"/>
  <c r="O41" i="3"/>
  <c r="Q55" i="3"/>
  <c r="R55" i="3" s="1"/>
  <c r="O55" i="3"/>
  <c r="L17" i="4"/>
  <c r="Q21" i="3"/>
  <c r="R21" i="3" s="1"/>
  <c r="L20" i="4" s="1"/>
  <c r="O21" i="3"/>
  <c r="Q35" i="3"/>
  <c r="R35" i="3" s="1"/>
  <c r="L34" i="4" s="1"/>
  <c r="O35" i="3"/>
  <c r="B27" i="2"/>
  <c r="L5" i="4"/>
  <c r="Q33" i="3"/>
  <c r="R33" i="3" s="1"/>
  <c r="L32" i="4" s="1"/>
  <c r="O33" i="3"/>
  <c r="AB6" i="3"/>
  <c r="Q44" i="3"/>
  <c r="R44" i="3" s="1"/>
  <c r="O44" i="3"/>
  <c r="D66" i="2"/>
  <c r="G35" i="5"/>
  <c r="C66" i="2"/>
  <c r="Q27" i="3"/>
  <c r="R27" i="3" s="1"/>
  <c r="O27" i="3"/>
  <c r="Q51" i="3"/>
  <c r="R51" i="3" s="1"/>
  <c r="L50" i="4" s="1"/>
  <c r="O51" i="3"/>
  <c r="H38" i="4"/>
  <c r="H48" i="4"/>
  <c r="M12" i="5"/>
  <c r="H12" i="5"/>
  <c r="S26" i="3"/>
  <c r="U26" i="3" s="1"/>
  <c r="I26" i="3"/>
  <c r="E25" i="5" s="1"/>
  <c r="AA26" i="3"/>
  <c r="T26" i="3"/>
  <c r="Q28" i="3"/>
  <c r="R28" i="3" s="1"/>
  <c r="O28" i="3"/>
  <c r="T32" i="3"/>
  <c r="S32" i="3"/>
  <c r="U32" i="3" s="1"/>
  <c r="I32" i="3"/>
  <c r="E31" i="5" s="1"/>
  <c r="AA32" i="3"/>
  <c r="J58" i="5"/>
  <c r="M6" i="5"/>
  <c r="H30" i="5"/>
  <c r="O29" i="3"/>
  <c r="Q29" i="3"/>
  <c r="R29" i="3" s="1"/>
  <c r="L28" i="4" s="1"/>
  <c r="P33" i="3"/>
  <c r="H32" i="4"/>
  <c r="I32" i="4"/>
  <c r="Q7" i="3"/>
  <c r="R7" i="3" s="1"/>
  <c r="O7" i="3"/>
  <c r="O11" i="3"/>
  <c r="M18" i="5"/>
  <c r="H18" i="5"/>
  <c r="Q22" i="3"/>
  <c r="R22" i="3" s="1"/>
  <c r="L21" i="4" s="1"/>
  <c r="O22" i="3"/>
  <c r="Q13" i="3"/>
  <c r="R13" i="3" s="1"/>
  <c r="L12" i="4" s="1"/>
  <c r="O13" i="3"/>
  <c r="O15" i="3"/>
  <c r="C50" i="2"/>
  <c r="D50" i="2"/>
  <c r="Q47" i="3"/>
  <c r="R47" i="3" s="1"/>
  <c r="L46" i="4" s="1"/>
  <c r="O47" i="3"/>
  <c r="O24" i="3"/>
  <c r="I48" i="4"/>
  <c r="L18" i="4"/>
  <c r="Q36" i="3"/>
  <c r="R36" i="3" s="1"/>
  <c r="L35" i="4" s="1"/>
  <c r="H45" i="4"/>
  <c r="I45" i="4"/>
  <c r="X60" i="3"/>
  <c r="D76" i="2"/>
  <c r="G45" i="5"/>
  <c r="C76" i="2"/>
  <c r="P27" i="3"/>
  <c r="I26" i="4"/>
  <c r="H26" i="4"/>
  <c r="K58" i="5"/>
  <c r="H60" i="3"/>
  <c r="P17" i="3"/>
  <c r="I16" i="4"/>
  <c r="M8" i="5"/>
  <c r="H8" i="5"/>
  <c r="Q34" i="3"/>
  <c r="R34" i="3" s="1"/>
  <c r="O34" i="3"/>
  <c r="P21" i="3"/>
  <c r="H20" i="4"/>
  <c r="I20" i="4"/>
  <c r="I13" i="4"/>
  <c r="H13" i="4"/>
  <c r="O14" i="3"/>
  <c r="P14" i="3"/>
  <c r="D70" i="2"/>
  <c r="G39" i="5"/>
  <c r="C70" i="2"/>
  <c r="P46" i="3"/>
  <c r="Z60" i="3"/>
  <c r="T54" i="3"/>
  <c r="S54" i="3"/>
  <c r="U54" i="3" s="1"/>
  <c r="I54" i="3"/>
  <c r="E53" i="5" s="1"/>
  <c r="AA54" i="3"/>
  <c r="O18" i="3"/>
  <c r="Y49" i="3"/>
  <c r="AB49" i="3" s="1"/>
  <c r="T49" i="3"/>
  <c r="S49" i="3"/>
  <c r="U49" i="3" s="1"/>
  <c r="AA49" i="3"/>
  <c r="I7" i="4"/>
  <c r="I58" i="4" s="1"/>
  <c r="H7" i="4"/>
  <c r="P8" i="3"/>
  <c r="P60" i="3" s="1"/>
  <c r="S38" i="3"/>
  <c r="U38" i="3" s="1"/>
  <c r="I38" i="3"/>
  <c r="E37" i="5" s="1"/>
  <c r="AA38" i="3"/>
  <c r="T38" i="3"/>
  <c r="T44" i="3"/>
  <c r="S44" i="3"/>
  <c r="U44" i="3" s="1"/>
  <c r="AA44" i="3"/>
  <c r="C60" i="2"/>
  <c r="Q14" i="3"/>
  <c r="R14" i="3" s="1"/>
  <c r="Y26" i="3"/>
  <c r="AB26" i="3" s="1"/>
  <c r="Y32" i="3"/>
  <c r="AB32" i="3" s="1"/>
  <c r="I43" i="4"/>
  <c r="H43" i="4"/>
  <c r="P44" i="3"/>
  <c r="Q46" i="3"/>
  <c r="R46" i="3" s="1"/>
  <c r="L45" i="4" s="1"/>
  <c r="Q50" i="3"/>
  <c r="R50" i="3" s="1"/>
  <c r="O50" i="3"/>
  <c r="M52" i="5"/>
  <c r="H50" i="4"/>
  <c r="P51" i="3"/>
  <c r="I49" i="3"/>
  <c r="E48" i="5" s="1"/>
  <c r="I8" i="3"/>
  <c r="E7" i="5" s="1"/>
  <c r="T8" i="3"/>
  <c r="S8" i="3"/>
  <c r="U8" i="3" s="1"/>
  <c r="Y8" i="3"/>
  <c r="AB8" i="3" s="1"/>
  <c r="AA8" i="3"/>
  <c r="I54" i="4"/>
  <c r="P55" i="3"/>
  <c r="M24" i="5"/>
  <c r="H24" i="5"/>
  <c r="Q24" i="3"/>
  <c r="R24" i="3" s="1"/>
  <c r="I38" i="4"/>
  <c r="G57" i="5"/>
  <c r="C88" i="2"/>
  <c r="D88" i="2"/>
  <c r="H20" i="5"/>
  <c r="M20" i="5"/>
  <c r="S20" i="3"/>
  <c r="U20" i="3" s="1"/>
  <c r="I20" i="3"/>
  <c r="E19" i="5" s="1"/>
  <c r="AA20" i="3"/>
  <c r="T20" i="3"/>
  <c r="Y54" i="3"/>
  <c r="AB54" i="3" s="1"/>
  <c r="O39" i="3"/>
  <c r="Q39" i="3"/>
  <c r="R39" i="3" s="1"/>
  <c r="L38" i="4" s="1"/>
  <c r="Q45" i="3"/>
  <c r="R45" i="3" s="1"/>
  <c r="O45" i="3"/>
  <c r="H54" i="4"/>
  <c r="AA10" i="3"/>
  <c r="S10" i="3"/>
  <c r="U10" i="3" s="1"/>
  <c r="T10" i="3"/>
  <c r="P24" i="3"/>
  <c r="I50" i="4"/>
  <c r="I10" i="3"/>
  <c r="E9" i="5" s="1"/>
  <c r="Q10" i="3"/>
  <c r="R10" i="3" s="1"/>
  <c r="O10" i="3"/>
  <c r="T14" i="3"/>
  <c r="S14" i="3"/>
  <c r="U14" i="3" s="1"/>
  <c r="AA14" i="3"/>
  <c r="H16" i="4"/>
  <c r="D60" i="2"/>
  <c r="I58" i="5"/>
  <c r="I28" i="4"/>
  <c r="H28" i="4"/>
  <c r="P29" i="3"/>
  <c r="D72" i="2"/>
  <c r="C72" i="2"/>
  <c r="G41" i="5"/>
  <c r="C82" i="2"/>
  <c r="D82" i="2"/>
  <c r="G51" i="5"/>
  <c r="Y27" i="3"/>
  <c r="AB27" i="3" s="1"/>
  <c r="T27" i="3"/>
  <c r="AA27" i="3"/>
  <c r="H34" i="4"/>
  <c r="I34" i="4"/>
  <c r="P35" i="3"/>
  <c r="Q56" i="3"/>
  <c r="R56" i="3" s="1"/>
  <c r="O56" i="3"/>
  <c r="I15" i="4"/>
  <c r="H15" i="4"/>
  <c r="AA28" i="3"/>
  <c r="Y28" i="3"/>
  <c r="AB28" i="3" s="1"/>
  <c r="T28" i="3"/>
  <c r="S28" i="3"/>
  <c r="U28" i="3" s="1"/>
  <c r="I45" i="3"/>
  <c r="E44" i="5" s="1"/>
  <c r="AA45" i="3"/>
  <c r="T45" i="3"/>
  <c r="S45" i="3"/>
  <c r="U45" i="3" s="1"/>
  <c r="AA50" i="3"/>
  <c r="Y50" i="3"/>
  <c r="AB50" i="3" s="1"/>
  <c r="T50" i="3"/>
  <c r="S50" i="3"/>
  <c r="U50" i="3" s="1"/>
  <c r="T13" i="3"/>
  <c r="I13" i="3"/>
  <c r="E12" i="5" s="1"/>
  <c r="I28" i="3"/>
  <c r="Q48" i="3"/>
  <c r="R48" i="3" s="1"/>
  <c r="L47" i="4" s="1"/>
  <c r="O48" i="3"/>
  <c r="I50" i="3"/>
  <c r="E49" i="5" s="1"/>
  <c r="M57" i="5"/>
  <c r="H57" i="5"/>
  <c r="AA34" i="3"/>
  <c r="T34" i="3"/>
  <c r="S34" i="3"/>
  <c r="U34" i="3" s="1"/>
  <c r="S13" i="3"/>
  <c r="U13" i="3" s="1"/>
  <c r="Q25" i="3"/>
  <c r="R25" i="3" s="1"/>
  <c r="L24" i="4" s="1"/>
  <c r="C67" i="2"/>
  <c r="G36" i="5"/>
  <c r="Q40" i="3"/>
  <c r="R40" i="3" s="1"/>
  <c r="L39" i="4" s="1"/>
  <c r="T7" i="3"/>
  <c r="I7" i="3"/>
  <c r="E6" i="5" s="1"/>
  <c r="Q26" i="3"/>
  <c r="R26" i="3" s="1"/>
  <c r="I56" i="3"/>
  <c r="E55" i="5" s="1"/>
  <c r="S7" i="3"/>
  <c r="U7" i="3" s="1"/>
  <c r="Q43" i="3"/>
  <c r="R43" i="3" s="1"/>
  <c r="O43" i="3"/>
  <c r="H49" i="4"/>
  <c r="Y9" i="3"/>
  <c r="AB9" i="3" s="1"/>
  <c r="L8" i="4" s="1"/>
  <c r="S9" i="3"/>
  <c r="U9" i="3" s="1"/>
  <c r="Y20" i="3"/>
  <c r="AB20" i="3" s="1"/>
  <c r="I9" i="3"/>
  <c r="E8" i="5" s="1"/>
  <c r="Q16" i="3"/>
  <c r="R16" i="3" s="1"/>
  <c r="H9" i="4"/>
  <c r="I55" i="4"/>
  <c r="Q31" i="3"/>
  <c r="R31" i="3" s="1"/>
  <c r="Q37" i="3"/>
  <c r="R37" i="3" s="1"/>
  <c r="L36" i="4" s="1"/>
  <c r="P50" i="3"/>
  <c r="S56" i="3"/>
  <c r="U56" i="3" s="1"/>
  <c r="AA22" i="3"/>
  <c r="T22" i="3"/>
  <c r="S22" i="3"/>
  <c r="U22" i="3" s="1"/>
  <c r="M55" i="5"/>
  <c r="H55" i="5"/>
  <c r="AA16" i="3"/>
  <c r="T16" i="3"/>
  <c r="S16" i="3"/>
  <c r="U16" i="3" s="1"/>
  <c r="I22" i="3"/>
  <c r="E21" i="5" s="1"/>
  <c r="Q38" i="3"/>
  <c r="R38" i="3" s="1"/>
  <c r="O38" i="3"/>
  <c r="O26" i="3"/>
  <c r="P10" i="3"/>
  <c r="D55" i="2"/>
  <c r="C55" i="2"/>
  <c r="AA6" i="3"/>
  <c r="I6" i="3"/>
  <c r="E5" i="5" s="1"/>
  <c r="H41" i="5"/>
  <c r="H55" i="4"/>
  <c r="N60" i="3"/>
  <c r="O60" i="3" s="1"/>
  <c r="Y7" i="3"/>
  <c r="AB7" i="3" s="1"/>
  <c r="O9" i="3"/>
  <c r="M23" i="5"/>
  <c r="H23" i="5"/>
  <c r="S25" i="3"/>
  <c r="U25" i="3" s="1"/>
  <c r="S31" i="3"/>
  <c r="U31" i="3" s="1"/>
  <c r="Q53" i="3"/>
  <c r="R53" i="3" s="1"/>
  <c r="L52" i="4" s="1"/>
  <c r="T55" i="3"/>
  <c r="S55" i="3"/>
  <c r="U55" i="3" s="1"/>
  <c r="Y55" i="3"/>
  <c r="AB55" i="3" s="1"/>
  <c r="T56" i="3"/>
  <c r="M45" i="5"/>
  <c r="Q20" i="3"/>
  <c r="R20" i="3" s="1"/>
  <c r="L19" i="4" s="1"/>
  <c r="Q32" i="3"/>
  <c r="R32" i="3" s="1"/>
  <c r="L31" i="4" s="1"/>
  <c r="O32" i="3"/>
  <c r="S40" i="3"/>
  <c r="U40" i="3" s="1"/>
  <c r="AA40" i="3"/>
  <c r="I16" i="3"/>
  <c r="E15" i="5" s="1"/>
  <c r="I40" i="3"/>
  <c r="E39" i="5" s="1"/>
  <c r="Q54" i="3"/>
  <c r="R54" i="3" s="1"/>
  <c r="L53" i="4" s="1"/>
  <c r="O54" i="3"/>
  <c r="P16" i="3"/>
  <c r="O19" i="3"/>
  <c r="I21" i="3"/>
  <c r="E20" i="5" s="1"/>
  <c r="Y22" i="3"/>
  <c r="AB22" i="3" s="1"/>
  <c r="T31" i="3"/>
  <c r="T33" i="3"/>
  <c r="S33" i="3"/>
  <c r="U33" i="3" s="1"/>
  <c r="S53" i="3"/>
  <c r="U53" i="3" s="1"/>
  <c r="I55" i="3"/>
  <c r="E54" i="5" s="1"/>
  <c r="M16" i="5"/>
  <c r="M47" i="5"/>
  <c r="H24" i="4"/>
  <c r="AA11" i="3"/>
  <c r="AA30" i="3"/>
  <c r="I43" i="3"/>
  <c r="E42" i="5" s="1"/>
  <c r="I48" i="3"/>
  <c r="E47" i="5" s="1"/>
  <c r="H34" i="5"/>
  <c r="P13" i="3"/>
  <c r="L60" i="3"/>
  <c r="O31" i="3"/>
  <c r="O53" i="3"/>
  <c r="T43" i="3"/>
  <c r="B24" i="2" l="1"/>
  <c r="C24" i="2"/>
  <c r="L6" i="4"/>
  <c r="L37" i="4"/>
  <c r="J21" i="8"/>
  <c r="H36" i="8"/>
  <c r="C75" i="2"/>
  <c r="D75" i="2"/>
  <c r="G44" i="5"/>
  <c r="L26" i="4"/>
  <c r="L44" i="4"/>
  <c r="M48" i="5"/>
  <c r="H48" i="5"/>
  <c r="G31" i="5"/>
  <c r="D62" i="2"/>
  <c r="C62" i="2"/>
  <c r="D78" i="2"/>
  <c r="C78" i="2"/>
  <c r="G47" i="5"/>
  <c r="L23" i="4"/>
  <c r="L13" i="4"/>
  <c r="C26" i="2"/>
  <c r="E15" i="7"/>
  <c r="B26" i="2"/>
  <c r="E14" i="7"/>
  <c r="G50" i="5"/>
  <c r="D81" i="2"/>
  <c r="C81" i="2"/>
  <c r="G38" i="5"/>
  <c r="D69" i="2"/>
  <c r="C69" i="2"/>
  <c r="H58" i="4"/>
  <c r="Q60" i="3"/>
  <c r="G40" i="5"/>
  <c r="D71" i="2"/>
  <c r="C71" i="2"/>
  <c r="C37" i="2"/>
  <c r="D37" i="2"/>
  <c r="G6" i="5"/>
  <c r="B29" i="2"/>
  <c r="C29" i="2"/>
  <c r="C57" i="2"/>
  <c r="D57" i="2"/>
  <c r="G26" i="5"/>
  <c r="D77" i="2"/>
  <c r="C77" i="2"/>
  <c r="G46" i="5"/>
  <c r="G18" i="5"/>
  <c r="D49" i="2"/>
  <c r="C49" i="2"/>
  <c r="D80" i="2"/>
  <c r="G49" i="5"/>
  <c r="C80" i="2"/>
  <c r="Y60" i="3"/>
  <c r="D87" i="2"/>
  <c r="C87" i="2"/>
  <c r="G56" i="5"/>
  <c r="C45" i="2"/>
  <c r="G14" i="5"/>
  <c r="D45" i="2"/>
  <c r="C58" i="2"/>
  <c r="D58" i="2"/>
  <c r="C63" i="2"/>
  <c r="D63" i="2"/>
  <c r="G32" i="5"/>
  <c r="G16" i="5"/>
  <c r="D47" i="2"/>
  <c r="C47" i="2"/>
  <c r="H43" i="5"/>
  <c r="M43" i="5"/>
  <c r="M37" i="5"/>
  <c r="H37" i="5"/>
  <c r="G52" i="5"/>
  <c r="D83" i="2"/>
  <c r="C83" i="2"/>
  <c r="L30" i="4"/>
  <c r="M13" i="5"/>
  <c r="H13" i="5"/>
  <c r="D48" i="2"/>
  <c r="C48" i="2"/>
  <c r="G17" i="5"/>
  <c r="D43" i="2"/>
  <c r="G12" i="5"/>
  <c r="C43" i="2"/>
  <c r="L27" i="4"/>
  <c r="G33" i="5"/>
  <c r="C64" i="2"/>
  <c r="D64" i="2"/>
  <c r="C12" i="7"/>
  <c r="G48" i="5"/>
  <c r="D79" i="2"/>
  <c r="C79" i="2"/>
  <c r="D65" i="2"/>
  <c r="G34" i="5"/>
  <c r="C65" i="2"/>
  <c r="C73" i="2"/>
  <c r="D73" i="2"/>
  <c r="G42" i="5"/>
  <c r="D51" i="2"/>
  <c r="G20" i="5"/>
  <c r="C51" i="2"/>
  <c r="L25" i="4"/>
  <c r="H49" i="5"/>
  <c r="M49" i="5"/>
  <c r="D59" i="2"/>
  <c r="C59" i="2"/>
  <c r="G28" i="5"/>
  <c r="L7" i="4"/>
  <c r="D39" i="2"/>
  <c r="G8" i="5"/>
  <c r="C39" i="2"/>
  <c r="M19" i="5"/>
  <c r="H19" i="5"/>
  <c r="G21" i="5"/>
  <c r="D52" i="2"/>
  <c r="C52" i="2"/>
  <c r="H25" i="5"/>
  <c r="M25" i="5"/>
  <c r="C27" i="2"/>
  <c r="L48" i="4"/>
  <c r="H10" i="5"/>
  <c r="M10" i="5"/>
  <c r="L42" i="4"/>
  <c r="H9" i="5"/>
  <c r="M9" i="5"/>
  <c r="H7" i="5"/>
  <c r="M7" i="5"/>
  <c r="D44" i="2"/>
  <c r="C44" i="2"/>
  <c r="G13" i="5"/>
  <c r="H15" i="5"/>
  <c r="M15" i="5"/>
  <c r="D54" i="2"/>
  <c r="G23" i="5"/>
  <c r="C54" i="2"/>
  <c r="H31" i="5"/>
  <c r="M31" i="5"/>
  <c r="M21" i="5"/>
  <c r="H21" i="5"/>
  <c r="L33" i="4"/>
  <c r="D38" i="2"/>
  <c r="C38" i="2"/>
  <c r="G7" i="5"/>
  <c r="B28" i="2"/>
  <c r="C31" i="2"/>
  <c r="C28" i="2"/>
  <c r="D84" i="2"/>
  <c r="G53" i="5"/>
  <c r="C84" i="2"/>
  <c r="D61" i="2"/>
  <c r="C61" i="2"/>
  <c r="G30" i="5"/>
  <c r="M33" i="5"/>
  <c r="H33" i="5"/>
  <c r="M53" i="5"/>
  <c r="H53" i="5"/>
  <c r="D21" i="8"/>
  <c r="D36" i="8"/>
  <c r="I60" i="3"/>
  <c r="C13" i="7"/>
  <c r="F15" i="7"/>
  <c r="C15" i="7"/>
  <c r="H34" i="8"/>
  <c r="J34" i="8" s="1"/>
  <c r="C14" i="7"/>
  <c r="B26" i="8"/>
  <c r="J19" i="8"/>
  <c r="J18" i="8"/>
  <c r="F13" i="7"/>
  <c r="F14" i="7"/>
  <c r="G55" i="5"/>
  <c r="D86" i="2"/>
  <c r="C86" i="2"/>
  <c r="M39" i="5"/>
  <c r="H39" i="5"/>
  <c r="M5" i="5"/>
  <c r="H5" i="5"/>
  <c r="L15" i="4"/>
  <c r="L55" i="4"/>
  <c r="G9" i="5"/>
  <c r="D40" i="2"/>
  <c r="C40" i="2"/>
  <c r="F12" i="7"/>
  <c r="G22" i="5"/>
  <c r="D53" i="2"/>
  <c r="C53" i="2"/>
  <c r="G10" i="5"/>
  <c r="D41" i="2"/>
  <c r="C41" i="2"/>
  <c r="H29" i="5"/>
  <c r="M29" i="5"/>
  <c r="D56" i="2"/>
  <c r="G25" i="5"/>
  <c r="C56" i="2"/>
  <c r="M26" i="5"/>
  <c r="H26" i="5"/>
  <c r="G37" i="5"/>
  <c r="C68" i="2"/>
  <c r="D68" i="2"/>
  <c r="G54" i="5"/>
  <c r="D85" i="2"/>
  <c r="C85" i="2"/>
  <c r="L54" i="4"/>
  <c r="L10" i="4"/>
  <c r="M44" i="5"/>
  <c r="H44" i="5"/>
  <c r="G43" i="5"/>
  <c r="C74" i="2"/>
  <c r="D74" i="2"/>
  <c r="L43" i="4"/>
  <c r="J20" i="8"/>
  <c r="J37" i="8"/>
  <c r="H37" i="8"/>
  <c r="L49" i="4"/>
  <c r="L9" i="4"/>
  <c r="D12" i="7"/>
  <c r="D13" i="7" l="1"/>
  <c r="R60" i="3"/>
  <c r="B25" i="2"/>
  <c r="C25" i="2"/>
  <c r="D15" i="7"/>
  <c r="D14" i="7"/>
  <c r="AB60" i="3"/>
  <c r="J36" i="8"/>
  <c r="H35" i="8"/>
  <c r="J35" i="8" s="1"/>
  <c r="D37" i="8"/>
  <c r="D20" i="8"/>
  <c r="M58" i="5"/>
</calcChain>
</file>

<file path=xl/sharedStrings.xml><?xml version="1.0" encoding="utf-8"?>
<sst xmlns="http://schemas.openxmlformats.org/spreadsheetml/2006/main" count="434" uniqueCount="370">
  <si>
    <t>SPA OPTIMIZER V3  —  HOW TO USE</t>
  </si>
  <si>
    <t>Isuzu Motors Europe  ·  Parts &amp; Aftersales  ·  Special Pricing Agreement Tool</t>
  </si>
  <si>
    <t>PURPOSE</t>
  </si>
  <si>
    <t>Compares L12 SAP actuals versus a proposed SPA price and volume commitment. Quantifies profit impact, break-even conditions, and IML/IMIT purchase support required. V3 adds customer-safe output (Customer View), IML brief, management business case, scenario modelling, and SPA Health Check.</t>
  </si>
  <si>
    <t>TAB GUIDE — WHO USES WHAT</t>
  </si>
  <si>
    <t>Tab</t>
  </si>
  <si>
    <t>Audience</t>
  </si>
  <si>
    <t>Colour</t>
  </si>
  <si>
    <t>Purpose</t>
  </si>
  <si>
    <t>How to Use</t>
  </si>
  <si>
    <t>Everyone</t>
  </si>
  <si>
    <t>Blue</t>
  </si>
  <si>
    <t>This page. Start here before opening anything else.</t>
  </si>
  <si>
    <t>Assumptions</t>
  </si>
  <si>
    <t>ISZE internal</t>
  </si>
  <si>
    <t>Green</t>
  </si>
  <si>
    <t>Set all inputs. Read the SPA Health Check at bottom before sharing anything.</t>
  </si>
  <si>
    <t>SPA Optimizer</t>
  </si>
  <si>
    <t>Core engine. Blue cells = inputs. All other cells are formulas — do not edit.</t>
  </si>
  <si>
    <t>Customer View</t>
  </si>
  <si>
    <t>Share with Distributor</t>
  </si>
  <si>
    <t>Red</t>
  </si>
  <si>
    <t>Customer-safe: list price, SPA price, saving %, GBP. No ISZE cost/margin data. Safe to email.</t>
  </si>
  <si>
    <t>IML_IMIT Brief</t>
  </si>
  <si>
    <t>IML / IMIT only</t>
  </si>
  <si>
    <t>Orange</t>
  </si>
  <si>
    <t>Confidential. Full cost data, required cut %, €-sacrifice, volume upside, 6-section rationale. Never share with distributors.</t>
  </si>
  <si>
    <t>SPA Rationale</t>
  </si>
  <si>
    <t>ISZE management</t>
  </si>
  <si>
    <t>9-section business case for Management Approvers. Retention risk, financials, recommendation pre-populated.</t>
  </si>
  <si>
    <t>Scenario Planner</t>
  </si>
  <si>
    <t>Four scenarios: Partial / Full / Full+IML (★) / Enhanced. Use to frame approval requests.</t>
  </si>
  <si>
    <t>STEP-BY-STEP WORKFLOW</t>
  </si>
  <si>
    <t>STEP 1  Assumptions</t>
  </si>
  <si>
    <t>Set customer name, market, SPA ref, validity dates, IML cut %, GBP/EUR, retention risk score, volume growth assumption. Then read the SPA Health Check — it tells you whether the SPA is approvable, needs IML support, or needs renegotiation before you go further.</t>
  </si>
  <si>
    <t>STEP 2  SPA Optimizer inputs</t>
  </si>
  <si>
    <t>Blue cells are your inputs: Purchase Price (€), ISZE Sales Price (€), L12 Qty and Revenue (from SAP), SPA Price (€), and SPA Qty committed by Distributor. Everything else calculates automatically.</t>
  </si>
  <si>
    <t>STEP 3  Review results</t>
  </si>
  <si>
    <t>Status (no cut) = viable without IML.  Status w/ Cut = viable with IML cut from Assumptions. Min Qty and Min Price = your floor conditions. Req IML Cut % (col AA) = what you take to Japan.</t>
  </si>
  <si>
    <t>STEP 4  Scenario Planner</t>
  </si>
  <si>
    <t>Four scenarios. Full+IML = recommended (green). Use to frame your internal approval request to Director and Management Approver.</t>
  </si>
  <si>
    <t>STEP 5  SPA Rationale</t>
  </si>
  <si>
    <t>Your management narrative. Retention risk, financial impact, recommendation pre-populated. Adapt the Recommendation section before sharing if needed.</t>
  </si>
  <si>
    <t>STEP 6  Share with Distributor</t>
  </si>
  <si>
    <t>Export or print Customer View tab ONLY. No ISZE cost or margin. Shows list price, SPA price, savings in € and GBP, volume commitment. Safe to email directly.</t>
  </si>
  <si>
    <t>STEP 7  Brief IML/IMIT</t>
  </si>
  <si>
    <t>Send IML_IMIT Brief to Japan — contains full cost data, required cut %, €-sacrifice, volume upside. Verify red-highlighted Column C (purchase price) is NEVER visible to distributors.</t>
  </si>
  <si>
    <t>CELL COLOUR CODE (SPA Optimizer tab)</t>
  </si>
  <si>
    <t>Blue text / blue bg</t>
  </si>
  <si>
    <t>Manual input — you edit these</t>
  </si>
  <si>
    <t>Black text</t>
  </si>
  <si>
    <t>Formula / auto-calculated — do not edit</t>
  </si>
  <si>
    <t>Green text</t>
  </si>
  <si>
    <t>Cross-sheet link from Assumptions tab</t>
  </si>
  <si>
    <t>Red/orange highlight</t>
  </si>
  <si>
    <t>Flagged issue or anomaly — needs review</t>
  </si>
  <si>
    <t>▲ BETTER</t>
  </si>
  <si>
    <t>SPA scenario generates more profit than L12</t>
  </si>
  <si>
    <t>▼ WORSE</t>
  </si>
  <si>
    <t>SPA scenario generates less profit than L12</t>
  </si>
  <si>
    <t>SPA OPTIMIZER — ASSUMPTIONS</t>
  </si>
  <si>
    <t>PARAMETER</t>
  </si>
  <si>
    <t>VALUE</t>
  </si>
  <si>
    <t>NOTES</t>
  </si>
  <si>
    <t>IML / IMIT Purchase Price Cut %</t>
  </si>
  <si>
    <t>% of purchase price that IML/IMIT reduces for ISZE. 0%=ISZE absorbs all. 0.05=IML gives 5% off.</t>
  </si>
  <si>
    <t>Minimum GM% Floor (ISZE reference)</t>
  </si>
  <si>
    <t>Reference floor — does NOT block calculations. Used to highlight margin erosion.</t>
  </si>
  <si>
    <t>FX Rate (JPY / EUR) — reference only</t>
  </si>
  <si>
    <t>Current FX context. Not used in EUR-EUR calculations.</t>
  </si>
  <si>
    <t>CUSTOMER &amp; SPA CONTEXT</t>
  </si>
  <si>
    <t>Customer / Distributor Name</t>
  </si>
  <si>
    <t>Distributor</t>
  </si>
  <si>
    <t>← edit as needed</t>
  </si>
  <si>
    <t>Market</t>
  </si>
  <si>
    <t>[Market]</t>
  </si>
  <si>
    <t>SPA Reference</t>
  </si>
  <si>
    <t>SPA Distributor</t>
  </si>
  <si>
    <t>SPA Valid From</t>
  </si>
  <si>
    <t>01/05/2026</t>
  </si>
  <si>
    <t>SPA Valid To</t>
  </si>
  <si>
    <t>30/04/2027</t>
  </si>
  <si>
    <t>Prepared by</t>
  </si>
  <si>
    <t>[Name]</t>
  </si>
  <si>
    <t>Currency display (customer)</t>
  </si>
  <si>
    <t>EUR</t>
  </si>
  <si>
    <t>GBP/EUR FX Rate</t>
  </si>
  <si>
    <t>N#/A</t>
  </si>
  <si>
    <t>Retention Risk Score (1–5)</t>
  </si>
  <si>
    <t>Competitor Threat</t>
  </si>
  <si>
    <t>IAM Competitors</t>
  </si>
  <si>
    <t>Volume Growth Assumption %</t>
  </si>
  <si>
    <t>SPA HEALTH CHECK  —  READ BEFORE SHARING</t>
  </si>
  <si>
    <t>Auto-calculated from SPA Optimizer. Updates whenever you change inputs above.</t>
  </si>
  <si>
    <t>KPI</t>
  </si>
  <si>
    <t>Current value</t>
  </si>
  <si>
    <t>Status</t>
  </si>
  <si>
    <t>SPA revenue delta vs L12</t>
  </si>
  <si>
    <t>ISZE profit w/ IML cut vs L12</t>
  </si>
  <si>
    <t>IML sacrifice required</t>
  </si>
  <si>
    <t>Lines viable without IML</t>
  </si>
  <si>
    <t>Lines viable WITH IML support</t>
  </si>
  <si>
    <t>Average SPA gross margin</t>
  </si>
  <si>
    <t>Net volume uplift vs L12</t>
  </si>
  <si>
    <t>★  OVERALL SPA VERDICT</t>
  </si>
  <si>
    <t>" "</t>
  </si>
  <si>
    <t>GM% FLOOR CHECK — PER LINE (Management Approver 25% minimum / 10% alarm)</t>
  </si>
  <si>
    <t>Live formulas. Green = above 30%  |  Amber = 25–30% (caution)  |  Red = below 25% (Management Approver alarm threshold)</t>
  </si>
  <si>
    <t>P/N</t>
  </si>
  <si>
    <t>Description</t>
  </si>
  <si>
    <t>SPA GM%</t>
  </si>
  <si>
    <t>Status vs 25% floor</t>
  </si>
  <si>
    <t>SPA OPTIMIZER  ·  Distributor  ·  ISZE</t>
  </si>
  <si>
    <t>Compare L12 actual vs SPA scenario  |  Profit impact  |  Break-even  |  Entity sharing</t>
  </si>
  <si>
    <t>Blue cells = inputs  |  Black = formulas  |  Green = from Assumptions sheet</t>
  </si>
  <si>
    <t>PART INFO</t>
  </si>
  <si>
    <t>◀  L12 BASELINE — ACTUAL (SAP)  ▶</t>
  </si>
  <si>
    <t>◀  SPA AS REQUESTED  ▶</t>
  </si>
  <si>
    <t>◀  DELTA vs L12  ▶</t>
  </si>
  <si>
    <t>◀  BREAK-EVEN  ▶</t>
  </si>
  <si>
    <t>◀  ENTITY SHARING — IML / IMIT CUT  ▶</t>
  </si>
  <si>
    <t>Purchase
Price (€)</t>
  </si>
  <si>
    <t>ISZE Sales
Price (€)</t>
  </si>
  <si>
    <t>L12
Qty</t>
  </si>
  <si>
    <t>L12
Revenue (€)</t>
  </si>
  <si>
    <t>L12
Cost (€)</t>
  </si>
  <si>
    <t>L12
Profit (€)</t>
  </si>
  <si>
    <t>L12
GM%</t>
  </si>
  <si>
    <t>SPA
Price (€)</t>
  </si>
  <si>
    <t>SPA Qty
Committed</t>
  </si>
  <si>
    <t>SPA
Revenue (€)</t>
  </si>
  <si>
    <t>Unit
Margin (€)</t>
  </si>
  <si>
    <t>SPA
Profit (€)</t>
  </si>
  <si>
    <t>SPA
GM%</t>
  </si>
  <si>
    <t>Δ Revenue
(€)</t>
  </si>
  <si>
    <t>Δ Profit
(€)</t>
  </si>
  <si>
    <t>Status
(no cut)</t>
  </si>
  <si>
    <t>Min Qty
@ SPA Price</t>
  </si>
  <si>
    <t>Min Price
@ SPA Qty</t>
  </si>
  <si>
    <t>Extra Qty
Needed</t>
  </si>
  <si>
    <t>IML
Cut %</t>
  </si>
  <si>
    <t>ISZE Cost
w/ Cut (€)</t>
  </si>
  <si>
    <t>SPA Profit
w/ Cut (€)</t>
  </si>
  <si>
    <t>Δ Profit
w/ Cut (€)</t>
  </si>
  <si>
    <t>IML €
Sacrifice</t>
  </si>
  <si>
    <t>Req IML
Cut %</t>
  </si>
  <si>
    <t>Status
w/ Cut</t>
  </si>
  <si>
    <t>LINK; DRAG</t>
  </si>
  <si>
    <t>EXPANDER</t>
  </si>
  <si>
    <t>CYLINDER; WHEEL,RR BRK</t>
  </si>
  <si>
    <t>FILTER; ACL,INNER</t>
  </si>
  <si>
    <t>PUMP ASM; WATER</t>
  </si>
  <si>
    <t>ELEMENT KIT;FUEL FILTER</t>
  </si>
  <si>
    <t>CLUTCH KIT</t>
  </si>
  <si>
    <t>STARTER ASM</t>
  </si>
  <si>
    <t>ABSORBER ASM; SHOCK,FRT</t>
  </si>
  <si>
    <t>KING PIN KIT</t>
  </si>
  <si>
    <t>BUMPER ASM; FRT</t>
  </si>
  <si>
    <t>SENSOR; SHORT RANGE RADAR</t>
  </si>
  <si>
    <t>LAMP ASM; RR COMB</t>
  </si>
  <si>
    <t>ROTOR; SENSOR</t>
  </si>
  <si>
    <t>NOZZLE ASM; INJ</t>
  </si>
  <si>
    <t>PLATE; STEP</t>
  </si>
  <si>
    <t>LAMP ASM; HEAD</t>
  </si>
  <si>
    <t>BUMPER; FRT,LWR</t>
  </si>
  <si>
    <t>ELEMENT KIT; PCV</t>
  </si>
  <si>
    <t>COOLER ASM; EGR</t>
  </si>
  <si>
    <t>CYLINDER ASM; CLUTCH MASTER</t>
  </si>
  <si>
    <t>CHAMBER; POWER</t>
  </si>
  <si>
    <t>CYLINDER; SLAVE,CLU</t>
  </si>
  <si>
    <t>VALVE; EGR</t>
  </si>
  <si>
    <t>OVERHAUL KIT; SUPPLY PUMP</t>
  </si>
  <si>
    <t>REPAIR KIT; AIR DRYER</t>
  </si>
  <si>
    <t>PAD KIT; CALIPER,DISC BRK,FRT</t>
  </si>
  <si>
    <t>DOOR ASM; FRT,WO/TRIM</t>
  </si>
  <si>
    <t>GASKET; CYL HD</t>
  </si>
  <si>
    <t>ELEMENT; OIL FILTER</t>
  </si>
  <si>
    <t>SWITCH; POWER WINDOW</t>
  </si>
  <si>
    <t>CALIPER; FRT DISC BRK</t>
  </si>
  <si>
    <t>CALIPER; RR DISC BRK</t>
  </si>
  <si>
    <t>SENSOR; NOX</t>
  </si>
  <si>
    <t>TOTAL</t>
  </si>
  <si>
    <t>53 part numbers</t>
  </si>
  <si>
    <t>FORMULA NOTES</t>
  </si>
  <si>
    <t>Min Qty @ SPA Price</t>
  </si>
  <si>
    <t>Minimum units Distributor must commit at the SPA price for ISZE to match L12 profit (assuming no IML/IMIT price support). Formula: L12 Profit ÷ (SPA Price − Purchase Price).</t>
  </si>
  <si>
    <t>Min Price @ SPA Qty</t>
  </si>
  <si>
    <t>Lowest acceptable SPA price at the committed SPA qty, for ISZE to match L12 profit (no IML cut). Formula: L12 Profit ÷ SPA Qty + Purchase Price.</t>
  </si>
  <si>
    <t>Required IML Cut %</t>
  </si>
  <si>
    <t>% by which IML/IMIT must reduce their sell price to ISZE so that ISZE matches L12 profit at the agreed SPA price &amp; qty. 0% = SPA already better than L12, no IML help needed. &gt;100% = not feasible. Formula: MAX(0, 1 − (SPA Price − L12 Profit/SPA Qty) ÷ Purchase Price).</t>
  </si>
  <si>
    <t>Entity Sharing logic</t>
  </si>
  <si>
    <t>When IML gives a cut (Assumptions!B3), ISZE's effective cost drops. IML Sacrifice = (Purchase Price − ISZE Cost w/ cut) × SPA Qty. Split the required cut between ISZE margin compression and IML price support to reach profit neutrality.</t>
  </si>
  <si>
    <t>SPECIAL PRICING AGREEMENT — CUSTOMER SUMMARY</t>
  </si>
  <si>
    <t>Current
List Price (€)</t>
  </si>
  <si>
    <t>Proposed
SPA Price (€)</t>
  </si>
  <si>
    <t>Saving
per Unit (€)</t>
  </si>
  <si>
    <t>Saving %</t>
  </si>
  <si>
    <t>Volume
Commitment</t>
  </si>
  <si>
    <t>Projected
Annual Spend (€)</t>
  </si>
  <si>
    <t>Savings vs
List Spend (€)</t>
  </si>
  <si>
    <t>Vol. Uplift vs L12</t>
  </si>
  <si>
    <t>Annual
Saving (€)</t>
  </si>
  <si>
    <t>SPA
Status</t>
  </si>
  <si>
    <t>SUMMARY FOR CUSTOMER</t>
  </si>
  <si>
    <t>What this SPA does:</t>
  </si>
  <si>
    <t>This agreement offers volume-linked pricing on selected Genuine Isuzu parts lines. By committing to the agreed purchase volumes, your business benefits from reduced unit costs while securing priority supply continuity — all parts fully covered by OEM warranty.</t>
  </si>
  <si>
    <t>Why Genuine parts?</t>
  </si>
  <si>
    <t>Genuine Isuzu parts are engineered to OEM specification, carry full warranty coverage, and reduce total R&amp;M lifecycle cost — protecting your customers' uptime SLAs, your workshop reputation, and eligibility for extended warranty programmes.</t>
  </si>
  <si>
    <t>Volume commitment:</t>
  </si>
  <si>
    <t>The quantities shown reflect realistic demand based on your fleet profile and historical purchase data. ISZE commits to priority availability and lead-time performance on all SPA lines for the duration of the agreement.</t>
  </si>
  <si>
    <t>Next step:</t>
  </si>
  <si>
    <t>Return the signed SPA confirmation with agreed quantities. Pricing activates from the agreed start date and is reviewed at 6 and 12 months against volume performance targets.</t>
  </si>
  <si>
    <t>IML / IMIT — PURCHASE SUPPORT BRIEF</t>
  </si>
  <si>
    <t>⚠  CONFIDENTIAL — FOR INTERNAL USE ONLY  |  Do NOT share with distributors</t>
  </si>
  <si>
    <t>ISZE Purchase
Price (€) ⚠</t>
  </si>
  <si>
    <t>ISZE Sales Price
(€)</t>
  </si>
  <si>
    <t>Current
ISZE GM%</t>
  </si>
  <si>
    <t>SPA Price
(€)</t>
  </si>
  <si>
    <t>L12 Qty</t>
  </si>
  <si>
    <t>Volume Uplift
(units)</t>
  </si>
  <si>
    <t>IML Revenue
Upside (€)</t>
  </si>
  <si>
    <t>53 lines</t>
  </si>
  <si>
    <t>RATIONALE FOR IML / IMIT PURCHASE SUPPORT</t>
  </si>
  <si>
    <t>Strategic context:</t>
  </si>
  <si>
    <t>The distributor is a key ISZE market by genuine parts turnover. The distributor market has a confirmed UIO of [X] Isuzu trucks ([Fleet Register], [Date]). Genuine parts capture rate on critical wear lines is estimated below 20% — the remainder goes to IAM competitors. This SPA is a direct counter-measure to prevent further volume erosion.</t>
  </si>
  <si>
    <t>Why IML/IMIT support is justified:</t>
  </si>
  <si>
    <t>IAM competitors systematically undercut Genuine Isuzu on price. Without SPA pricing relief, the distributor will continue routing to IAM for the lines listed above — meaning IML/IMIT loses the downstream volume permanently, not just the short-term margin. Every unit the distributor buys from IAM is a unit IML/IMIT does not ship.</t>
  </si>
  <si>
    <t>Volume argument:</t>
  </si>
  <si>
    <t>The committed SPA volumes represent a net uplift over L12 actuals (column L vs column K). At the requested IML cut %, the incremental volume more than compensates IML/IMIT for the unit price sacrifice. Net IML revenue upside per line is shown in column M above.</t>
  </si>
  <si>
    <t>Retention risk:</t>
  </si>
  <si>
    <t>Distributor retention risk is rated [X]/5 (see Assumptions tab). Loss of this distributor as a genuine parts customer would put significant annualised genuine parts revenue at risk across all categories — not just the lines in this SPA. The cost of recovering a disengaged distributor is 3–5× the cost of this SPA.</t>
  </si>
  <si>
    <t>Proposed split:</t>
  </si>
  <si>
    <t>ISZE proposes IML/IMIT absorbs the Required IML Cut % (column H above) to bring ISZE to profit-neutrality vs L12 baseline. ISZE accepts margin compression on incremental volume. This is a shared investment in market recovery, not a unilateral discount request.</t>
  </si>
  <si>
    <t>Request:</t>
  </si>
  <si>
    <t>Approval of the purchase price reductions listed in column H, effective from the SPA start date. ISZE commits to monthly volume compliance tracking and a formal Q3 [Year] review report to IML/IMIT.</t>
  </si>
  <si>
    <t>⚠  Column C (Purchase Price) highlighted in red = ISZE cost data — CONFIDENTIAL. Share 'Customer View' tab only with Distributor/distributors.</t>
  </si>
  <si>
    <t>SPA APPROVAL REQUEST — MANAGEMENT APPROVER</t>
  </si>
  <si>
    <t>Customer: Distributor  ·  53 part lines  ·  [Date]  ·  Prepared by: [Name]</t>
  </si>
  <si>
    <t>A.  PROCESS — IN LINE WITH AGREED APPROVAL PROCEDURE</t>
  </si>
  <si>
    <t>In your earlier instruction, you instructed that all future support be explained to you before any agreement is reached with the distributor. This submission follows that process:
1.  ROI study completed in full before approaching Distributor (see Section C below).
2.  No commitment made to Distributor pending your approval.
3.  IML/IMIT purchase support requirement quantified and presented for your consideration before any bilateral discussion with Japan.
We are presenting this to you first. Distributor has not been given a price commitment.</t>
  </si>
  <si>
    <t>B.  THE THREE KEY FIGURES</t>
  </si>
  <si>
    <t>The figures below answer the three questions you typically require before approving support.</t>
  </si>
  <si>
    <t>1.  What is the purpose of this support?</t>
  </si>
  <si>
    <t>Price support on 53 part lines where IAM competitors undercut ISZE genuine prices by 25–40%. Without SPA pricing, Distributor routes to aftermarket and ISZE loses the upstream volume entirely. This SPA is a structured defence — price relief linked to volume commitment, time-bounded at 12 months.</t>
  </si>
  <si>
    <t>2.  What does ISZE earn from it — GP (€) and GP (%)?</t>
  </si>
  <si>
    <t>Refer to the SPA Optimizer TOTAL row for live figures.
• L12 baseline (no SPA): L12 Profit TOTAL | L12 GM%
• SPA scenario (with IML support): SPA Profit w/ Cut TOTAL | SPA GM%
• Delta: Δ Profit w/ Cut TOTAL
GM% floor compliance per line is detailed in Section D and the Assumptions tab. Without this SPA, if the distributor migrates to IAM, ISZE gross profit on these lines trends toward €0.</t>
  </si>
  <si>
    <t>3.  What is the rationale behind the support amount?</t>
  </si>
  <si>
    <t>IML/IMIT purchase price reduction required:  average 16.7% on lines needing support
Total IML sacrifice (all 53 lines):  → SPA Optimizer: IML € Sacrifice TOTAL
This is the minimum IML reduction needed to bring ISZE to profit-neutrality vs L12 at SPA prices and committed volumes. It is not a lump subsidy — it is a unit cost adjustment that scales with actual volume shipped.</t>
  </si>
  <si>
    <t>C.  ROI SUMMARY</t>
  </si>
  <si>
    <t>Investment / return framing:</t>
  </si>
  <si>
    <t>IML investment
(sacrifice)</t>
  </si>
  <si>
    <t>GP defended
(ISZE, w/ IML)</t>
  </si>
  <si>
    <t>Return on IML
investment</t>
  </si>
  <si>
    <t>Revenue at risk
if SPA declined</t>
  </si>
  <si>
    <t>→ SPA Optimizer: IML € Sacrifice TOTAL</t>
  </si>
  <si>
    <t>→ SPA Optimizer: SPA Profit w/ Cut TOTAL</t>
  </si>
  <si>
    <t>GP defended ÷ IML sacrifice (calculate from TOTAL row)</t>
  </si>
  <si>
    <t>[Total at-risk revenue — fill from distributor analysis]</t>
  </si>
  <si>
    <t>IML/IMIT investment (sacrifice)</t>
  </si>
  <si>
    <t>ISZE GP defended at SPA + IML</t>
  </si>
  <si>
    <t>Return ratio: GP per € of IML sacrifice</t>
  </si>
  <si>
    <t>Total genuine parts revenue at risk if distributor migrates to IAM</t>
  </si>
  <si>
    <t>D.  GROSS MARGIN FLOOR CHECK — ALL LINES</t>
  </si>
  <si>
    <t>You have indicated that GM% falling to ~10% requires scrutiny. All lines are checked in the Assumptions tab (GM% Floor Check) against a 25% floor (caution) and 10% floor (alarm). Lines below 30% require explanation — update the table below after reviewing the Assumptions tab output.</t>
  </si>
  <si>
    <t>L12 GM%</t>
  </si>
  <si>
    <t>vs 25% floor</t>
  </si>
  <si>
    <t>vs 30% floor</t>
  </si>
  <si>
    <t>Explanation</t>
  </si>
  <si>
    <t>[P/N — from Assumptions GM check]</t>
  </si>
  <si>
    <t>[Description]</t>
  </si>
  <si>
    <t>[L12 GM%]</t>
  </si>
  <si>
    <t>[SPA GM%]</t>
  </si>
  <si>
    <t>[vs 25% floor]</t>
  </si>
  <si>
    <t>[vs 30% floor]</t>
  </si>
  <si>
    <t>[Explanation — required for any line below 30% GM]</t>
  </si>
  <si>
    <t>E.  THE ASK — TWO DECISIONS REQUIRED</t>
  </si>
  <si>
    <t>We are requesting two approvals:
DECISION 1:  Approve the SPA with Distributor at the prices and volumes shown in the SPA Optimizer tab. This commits ISZE to offer SPA pricing conditional on Distributor meeting volume commitments. No cost to ISZE beyond the GM reduction already quantified.
DECISION 2:  Authorise ISZE to present the required IML/IMIT purchase price reduction (average 16.7%, total IML sacrifice → SPA Optimizer: IML € Sacrifice TOTAL) to IML as part of the normal bilateral commercial discussion. This is not a request to commit IML — it is a request to open the conversation with Japan on our behalf.
Both decisions are bounded: 12-month SPA, reviewed at Q3 [Year] against volume targets. If Distributor does not meet 80% of committed volumes at 6 months, ISZE reserves the right to withdraw SPA pricing without penalty.</t>
  </si>
  <si>
    <t>F.  BACKGROUND — COMMERCIAL CONTEXT</t>
  </si>
  <si>
    <t>Why Distributor?</t>
  </si>
  <si>
    <t>The distributor is ISZE's largest distributor by genuine parts turnover. Distributor UIO is [X] trucks (confirmed, [Date]). Genuine brake parts capture rate is below 15% — the remainder is lost to IAM competitors at prices 25–40% below current ISZE SP.</t>
  </si>
  <si>
    <t>Why an SPA and not a general price reduction?</t>
  </si>
  <si>
    <t>An SPA links price relief to volume commitment. Distributor commits to specific quantities — ISZE only offers the reduced price if volumes are met. A general price reduction gives the same discount with no volume guarantee. The SPA is the fiscally responsible instrument.</t>
  </si>
  <si>
    <t>Why now?</t>
  </si>
  <si>
    <t>Distributor is actively reviewing its parts supply chain. A decision delayed risks Distributor formalising IAM supply contracts that will be structurally harder to dislodge. Workshop staff begin recommending alternative brands once genuine is structurally unavailable at competitive price points — recovery then requires active re-engagement campaigns, not just price correction.</t>
  </si>
  <si>
    <t>What happens if the SPA is declined?</t>
  </si>
  <si>
    <t>ISZE continues at current SP levels. Distributor continues routing to IAM for these 53 lines. L12 volume on these lines will erode at an estimated 10–15% per year based on current trend. Within 3 years, genuine parts revenue on part lines at Distributor trends toward €0. The total at-risk genuine parts revenue across Distributor (all categories) is €400K–€600K annualised if Distributor formally disengages from genuine parts.</t>
  </si>
  <si>
    <t>Additional benefits not captured in the GP figures above</t>
  </si>
  <si>
    <t>1. Five-year warranty programme: Genuine parts fitment is a prerequisite for warranty programme participation. Benchmark dealer data shows highest extended warranty penetration in the network — directly linked to genuine parts use.
2. SPA as network template: This structure is replicable for [Other Markets] facing identical IAM pressure on brake and filtration lines.
3. Data visibility: SPA requires volume commitments from Distributor, improving ISZE forecast accuracy on these lines — a direct contribution to stock planning.</t>
  </si>
  <si>
    <t>APPENDIX — KEY ASSUMPTIONS</t>
  </si>
  <si>
    <t>• UIO: [X trucks] (confirmed, [Date] — fill from fleet register)  •  L12 volumes: SAP actuals  •  IML cut scenario: [X]% (editable in Assumptions tab)  •  FX: [X] JPY/EUR (editable in Assumptions tab)  •  Volume growth assumption: [X]% (editable in Assumptions tab)  •  Counterfactual: without SPA, L12 volumes erode 10–15%/year based on current IAM trend</t>
  </si>
  <si>
    <t>SPA SCENARIO PLANNER — OUTCOME MODELLING</t>
  </si>
  <si>
    <t>Models three SPA scenarios: Partial (lines with ▲ BETTER only) | Full (all 53 lines) | Enhanced (Full + volume growth assumption)</t>
  </si>
  <si>
    <t>SCENARIO INPUTS</t>
  </si>
  <si>
    <t>Volume Growth Assumption</t>
  </si>
  <si>
    <t>% additional volume vs committed qty</t>
  </si>
  <si>
    <t>IML Cut Applied</t>
  </si>
  <si>
    <t>From Assumptions tab</t>
  </si>
  <si>
    <t>GBP/EUR Rate</t>
  </si>
  <si>
    <t>For GBP output</t>
  </si>
  <si>
    <t>SCENARIO COMPARISON</t>
  </si>
  <si>
    <t>Scenario</t>
  </si>
  <si>
    <t>Lines
Included</t>
  </si>
  <si>
    <t>SPA Revenue
(€)</t>
  </si>
  <si>
    <t>ISZE Profit
vs L12 (€)</t>
  </si>
  <si>
    <t>IML
Sacrifice (€)</t>
  </si>
  <si>
    <t>Net Revenue
to ISZE (€)</t>
  </si>
  <si>
    <t>Assessment</t>
  </si>
  <si>
    <t>Partial — ▲ BETTER lines only</t>
  </si>
  <si>
    <t>2 of 53</t>
  </si>
  <si>
    <t>0</t>
  </si>
  <si>
    <t>Low risk — supports Distributor on viable lines only. Limited revenue recovery.</t>
  </si>
  <si>
    <t>Full — All 53 lines (no IML cut)</t>
  </si>
  <si>
    <t>12 of 53</t>
  </si>
  <si>
    <t>Maximum Distributor support. Significant ISZE margin impact without IML help.</t>
  </si>
  <si>
    <t>Full + IML Support (recommended)</t>
  </si>
  <si>
    <t>★ RECOMMENDED  — All SPA lines with IML purchase price cut</t>
  </si>
  <si>
    <t>Enhanced — Full + Volume Growth</t>
  </si>
  <si>
    <t>Upside scenario. Volume growth assumption realised. Strong ROI for all parties.</t>
  </si>
  <si>
    <t>ISUZU MOTORS EUROPE NV</t>
  </si>
  <si>
    <t>ISUZU</t>
  </si>
  <si>
    <t>Requested by</t>
  </si>
  <si>
    <t>Approved by</t>
  </si>
  <si>
    <t>Applicant</t>
  </si>
  <si>
    <t>Manager</t>
  </si>
  <si>
    <t>Director</t>
  </si>
  <si>
    <t>Managing Director</t>
  </si>
  <si>
    <t>[Manager Name]</t>
  </si>
  <si>
    <t>Masumi Hayakawa</t>
  </si>
  <si>
    <t>Norihiro Yoshimoto</t>
  </si>
  <si>
    <t>Date:</t>
  </si>
  <si>
    <t xml:space="preserve">Date: </t>
  </si>
  <si>
    <t>Promotional Parts Price Change Request</t>
  </si>
  <si>
    <t>PARTS CAMPAIGN</t>
  </si>
  <si>
    <t>Customer</t>
  </si>
  <si>
    <t>Name</t>
  </si>
  <si>
    <t>Sold To Party</t>
  </si>
  <si>
    <t>[SAP Customer Code]</t>
  </si>
  <si>
    <t>Country / Market</t>
  </si>
  <si>
    <t>SAP Branch</t>
  </si>
  <si>
    <t>[SAP Branch Code]</t>
  </si>
  <si>
    <t>Financial Overview — Current vs SPA Proposal</t>
  </si>
  <si>
    <t>CURRENT (L12 Baseline)</t>
  </si>
  <si>
    <t>SPA PROPOSAL (with IML support)</t>
  </si>
  <si>
    <t>TOTALS</t>
  </si>
  <si>
    <t>Total Revenue (€)</t>
  </si>
  <si>
    <t>Total SPA Revenue (€)</t>
  </si>
  <si>
    <t>Purchase Cost (€)</t>
  </si>
  <si>
    <t>Gross Margin %</t>
  </si>
  <si>
    <t>Gross Profit (€)</t>
  </si>
  <si>
    <t>Validity</t>
  </si>
  <si>
    <t>From:</t>
  </si>
  <si>
    <t>To:</t>
  </si>
  <si>
    <t>Repetition</t>
  </si>
  <si>
    <t>No</t>
  </si>
  <si>
    <t>Background &amp; Justification</t>
  </si>
  <si>
    <t>(Unit: €)</t>
  </si>
  <si>
    <t>【Business Impact】</t>
  </si>
  <si>
    <t>L12 Baseline</t>
  </si>
  <si>
    <t>Budget / Target</t>
  </si>
  <si>
    <t>After SPA
(with IML support)</t>
  </si>
  <si>
    <t>Δ Impact vs L12</t>
  </si>
  <si>
    <t>SAP Actuals</t>
  </si>
  <si>
    <t>[Fill]</t>
  </si>
  <si>
    <t>SPA Year 1</t>
  </si>
  <si>
    <t>SPA vs L12</t>
  </si>
  <si>
    <t>Revenue (€)</t>
  </si>
  <si>
    <t>[Target]</t>
  </si>
  <si>
    <t>1 EUR =</t>
  </si>
  <si>
    <t>Not applicable — EUR</t>
  </si>
  <si>
    <t>Comments from Approver,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</si>
</sst>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0.00;\(#,##0.00\);\-"/>
    <numFmt numFmtId="167" formatCode="#,##0;\(#,##0\);\-"/>
    <numFmt numFmtId="168" formatCode="\€#,##0.00"/>
    <numFmt numFmtId="169" formatCode="\€#,##0"/>
    <numFmt numFmtId="170" formatCode="\+0.0%;\-0.0%;\-"/>
    <numFmt numFmtId="171" formatCode="\+#,##0;\-#,##0;\-"/>
    <numFmt numFmtId="172" formatCode="\€#,##0;&quot;(€&quot;#,##0\);\-"/>
    <numFmt numFmtId="173" formatCode="dd\-mmm\-yyyy"/>
    <numFmt numFmtId="174" formatCode="#,##0&quot; €&quot;"/>
  </numFmts>
  <fonts count="44">
    <font>
      <sz val="11"/>
      <color theme="1"/>
      <name val="Calibri"/>
      <family val="2"/>
      <charset val="1"/>
    </font>
    <font>
      <b/>
      <sz val="14"/>
      <color rgb="FFFFFFFF"/>
      <name val="Arial"/>
      <family val="2"/>
      <charset val="1"/>
    </font>
    <font>
      <sz val="9"/>
      <color rgb="FFAAAAAA"/>
      <name val="Arial"/>
      <family val="2"/>
      <charset val="1"/>
    </font>
    <font>
      <b/>
      <sz val="11"/>
      <color rgb="FFFFFFFF"/>
      <name val="Arial"/>
      <family val="2"/>
      <charset val="1"/>
    </font>
    <font>
      <sz val="9"/>
      <color rgb="FF000000"/>
      <name val="Arial"/>
      <family val="2"/>
      <charset val="1"/>
    </font>
    <font>
      <b/>
      <sz val="9"/>
      <color rgb="FFFFFFFF"/>
      <name val="Arial"/>
      <family val="2"/>
      <charset val="1"/>
    </font>
    <font>
      <b/>
      <sz val="9"/>
      <color rgb="FF000000"/>
      <name val="Arial"/>
      <family val="2"/>
      <charset val="1"/>
    </font>
    <font>
      <b/>
      <sz val="9"/>
      <color rgb="FF1F4E79"/>
      <name val="Arial"/>
      <family val="2"/>
      <charset val="1"/>
    </font>
    <font>
      <b/>
      <sz val="9"/>
      <color rgb="FF276221"/>
      <name val="Arial"/>
      <family val="2"/>
      <charset val="1"/>
    </font>
    <font>
      <b/>
      <sz val="9"/>
      <color rgb="FF9C0006"/>
      <name val="Arial"/>
      <family val="2"/>
      <charset val="1"/>
    </font>
    <font>
      <b/>
      <sz val="13"/>
      <color rgb="FFFFFFFF"/>
      <name val="Arial"/>
      <family val="2"/>
      <charset val="1"/>
    </font>
    <font>
      <b/>
      <sz val="10"/>
      <color rgb="FFFFFFFF"/>
      <name val="Arial"/>
      <family val="2"/>
      <charset val="1"/>
    </font>
    <font>
      <sz val="10"/>
      <color rgb="FF000000"/>
      <name val="Arial"/>
      <family val="2"/>
      <charset val="1"/>
    </font>
    <font>
      <b/>
      <sz val="11"/>
      <color rgb="FF0000FF"/>
      <name val="Arial"/>
      <family val="2"/>
      <charset val="1"/>
    </font>
    <font>
      <i/>
      <sz val="9"/>
      <color rgb="FF595959"/>
      <name val="Arial"/>
      <family val="2"/>
      <charset val="1"/>
    </font>
    <font>
      <b/>
      <sz val="10"/>
      <color rgb="FF1F4E79"/>
      <name val="Arial"/>
      <family val="2"/>
      <charset val="1"/>
    </font>
    <font>
      <i/>
      <sz val="9"/>
      <color rgb="FF888888"/>
      <name val="Arial"/>
      <family val="2"/>
      <charset val="1"/>
    </font>
    <font>
      <b/>
      <sz val="12"/>
      <color rgb="FFFFFFFF"/>
      <name val="Arial"/>
      <family val="2"/>
      <charset val="1"/>
    </font>
    <font>
      <i/>
      <sz val="9"/>
      <color rgb="FFAAAAAA"/>
      <name val="Arial"/>
      <family val="2"/>
      <charset val="1"/>
    </font>
    <font>
      <b/>
      <sz val="10"/>
      <color rgb="FF000000"/>
      <name val="Arial"/>
      <family val="2"/>
      <charset val="1"/>
    </font>
    <font>
      <sz val="10"/>
      <color rgb="FF0000FF"/>
      <name val="Arial"/>
      <family val="2"/>
      <charset val="1"/>
    </font>
    <font>
      <sz val="10"/>
      <color rgb="FF008000"/>
      <name val="Arial"/>
      <family val="2"/>
      <charset val="1"/>
    </font>
    <font>
      <b/>
      <sz val="9"/>
      <color rgb="FF1F3864"/>
      <name val="Arial"/>
      <family val="2"/>
      <charset val="1"/>
    </font>
    <font>
      <i/>
      <sz val="10"/>
      <color rgb="FFFFFFFF"/>
      <name val="Arial"/>
      <family val="2"/>
      <charset val="1"/>
    </font>
    <font>
      <b/>
      <sz val="10"/>
      <name val="Arial"/>
      <family val="2"/>
    </font>
    <font>
      <sz val="10"/>
      <name val="Arial"/>
      <family val="2"/>
    </font>
    <font>
      <sz val="10"/>
      <color rgb="FF000000"/>
      <name val="Arial"/>
      <family val="2"/>
    </font>
    <font>
      <b/>
      <sz val="10"/>
      <color rgb="FF276221"/>
      <name val="Arial"/>
      <family val="2"/>
    </font>
    <font>
      <b/>
      <sz val="10"/>
      <color rgb="FF9C0006"/>
      <name val="Arial"/>
      <family val="2"/>
      <charset val="1"/>
    </font>
    <font>
      <sz val="10"/>
      <color rgb="FF276221"/>
      <name val="Arial"/>
      <family val="2"/>
      <charset val="1"/>
    </font>
    <font>
      <i/>
      <sz val="9"/>
      <color rgb="FF555555"/>
      <name val="Arial"/>
      <family val="2"/>
      <charset val="1"/>
    </font>
    <font>
      <sz val="9"/>
      <color rgb="FF888888"/>
      <name val="Arial"/>
      <family val="2"/>
      <charset val="1"/>
    </font>
    <font>
      <b/>
      <sz val="18"/>
      <color rgb="FFFFFFFF"/>
      <name val="Arial"/>
      <family val="2"/>
      <charset val="1"/>
    </font>
    <font>
      <sz val="9"/>
      <color rgb="FF9C0006"/>
      <name val="Arial"/>
      <family val="2"/>
      <charset val="1"/>
    </font>
    <font>
      <i/>
      <sz val="9"/>
      <color rgb="FF000000"/>
      <name val="Arial"/>
      <family val="2"/>
      <charset val="1"/>
    </font>
    <font>
      <b/>
      <sz val="9"/>
      <color rgb="FF9C6500"/>
      <name val="Arial"/>
      <family val="2"/>
      <charset val="1"/>
    </font>
    <font>
      <sz val="9"/>
      <color rgb="FF9C6500"/>
      <name val="Arial"/>
      <family val="2"/>
      <charset val="1"/>
    </font>
    <font>
      <b/>
      <sz val="14"/>
      <color rgb="FF000000"/>
      <name val="Arial"/>
      <family val="2"/>
    </font>
    <font>
      <sz val="14"/>
      <color rgb="FFFF0000"/>
      <name val="Arial"/>
      <family val="2"/>
    </font>
    <font>
      <i/>
      <sz val="10"/>
      <color rgb="FF666666"/>
      <name val="Arial"/>
      <family val="2"/>
    </font>
    <font>
      <b/>
      <sz val="12"/>
      <color rgb="FF000000"/>
      <name val="Arial"/>
      <family val="2"/>
    </font>
    <font>
      <b/>
      <sz val="10"/>
      <color rgb="FF000000"/>
      <name val="Arial"/>
      <family val="2"/>
    </font>
    <font>
      <i/>
      <sz val="10"/>
      <color rgb="FF000000"/>
      <name val="Arial"/>
      <family val="2"/>
    </font>
    <font>
      <b/>
      <sz val="10"/>
      <color rgb="FF000000"/>
      <name val="Noto Sans CJK SC"/>
      <family val="2"/>
      <charset val="1"/>
    </font>
  </fonts>
  <fills count="20">
    <fill>
      <patternFill patternType="none"/>
    </fill>
    <fill>
      <patternFill patternType="gray125"/>
    </fill>
    <fill>
      <patternFill patternType="solid">
        <fgColor rgb="FFCC0E1E"/>
        <bgColor rgb="FFCC0000"/>
      </patternFill>
    </fill>
    <fill>
      <patternFill patternType="solid">
        <fgColor rgb="FF2D2D2D"/>
        <bgColor rgb="FF1A1A2E"/>
      </patternFill>
    </fill>
    <fill>
      <patternFill patternType="solid">
        <fgColor rgb="FF1A1A2E"/>
        <bgColor rgb="FF2D2D2D"/>
      </patternFill>
    </fill>
    <fill>
      <patternFill patternType="solid">
        <fgColor rgb="FFFFFFFF"/>
        <bgColor rgb="FFF7F7F7"/>
      </patternFill>
    </fill>
    <fill>
      <patternFill patternType="solid">
        <fgColor rgb="FFF2F2F2"/>
        <bgColor rgb="FFEBF3FB"/>
      </patternFill>
    </fill>
    <fill>
      <patternFill patternType="solid">
        <fgColor rgb="FFF9E8EA"/>
        <bgColor rgb="FFFFE0E0"/>
      </patternFill>
    </fill>
    <fill>
      <patternFill patternType="solid">
        <fgColor rgb="FFD9E8F5"/>
        <bgColor rgb="FFE2EFDA"/>
      </patternFill>
    </fill>
    <fill>
      <patternFill patternType="solid">
        <fgColor rgb="FFC6EFCE"/>
        <bgColor rgb="FFE2EFDA"/>
      </patternFill>
    </fill>
    <fill>
      <patternFill patternType="solid">
        <fgColor rgb="FFFFC7CE"/>
        <bgColor rgb="FFFFE0E0"/>
      </patternFill>
    </fill>
    <fill>
      <patternFill patternType="solid">
        <fgColor rgb="FF1F3864"/>
        <bgColor rgb="FF1F4E79"/>
      </patternFill>
    </fill>
    <fill>
      <patternFill patternType="solid">
        <fgColor rgb="FF595959"/>
        <bgColor rgb="FF555555"/>
      </patternFill>
    </fill>
    <fill>
      <patternFill patternType="solid">
        <fgColor rgb="FFEBF3FB"/>
        <bgColor rgb="FFF2F2F2"/>
      </patternFill>
    </fill>
    <fill>
      <patternFill patternType="solid">
        <fgColor rgb="FFC55A11"/>
        <bgColor rgb="FFE65100"/>
      </patternFill>
    </fill>
    <fill>
      <patternFill patternType="solid">
        <fgColor rgb="FF7030A0"/>
        <bgColor rgb="FF555555"/>
      </patternFill>
    </fill>
    <fill>
      <patternFill patternType="solid">
        <fgColor rgb="FF375623"/>
        <bgColor rgb="FF276221"/>
      </patternFill>
    </fill>
    <fill>
      <patternFill patternType="solid">
        <fgColor rgb="FFF7F7F7"/>
        <bgColor rgb="FFF2F2F2"/>
      </patternFill>
    </fill>
    <fill>
      <patternFill patternType="solid">
        <fgColor rgb="FFFFEB9C"/>
        <bgColor rgb="FFFFF2CC"/>
      </patternFill>
    </fill>
    <fill>
      <patternFill patternType="solid">
        <fgColor rgb="FF404040"/>
        <bgColor rgb="FF2D2D2D"/>
      </patternFill>
    </fill>
  </fills>
  <borders count="16">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70C0"/>
      </left>
      <right style="thin">
        <color rgb="FF0070C0"/>
      </right>
      <top style="thin">
        <color rgb="FF0070C0"/>
      </top>
      <bottom style="thin">
        <color rgb="FF0070C0"/>
      </bottom>
      <diagonal/>
    </border>
    <border>
      <left style="thin">
        <color rgb="FFFFFFFF"/>
      </left>
      <right style="thin">
        <color rgb="FFFFFFFF"/>
      </right>
      <top style="thin">
        <color rgb="FFFFFFFF"/>
      </top>
      <bottom style="thin">
        <color rgb="FFFFFFFF"/>
      </bottom>
      <diagonal/>
    </border>
    <border>
      <left/>
      <right/>
      <top style="thin">
        <color rgb="FFCCCCCC"/>
      </top>
      <bottom style="thin">
        <color rgb="FFCCCCCC"/>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s>
  <cellStyleXfs count="1">
    <xf numFmtId="0" fontId="0" fillId="0" borderId="0"/>
  </cellStyleXfs>
  <cellXfs count="238">
    <xf numFmtId="0" fontId="0" fillId="0" borderId="0" xfId="0"/>
    <xf numFmtId="0" fontId="3" fillId="3" borderId="0" xfId="0" applyFont="1" applyFill="1" applyAlignment="1">
      <alignment horizontal="left" vertical="center"/>
    </xf>
    <xf numFmtId="0" fontId="4" fillId="5" borderId="1" xfId="0" applyFont="1" applyFill="1" applyBorder="1" applyAlignment="1">
      <alignment horizontal="left" vertical="top" wrapText="1"/>
    </xf>
    <xf numFmtId="0" fontId="5" fillId="4" borderId="2" xfId="0" applyFont="1" applyFill="1" applyBorder="1" applyAlignment="1">
      <alignment horizontal="center" vertical="center"/>
    </xf>
    <xf numFmtId="0" fontId="6" fillId="6" borderId="2" xfId="0" applyFont="1" applyFill="1" applyBorder="1" applyAlignment="1">
      <alignment horizontal="left" vertical="center"/>
    </xf>
    <xf numFmtId="0" fontId="4" fillId="6" borderId="2" xfId="0" applyFont="1" applyFill="1" applyBorder="1" applyAlignment="1">
      <alignment horizontal="center" vertical="center"/>
    </xf>
    <xf numFmtId="0" fontId="6" fillId="5" borderId="2" xfId="0" applyFont="1" applyFill="1" applyBorder="1" applyAlignment="1">
      <alignment horizontal="left" vertical="center"/>
    </xf>
    <xf numFmtId="0" fontId="4" fillId="5" borderId="2" xfId="0" applyFont="1" applyFill="1" applyBorder="1" applyAlignment="1">
      <alignment horizontal="center" vertical="center"/>
    </xf>
    <xf numFmtId="0" fontId="5" fillId="2"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7" fillId="8" borderId="2" xfId="0" applyFont="1" applyFill="1" applyBorder="1" applyAlignment="1">
      <alignment horizontal="center" vertical="center"/>
    </xf>
    <xf numFmtId="0" fontId="6" fillId="5" borderId="2" xfId="0" applyFont="1" applyFill="1" applyBorder="1" applyAlignment="1">
      <alignment horizontal="center" vertical="center"/>
    </xf>
    <xf numFmtId="0" fontId="8" fillId="9" borderId="2" xfId="0" applyFont="1" applyFill="1" applyBorder="1" applyAlignment="1">
      <alignment horizontal="center" vertical="center"/>
    </xf>
    <xf numFmtId="0" fontId="9" fillId="10" borderId="2" xfId="0" applyFont="1" applyFill="1" applyBorder="1" applyAlignment="1">
      <alignment horizontal="center" vertical="center"/>
    </xf>
    <xf numFmtId="10" fontId="11" fillId="12" borderId="0" xfId="0" applyNumberFormat="1" applyFont="1" applyFill="1" applyAlignment="1">
      <alignment horizontal="left" vertical="center"/>
    </xf>
    <xf numFmtId="0" fontId="11" fillId="12" borderId="0" xfId="0" applyFont="1" applyFill="1" applyAlignment="1">
      <alignment horizontal="left" vertical="center"/>
    </xf>
    <xf numFmtId="0" fontId="12" fillId="0" borderId="0" xfId="0" applyFont="1" applyAlignment="1">
      <alignment horizontal="left" vertical="center"/>
    </xf>
    <xf numFmtId="164" fontId="13" fillId="13" borderId="3" xfId="0" applyNumberFormat="1" applyFont="1" applyFill="1" applyBorder="1" applyAlignment="1">
      <alignment horizontal="center" vertical="center"/>
    </xf>
    <xf numFmtId="0" fontId="14" fillId="0" borderId="0" xfId="0" applyFont="1" applyAlignment="1">
      <alignment horizontal="left" vertical="center"/>
    </xf>
    <xf numFmtId="4" fontId="13" fillId="13" borderId="3" xfId="0" applyNumberFormat="1" applyFont="1" applyFill="1" applyBorder="1" applyAlignment="1">
      <alignment horizontal="center" vertical="center"/>
    </xf>
    <xf numFmtId="0" fontId="12" fillId="0" borderId="2" xfId="0" applyFont="1" applyBorder="1" applyAlignment="1">
      <alignment horizontal="left" vertical="center"/>
    </xf>
    <xf numFmtId="0" fontId="15" fillId="8" borderId="2" xfId="0" applyFont="1" applyFill="1" applyBorder="1" applyAlignment="1">
      <alignment horizontal="center" vertical="center"/>
    </xf>
    <xf numFmtId="0" fontId="16" fillId="0" borderId="0" xfId="0" applyFont="1"/>
    <xf numFmtId="0" fontId="11" fillId="3" borderId="2" xfId="0" applyFont="1" applyFill="1" applyBorder="1" applyAlignment="1">
      <alignment horizontal="center" vertical="center"/>
    </xf>
    <xf numFmtId="0" fontId="12" fillId="7" borderId="2" xfId="0" applyFont="1" applyFill="1" applyBorder="1" applyAlignment="1">
      <alignment horizontal="left" vertical="center" wrapText="1"/>
    </xf>
    <xf numFmtId="0" fontId="19" fillId="7" borderId="2" xfId="0" applyFont="1" applyFill="1" applyBorder="1" applyAlignment="1">
      <alignment horizontal="center" vertical="center"/>
    </xf>
    <xf numFmtId="0" fontId="12" fillId="5" borderId="2" xfId="0" applyFont="1" applyFill="1" applyBorder="1" applyAlignment="1">
      <alignment horizontal="left" vertical="center" wrapText="1"/>
    </xf>
    <xf numFmtId="0" fontId="19" fillId="5" borderId="2" xfId="0" applyFont="1" applyFill="1" applyBorder="1" applyAlignment="1">
      <alignment horizontal="center" vertical="center"/>
    </xf>
    <xf numFmtId="0" fontId="19" fillId="5" borderId="2" xfId="0" applyFont="1" applyFill="1" applyBorder="1" applyAlignment="1">
      <alignment horizontal="left" vertical="center" wrapText="1"/>
    </xf>
    <xf numFmtId="0" fontId="5" fillId="3" borderId="2" xfId="0" applyFont="1" applyFill="1" applyBorder="1" applyAlignment="1">
      <alignment horizontal="center" vertical="center"/>
    </xf>
    <xf numFmtId="0" fontId="6" fillId="6" borderId="2" xfId="0" applyFont="1" applyFill="1" applyBorder="1" applyAlignment="1">
      <alignment horizontal="center" vertical="center"/>
    </xf>
    <xf numFmtId="0" fontId="4" fillId="6" borderId="2" xfId="0" applyFont="1" applyFill="1" applyBorder="1" applyAlignment="1">
      <alignment horizontal="left" vertical="center"/>
    </xf>
    <xf numFmtId="165" fontId="4" fillId="6" borderId="2" xfId="0" applyNumberFormat="1" applyFont="1" applyFill="1" applyBorder="1" applyAlignment="1">
      <alignment horizontal="center" vertical="center"/>
    </xf>
    <xf numFmtId="0" fontId="4" fillId="5" borderId="2" xfId="0" applyFont="1" applyFill="1" applyBorder="1" applyAlignment="1">
      <alignment horizontal="left" vertical="center"/>
    </xf>
    <xf numFmtId="165" fontId="4" fillId="5" borderId="2" xfId="0" applyNumberFormat="1" applyFont="1" applyFill="1" applyBorder="1" applyAlignment="1">
      <alignment horizontal="center" vertical="center"/>
    </xf>
    <xf numFmtId="164" fontId="0" fillId="0" borderId="0" xfId="0" applyNumberFormat="1"/>
    <xf numFmtId="0" fontId="5" fillId="12" borderId="4"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20" fillId="13" borderId="2" xfId="0" applyFont="1" applyFill="1" applyBorder="1" applyAlignment="1">
      <alignment horizontal="left" vertical="center"/>
    </xf>
    <xf numFmtId="166" fontId="20" fillId="13" borderId="2" xfId="0" applyNumberFormat="1" applyFont="1" applyFill="1" applyBorder="1" applyAlignment="1">
      <alignment horizontal="right" vertical="center"/>
    </xf>
    <xf numFmtId="167" fontId="20" fillId="13" borderId="2" xfId="0" applyNumberFormat="1" applyFont="1" applyFill="1" applyBorder="1" applyAlignment="1">
      <alignment horizontal="right" vertical="center"/>
    </xf>
    <xf numFmtId="166" fontId="12" fillId="5" borderId="2" xfId="0" applyNumberFormat="1" applyFont="1" applyFill="1" applyBorder="1" applyAlignment="1">
      <alignment horizontal="right" vertical="center"/>
    </xf>
    <xf numFmtId="164" fontId="12" fillId="5" borderId="2" xfId="0" applyNumberFormat="1" applyFont="1" applyFill="1" applyBorder="1" applyAlignment="1">
      <alignment horizontal="right" vertical="center"/>
    </xf>
    <xf numFmtId="167" fontId="12" fillId="5" borderId="2" xfId="0" applyNumberFormat="1" applyFont="1" applyFill="1" applyBorder="1" applyAlignment="1">
      <alignment horizontal="right" vertical="center"/>
    </xf>
    <xf numFmtId="165" fontId="21" fillId="5" borderId="2" xfId="0" applyNumberFormat="1" applyFont="1" applyFill="1" applyBorder="1" applyAlignment="1">
      <alignment horizontal="center" vertical="center"/>
    </xf>
    <xf numFmtId="165" fontId="12" fillId="5" borderId="2" xfId="0" applyNumberFormat="1" applyFont="1" applyFill="1" applyBorder="1" applyAlignment="1">
      <alignment horizontal="right" vertical="center"/>
    </xf>
    <xf numFmtId="166" fontId="12" fillId="17" borderId="2" xfId="0" applyNumberFormat="1" applyFont="1" applyFill="1" applyBorder="1" applyAlignment="1">
      <alignment horizontal="right" vertical="center"/>
    </xf>
    <xf numFmtId="164" fontId="12" fillId="17" borderId="2" xfId="0" applyNumberFormat="1" applyFont="1" applyFill="1" applyBorder="1" applyAlignment="1">
      <alignment horizontal="right" vertical="center"/>
    </xf>
    <xf numFmtId="167" fontId="12" fillId="17" borderId="2" xfId="0" applyNumberFormat="1" applyFont="1" applyFill="1" applyBorder="1" applyAlignment="1">
      <alignment horizontal="right" vertical="center"/>
    </xf>
    <xf numFmtId="165" fontId="21" fillId="17" borderId="2" xfId="0" applyNumberFormat="1" applyFont="1" applyFill="1" applyBorder="1" applyAlignment="1">
      <alignment horizontal="center" vertical="center"/>
    </xf>
    <xf numFmtId="165" fontId="12" fillId="17" borderId="2" xfId="0" applyNumberFormat="1" applyFont="1" applyFill="1" applyBorder="1" applyAlignment="1">
      <alignment horizontal="right" vertical="center"/>
    </xf>
    <xf numFmtId="0" fontId="19" fillId="17" borderId="2" xfId="0" applyFont="1" applyFill="1" applyBorder="1" applyAlignment="1">
      <alignment horizontal="center" vertical="center"/>
    </xf>
    <xf numFmtId="0" fontId="11" fillId="11" borderId="2" xfId="0" applyFont="1" applyFill="1" applyBorder="1" applyAlignment="1">
      <alignment horizontal="left" vertical="center"/>
    </xf>
    <xf numFmtId="0" fontId="5" fillId="11" borderId="2" xfId="0" applyFont="1" applyFill="1" applyBorder="1" applyAlignment="1">
      <alignment horizontal="left" vertical="center"/>
    </xf>
    <xf numFmtId="166" fontId="0" fillId="11" borderId="2" xfId="0" applyNumberFormat="1" applyFill="1" applyBorder="1"/>
    <xf numFmtId="167" fontId="11" fillId="11" borderId="2" xfId="0" applyNumberFormat="1" applyFont="1" applyFill="1" applyBorder="1" applyAlignment="1">
      <alignment horizontal="right" vertical="center"/>
    </xf>
    <xf numFmtId="166" fontId="11" fillId="11" borderId="2" xfId="0" applyNumberFormat="1" applyFont="1" applyFill="1" applyBorder="1" applyAlignment="1">
      <alignment horizontal="right" vertical="center"/>
    </xf>
    <xf numFmtId="164" fontId="11" fillId="11" borderId="2" xfId="0" applyNumberFormat="1" applyFont="1" applyFill="1" applyBorder="1" applyAlignment="1">
      <alignment horizontal="right" vertical="center"/>
    </xf>
    <xf numFmtId="166" fontId="0" fillId="14" borderId="2" xfId="0" applyNumberFormat="1" applyFill="1" applyBorder="1"/>
    <xf numFmtId="167" fontId="11" fillId="14" borderId="2" xfId="0" applyNumberFormat="1" applyFont="1" applyFill="1" applyBorder="1" applyAlignment="1">
      <alignment horizontal="right" vertical="center"/>
    </xf>
    <xf numFmtId="166" fontId="11" fillId="14" borderId="2" xfId="0" applyNumberFormat="1" applyFont="1" applyFill="1" applyBorder="1" applyAlignment="1">
      <alignment horizontal="right" vertical="center"/>
    </xf>
    <xf numFmtId="164" fontId="11" fillId="14" borderId="2" xfId="0" applyNumberFormat="1" applyFont="1" applyFill="1" applyBorder="1" applyAlignment="1">
      <alignment horizontal="right" vertical="center"/>
    </xf>
    <xf numFmtId="166" fontId="11" fillId="12" borderId="2" xfId="0" applyNumberFormat="1" applyFont="1" applyFill="1" applyBorder="1" applyAlignment="1">
      <alignment horizontal="right" vertical="center"/>
    </xf>
    <xf numFmtId="0" fontId="11" fillId="12" borderId="2" xfId="0" applyFont="1" applyFill="1" applyBorder="1" applyAlignment="1">
      <alignment horizontal="center" vertical="center"/>
    </xf>
    <xf numFmtId="0" fontId="0" fillId="15" borderId="2" xfId="0" applyFill="1" applyBorder="1"/>
    <xf numFmtId="0" fontId="0" fillId="16" borderId="2" xfId="0" applyFill="1" applyBorder="1"/>
    <xf numFmtId="166" fontId="11" fillId="16" borderId="2" xfId="0" applyNumberFormat="1" applyFont="1" applyFill="1" applyBorder="1" applyAlignment="1">
      <alignment horizontal="right" vertical="center"/>
    </xf>
    <xf numFmtId="0" fontId="11" fillId="16" borderId="2" xfId="0" applyFont="1" applyFill="1" applyBorder="1" applyAlignment="1">
      <alignment horizontal="center" vertical="center"/>
    </xf>
    <xf numFmtId="0" fontId="22" fillId="0" borderId="0" xfId="0" applyFont="1" applyAlignment="1">
      <alignment horizontal="left" vertical="center"/>
    </xf>
    <xf numFmtId="0" fontId="11" fillId="4"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5" fillId="6" borderId="2" xfId="0" applyFont="1" applyFill="1" applyBorder="1" applyAlignment="1">
      <alignment horizontal="left" vertical="center"/>
    </xf>
    <xf numFmtId="168" fontId="26" fillId="6" borderId="2" xfId="0" applyNumberFormat="1" applyFont="1" applyFill="1" applyBorder="1" applyAlignment="1">
      <alignment horizontal="center" vertical="center"/>
    </xf>
    <xf numFmtId="168" fontId="27" fillId="6" borderId="2" xfId="0" applyNumberFormat="1" applyFont="1" applyFill="1" applyBorder="1" applyAlignment="1">
      <alignment horizontal="center" vertical="center"/>
    </xf>
    <xf numFmtId="165" fontId="26" fillId="6" borderId="2" xfId="0" applyNumberFormat="1" applyFont="1" applyFill="1" applyBorder="1" applyAlignment="1">
      <alignment horizontal="center" vertical="center"/>
    </xf>
    <xf numFmtId="3" fontId="26" fillId="6" borderId="2" xfId="0" applyNumberFormat="1" applyFont="1" applyFill="1" applyBorder="1" applyAlignment="1">
      <alignment horizontal="center" vertical="center"/>
    </xf>
    <xf numFmtId="169" fontId="26" fillId="6" borderId="2" xfId="0" applyNumberFormat="1" applyFont="1" applyFill="1" applyBorder="1" applyAlignment="1">
      <alignment horizontal="center" vertical="center"/>
    </xf>
    <xf numFmtId="169" fontId="27" fillId="6" borderId="2" xfId="0" applyNumberFormat="1" applyFont="1" applyFill="1" applyBorder="1" applyAlignment="1">
      <alignment horizontal="center" vertical="center"/>
    </xf>
    <xf numFmtId="170" fontId="25" fillId="6" borderId="2" xfId="0" applyNumberFormat="1" applyFont="1" applyFill="1" applyBorder="1" applyAlignment="1">
      <alignment horizontal="center" vertical="center"/>
    </xf>
    <xf numFmtId="0" fontId="26" fillId="6" borderId="2" xfId="0" applyFont="1" applyFill="1" applyBorder="1" applyAlignment="1">
      <alignment horizontal="center" vertical="center"/>
    </xf>
    <xf numFmtId="0" fontId="25" fillId="5" borderId="2" xfId="0" applyFont="1" applyFill="1" applyBorder="1" applyAlignment="1">
      <alignment horizontal="left" vertical="center"/>
    </xf>
    <xf numFmtId="168" fontId="26" fillId="5" borderId="2" xfId="0" applyNumberFormat="1" applyFont="1" applyFill="1" applyBorder="1" applyAlignment="1">
      <alignment horizontal="center" vertical="center"/>
    </xf>
    <xf numFmtId="168" fontId="27" fillId="5" borderId="2" xfId="0" applyNumberFormat="1" applyFont="1" applyFill="1" applyBorder="1" applyAlignment="1">
      <alignment horizontal="center" vertical="center"/>
    </xf>
    <xf numFmtId="165" fontId="26" fillId="5" borderId="2" xfId="0" applyNumberFormat="1" applyFont="1" applyFill="1" applyBorder="1" applyAlignment="1">
      <alignment horizontal="center" vertical="center"/>
    </xf>
    <xf numFmtId="3" fontId="26" fillId="5" borderId="2" xfId="0" applyNumberFormat="1" applyFont="1" applyFill="1" applyBorder="1" applyAlignment="1">
      <alignment horizontal="center" vertical="center"/>
    </xf>
    <xf numFmtId="169" fontId="26" fillId="5" borderId="2" xfId="0" applyNumberFormat="1" applyFont="1" applyFill="1" applyBorder="1" applyAlignment="1">
      <alignment horizontal="center" vertical="center"/>
    </xf>
    <xf numFmtId="169" fontId="27" fillId="5" borderId="2" xfId="0" applyNumberFormat="1" applyFont="1" applyFill="1" applyBorder="1" applyAlignment="1">
      <alignment horizontal="center" vertical="center"/>
    </xf>
    <xf numFmtId="170" fontId="25" fillId="5" borderId="2" xfId="0" applyNumberFormat="1" applyFont="1" applyFill="1" applyBorder="1" applyAlignment="1">
      <alignment horizontal="center" vertical="center"/>
    </xf>
    <xf numFmtId="0" fontId="26" fillId="5" borderId="2" xfId="0" applyFont="1" applyFill="1" applyBorder="1" applyAlignment="1">
      <alignment horizontal="center" vertical="center"/>
    </xf>
    <xf numFmtId="0" fontId="25" fillId="0" borderId="0" xfId="0" applyFont="1" applyAlignment="1">
      <alignment horizontal="left" vertical="center"/>
    </xf>
    <xf numFmtId="168" fontId="26" fillId="0" borderId="0" xfId="0" applyNumberFormat="1" applyFont="1" applyAlignment="1">
      <alignment horizontal="center" vertical="center"/>
    </xf>
    <xf numFmtId="168" fontId="27" fillId="0" borderId="0" xfId="0" applyNumberFormat="1" applyFont="1" applyAlignment="1">
      <alignment horizontal="center" vertical="center"/>
    </xf>
    <xf numFmtId="165" fontId="26" fillId="0" borderId="0" xfId="0" applyNumberFormat="1" applyFont="1" applyAlignment="1">
      <alignment horizontal="center" vertical="center"/>
    </xf>
    <xf numFmtId="3" fontId="26" fillId="0" borderId="0" xfId="0" applyNumberFormat="1" applyFont="1" applyAlignment="1">
      <alignment horizontal="center" vertical="center"/>
    </xf>
    <xf numFmtId="169" fontId="26" fillId="0" borderId="0" xfId="0" applyNumberFormat="1" applyFont="1" applyAlignment="1">
      <alignment horizontal="center" vertical="center"/>
    </xf>
    <xf numFmtId="169" fontId="27" fillId="0" borderId="0" xfId="0" applyNumberFormat="1" applyFont="1" applyAlignment="1">
      <alignment horizontal="center" vertical="center"/>
    </xf>
    <xf numFmtId="170" fontId="25" fillId="0" borderId="0" xfId="0" applyNumberFormat="1" applyFont="1" applyAlignment="1">
      <alignment horizontal="center" vertical="center"/>
    </xf>
    <xf numFmtId="0" fontId="26" fillId="0" borderId="0" xfId="0" applyFont="1" applyAlignment="1">
      <alignment horizontal="center" vertical="center"/>
    </xf>
    <xf numFmtId="0" fontId="11" fillId="3" borderId="2" xfId="0" applyFont="1" applyFill="1" applyBorder="1"/>
    <xf numFmtId="0" fontId="0" fillId="3" borderId="2" xfId="0" applyFill="1" applyBorder="1"/>
    <xf numFmtId="169" fontId="24" fillId="3" borderId="2" xfId="0" applyNumberFormat="1" applyFont="1" applyFill="1" applyBorder="1" applyAlignment="1">
      <alignment horizontal="center" vertical="center"/>
    </xf>
    <xf numFmtId="0" fontId="3" fillId="2" borderId="0" xfId="0" applyFont="1" applyFill="1" applyAlignment="1">
      <alignment horizontal="left" vertical="center"/>
    </xf>
    <xf numFmtId="0" fontId="19" fillId="7" borderId="2" xfId="0" applyFont="1" applyFill="1" applyBorder="1" applyAlignment="1">
      <alignment horizontal="left" vertical="top" wrapText="1"/>
    </xf>
    <xf numFmtId="0" fontId="0" fillId="0" borderId="5" xfId="0" applyBorder="1"/>
    <xf numFmtId="168" fontId="4" fillId="10" borderId="2" xfId="0" applyNumberFormat="1" applyFont="1" applyFill="1" applyBorder="1" applyAlignment="1">
      <alignment horizontal="center" vertical="center"/>
    </xf>
    <xf numFmtId="168" fontId="4"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3" fontId="4" fillId="6" borderId="2" xfId="0" applyNumberFormat="1" applyFont="1" applyFill="1" applyBorder="1" applyAlignment="1">
      <alignment horizontal="center" vertical="center"/>
    </xf>
    <xf numFmtId="171" fontId="4" fillId="6" borderId="2"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68" fontId="4" fillId="5" borderId="2" xfId="0" applyNumberFormat="1" applyFont="1" applyFill="1" applyBorder="1" applyAlignment="1">
      <alignment horizontal="center" vertical="center"/>
    </xf>
    <xf numFmtId="168" fontId="8" fillId="5" borderId="2" xfId="0" applyNumberFormat="1" applyFont="1" applyFill="1" applyBorder="1" applyAlignment="1">
      <alignment horizontal="center" vertical="center"/>
    </xf>
    <xf numFmtId="3" fontId="4" fillId="5" borderId="2" xfId="0" applyNumberFormat="1" applyFont="1" applyFill="1" applyBorder="1" applyAlignment="1">
      <alignment horizontal="center" vertical="center"/>
    </xf>
    <xf numFmtId="171" fontId="4" fillId="5" borderId="2" xfId="0" applyNumberFormat="1" applyFont="1" applyFill="1" applyBorder="1" applyAlignment="1">
      <alignment horizontal="center" vertical="center"/>
    </xf>
    <xf numFmtId="169" fontId="8" fillId="5" borderId="2" xfId="0" applyNumberFormat="1" applyFont="1" applyFill="1" applyBorder="1" applyAlignment="1">
      <alignment horizontal="center" vertical="center"/>
    </xf>
    <xf numFmtId="166" fontId="0" fillId="0" borderId="0" xfId="0" applyNumberFormat="1"/>
    <xf numFmtId="165" fontId="0" fillId="0" borderId="0" xfId="0" applyNumberFormat="1"/>
    <xf numFmtId="167" fontId="0" fillId="0" borderId="0" xfId="0" applyNumberFormat="1"/>
    <xf numFmtId="169" fontId="11" fillId="3" borderId="2" xfId="0" applyNumberFormat="1" applyFont="1" applyFill="1" applyBorder="1" applyAlignment="1">
      <alignment horizontal="center" vertical="center"/>
    </xf>
    <xf numFmtId="3" fontId="11" fillId="3" borderId="2" xfId="0" applyNumberFormat="1" applyFont="1" applyFill="1" applyBorder="1" applyAlignment="1">
      <alignment horizontal="center" vertical="center"/>
    </xf>
    <xf numFmtId="171" fontId="11" fillId="3" borderId="2" xfId="0" applyNumberFormat="1" applyFont="1" applyFill="1" applyBorder="1" applyAlignment="1">
      <alignment horizontal="center" vertical="center"/>
    </xf>
    <xf numFmtId="0" fontId="9" fillId="10" borderId="0" xfId="0" applyFont="1" applyFill="1" applyAlignment="1">
      <alignment horizontal="left" vertical="center"/>
    </xf>
    <xf numFmtId="0" fontId="0" fillId="9" borderId="0" xfId="0" applyFill="1"/>
    <xf numFmtId="0" fontId="0" fillId="4" borderId="2" xfId="0" applyFill="1" applyBorder="1"/>
    <xf numFmtId="0" fontId="0" fillId="2" borderId="2" xfId="0" applyFill="1" applyBorder="1"/>
    <xf numFmtId="0" fontId="0" fillId="6" borderId="2" xfId="0" applyFill="1" applyBorder="1"/>
    <xf numFmtId="0" fontId="35" fillId="18" borderId="2" xfId="0" applyFont="1" applyFill="1" applyBorder="1" applyAlignment="1">
      <alignment horizontal="center" vertical="center"/>
    </xf>
    <xf numFmtId="0" fontId="12" fillId="0" borderId="0" xfId="0" applyFont="1"/>
    <xf numFmtId="165" fontId="15" fillId="8" borderId="2" xfId="0" applyNumberFormat="1" applyFont="1" applyFill="1" applyBorder="1"/>
    <xf numFmtId="0" fontId="12" fillId="6" borderId="2" xfId="0" applyFont="1" applyFill="1" applyBorder="1" applyAlignment="1">
      <alignment horizontal="left" vertical="center" wrapText="1"/>
    </xf>
    <xf numFmtId="169" fontId="0" fillId="6" borderId="2" xfId="0" applyNumberFormat="1" applyFill="1" applyBorder="1" applyAlignment="1">
      <alignment horizontal="center" vertical="center"/>
    </xf>
    <xf numFmtId="172" fontId="0" fillId="6" borderId="2" xfId="0" applyNumberFormat="1" applyFill="1" applyBorder="1" applyAlignment="1">
      <alignment horizontal="center" vertical="center"/>
    </xf>
    <xf numFmtId="0" fontId="34" fillId="6" borderId="2" xfId="0" applyFont="1" applyFill="1" applyBorder="1" applyAlignment="1">
      <alignment horizontal="left" vertical="center" wrapText="1"/>
    </xf>
    <xf numFmtId="169" fontId="0" fillId="5" borderId="2" xfId="0" applyNumberFormat="1" applyFill="1" applyBorder="1" applyAlignment="1">
      <alignment horizontal="center" vertical="center"/>
    </xf>
    <xf numFmtId="172" fontId="0" fillId="5" borderId="2" xfId="0" applyNumberFormat="1" applyFill="1" applyBorder="1" applyAlignment="1">
      <alignment horizontal="center" vertical="center"/>
    </xf>
    <xf numFmtId="0" fontId="34" fillId="5" borderId="2"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4" fillId="9" borderId="2" xfId="0" applyFont="1" applyFill="1" applyBorder="1" applyAlignment="1">
      <alignment horizontal="center" vertical="center"/>
    </xf>
    <xf numFmtId="169" fontId="0" fillId="9" borderId="2" xfId="0" applyNumberFormat="1" applyFill="1" applyBorder="1" applyAlignment="1">
      <alignment horizontal="center" vertical="center"/>
    </xf>
    <xf numFmtId="172" fontId="0" fillId="9" borderId="2" xfId="0" applyNumberFormat="1" applyFill="1" applyBorder="1" applyAlignment="1">
      <alignment horizontal="center" vertical="center"/>
    </xf>
    <xf numFmtId="0" fontId="8" fillId="9" borderId="2" xfId="0" applyFont="1" applyFill="1" applyBorder="1" applyAlignment="1">
      <alignment horizontal="left" vertical="center" wrapText="1"/>
    </xf>
    <xf numFmtId="0" fontId="26" fillId="0" borderId="6" xfId="0" applyFont="1" applyBorder="1"/>
    <xf numFmtId="0" fontId="26" fillId="0" borderId="7" xfId="0" applyFont="1" applyBorder="1"/>
    <xf numFmtId="0" fontId="26" fillId="0" borderId="0" xfId="0" applyFont="1" applyAlignment="1">
      <alignment horizontal="right" vertical="center"/>
    </xf>
    <xf numFmtId="0" fontId="4" fillId="5"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3" fillId="4" borderId="1" xfId="0" applyFont="1" applyFill="1" applyBorder="1" applyAlignment="1">
      <alignment horizontal="left" vertical="center"/>
    </xf>
    <xf numFmtId="0" fontId="18" fillId="3" borderId="1" xfId="0" applyFont="1" applyFill="1" applyBorder="1" applyAlignment="1">
      <alignment horizontal="left" vertical="center"/>
    </xf>
    <xf numFmtId="0" fontId="10" fillId="11" borderId="0" xfId="0" applyFont="1" applyFill="1" applyAlignment="1">
      <alignment horizontal="left" vertical="center"/>
    </xf>
    <xf numFmtId="0" fontId="3" fillId="3" borderId="0" xfId="0" applyFont="1" applyFill="1" applyAlignment="1">
      <alignment horizontal="left" vertical="center"/>
    </xf>
    <xf numFmtId="0" fontId="17" fillId="2" borderId="1" xfId="0" applyFont="1" applyFill="1" applyBorder="1" applyAlignment="1">
      <alignment horizontal="left" vertical="center"/>
    </xf>
    <xf numFmtId="0" fontId="11" fillId="3" borderId="1" xfId="0" applyFont="1" applyFill="1" applyBorder="1" applyAlignment="1">
      <alignment horizontal="center" vertical="center"/>
    </xf>
    <xf numFmtId="0" fontId="4" fillId="5" borderId="1" xfId="0" applyFont="1" applyFill="1" applyBorder="1" applyAlignment="1">
      <alignment horizontal="left" vertical="center"/>
    </xf>
    <xf numFmtId="0" fontId="4" fillId="6" borderId="1" xfId="0" applyFont="1" applyFill="1" applyBorder="1" applyAlignment="1">
      <alignment horizontal="left" vertical="center"/>
    </xf>
    <xf numFmtId="0" fontId="4" fillId="7"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center" wrapText="1"/>
    </xf>
    <xf numFmtId="0" fontId="5" fillId="4" borderId="1" xfId="0" applyFont="1" applyFill="1" applyBorder="1" applyAlignment="1">
      <alignment horizontal="center" vertical="center"/>
    </xf>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11" fillId="12" borderId="0" xfId="0" applyFont="1" applyFill="1" applyAlignment="1">
      <alignment horizontal="left" vertical="center"/>
    </xf>
    <xf numFmtId="0" fontId="4" fillId="0" borderId="0" xfId="0" applyFont="1" applyAlignment="1">
      <alignment vertical="top" wrapText="1"/>
    </xf>
    <xf numFmtId="0" fontId="1" fillId="11" borderId="0" xfId="0" applyFont="1" applyFill="1" applyAlignment="1">
      <alignment horizontal="left" vertical="center"/>
    </xf>
    <xf numFmtId="0" fontId="14" fillId="6" borderId="0" xfId="0" applyFont="1" applyFill="1" applyAlignment="1">
      <alignment horizontal="left" vertical="center"/>
    </xf>
    <xf numFmtId="0" fontId="14" fillId="6" borderId="0" xfId="0" applyFont="1" applyFill="1" applyAlignment="1">
      <alignment horizontal="right" vertical="center"/>
    </xf>
    <xf numFmtId="0" fontId="11" fillId="12" borderId="0" xfId="0" applyFont="1" applyFill="1" applyAlignment="1">
      <alignment horizontal="center" vertical="center"/>
    </xf>
    <xf numFmtId="0" fontId="11" fillId="11" borderId="0" xfId="0" applyFont="1" applyFill="1" applyAlignment="1">
      <alignment horizontal="center" vertical="center"/>
    </xf>
    <xf numFmtId="0" fontId="11" fillId="14" borderId="0" xfId="0" applyFont="1" applyFill="1" applyAlignment="1">
      <alignment horizontal="center" vertical="center"/>
    </xf>
    <xf numFmtId="0" fontId="11" fillId="15" borderId="0" xfId="0" applyFont="1" applyFill="1" applyAlignment="1">
      <alignment horizontal="center" vertical="center"/>
    </xf>
    <xf numFmtId="0" fontId="11" fillId="16" borderId="0" xfId="0" applyFont="1" applyFill="1" applyAlignment="1">
      <alignment horizontal="center" vertical="center"/>
    </xf>
    <xf numFmtId="0" fontId="1" fillId="2" borderId="0" xfId="0" applyFont="1" applyFill="1" applyAlignment="1">
      <alignment horizontal="center" vertical="center"/>
    </xf>
    <xf numFmtId="0" fontId="23" fillId="3" borderId="0" xfId="0" applyFont="1" applyFill="1" applyAlignment="1">
      <alignment horizontal="center" vertical="center"/>
    </xf>
    <xf numFmtId="0" fontId="1" fillId="3" borderId="0" xfId="0" applyFont="1" applyFill="1" applyAlignment="1">
      <alignment horizontal="center" vertical="center"/>
    </xf>
    <xf numFmtId="0" fontId="28" fillId="10" borderId="0" xfId="0" applyFont="1" applyFill="1" applyAlignment="1">
      <alignment horizontal="center" vertical="center"/>
    </xf>
    <xf numFmtId="0" fontId="0" fillId="0" borderId="0" xfId="0"/>
    <xf numFmtId="0" fontId="11" fillId="3" borderId="1" xfId="0" applyFont="1" applyFill="1" applyBorder="1" applyAlignment="1">
      <alignment horizontal="left" vertical="center"/>
    </xf>
    <xf numFmtId="0" fontId="30" fillId="6" borderId="1" xfId="0" applyFont="1" applyFill="1" applyBorder="1" applyAlignment="1">
      <alignment horizontal="left" vertical="center" wrapText="1"/>
    </xf>
    <xf numFmtId="0" fontId="11" fillId="19" borderId="1" xfId="0" applyFont="1" applyFill="1" applyBorder="1" applyAlignment="1">
      <alignment horizontal="left" vertical="center"/>
    </xf>
    <xf numFmtId="0" fontId="12" fillId="8" borderId="1" xfId="0" applyFont="1" applyFill="1" applyBorder="1" applyAlignment="1">
      <alignment horizontal="left" vertical="center" wrapText="1"/>
    </xf>
    <xf numFmtId="0" fontId="34" fillId="5" borderId="1" xfId="0" applyFont="1" applyFill="1" applyBorder="1" applyAlignment="1">
      <alignment horizontal="left" vertical="center" wrapText="1"/>
    </xf>
    <xf numFmtId="0" fontId="34" fillId="6" borderId="1" xfId="0" applyFont="1" applyFill="1" applyBorder="1" applyAlignment="1">
      <alignment horizontal="left" vertical="center" wrapText="1"/>
    </xf>
    <xf numFmtId="0" fontId="36" fillId="18" borderId="1" xfId="0" applyFont="1" applyFill="1" applyBorder="1" applyAlignment="1">
      <alignment horizontal="left" vertical="center" wrapText="1"/>
    </xf>
    <xf numFmtId="0" fontId="30" fillId="5" borderId="1" xfId="0" applyFont="1" applyFill="1" applyBorder="1" applyAlignment="1">
      <alignment horizontal="left" vertical="center"/>
    </xf>
    <xf numFmtId="0" fontId="5" fillId="3" borderId="1" xfId="0" applyFont="1" applyFill="1" applyBorder="1" applyAlignment="1">
      <alignment horizontal="center" vertical="center"/>
    </xf>
    <xf numFmtId="0" fontId="33" fillId="10" borderId="1" xfId="0" applyFont="1" applyFill="1" applyBorder="1" applyAlignment="1">
      <alignment horizontal="left" vertical="center" wrapText="1"/>
    </xf>
    <xf numFmtId="0" fontId="32" fillId="2" borderId="2" xfId="0" applyFont="1" applyFill="1" applyBorder="1" applyAlignment="1">
      <alignment horizontal="center" vertical="center"/>
    </xf>
    <xf numFmtId="0" fontId="30" fillId="6" borderId="2"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31" fillId="4" borderId="2"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29" fillId="9" borderId="1" xfId="0" applyFont="1" applyFill="1" applyBorder="1" applyAlignment="1">
      <alignment horizontal="left" vertical="center" wrapText="1"/>
    </xf>
    <xf numFmtId="0" fontId="10" fillId="2" borderId="0" xfId="0" applyFont="1" applyFill="1" applyAlignment="1">
      <alignment horizontal="center" vertical="center"/>
    </xf>
    <xf numFmtId="0" fontId="30" fillId="0" borderId="0" xfId="0" applyFont="1" applyAlignment="1">
      <alignment horizontal="center" vertical="center"/>
    </xf>
    <xf numFmtId="0" fontId="3" fillId="4" borderId="0" xfId="0" applyFont="1" applyFill="1" applyAlignment="1">
      <alignment horizontal="left" vertical="center"/>
    </xf>
    <xf numFmtId="0" fontId="26" fillId="0" borderId="0" xfId="0" applyFont="1" applyAlignment="1">
      <alignment horizontal="right" vertical="center"/>
    </xf>
    <xf numFmtId="0" fontId="42" fillId="0" borderId="0" xfId="0" applyFont="1"/>
    <xf numFmtId="0" fontId="26" fillId="0" borderId="8" xfId="0" applyFont="1" applyBorder="1" applyAlignment="1">
      <alignment horizontal="left" vertical="center"/>
    </xf>
    <xf numFmtId="0" fontId="0" fillId="0" borderId="8" xfId="0" applyBorder="1" applyAlignment="1">
      <alignment horizontal="left" vertical="top" wrapText="1"/>
    </xf>
    <xf numFmtId="0" fontId="26" fillId="0" borderId="8" xfId="0" applyFont="1" applyBorder="1"/>
    <xf numFmtId="165" fontId="26" fillId="0" borderId="8" xfId="0" applyNumberFormat="1" applyFont="1" applyBorder="1" applyAlignment="1">
      <alignment horizontal="right" vertical="center"/>
    </xf>
    <xf numFmtId="0" fontId="39" fillId="0" borderId="8" xfId="0" applyFont="1" applyBorder="1" applyAlignment="1">
      <alignment horizontal="right" vertical="center"/>
    </xf>
    <xf numFmtId="174" fontId="26" fillId="0" borderId="8" xfId="0" applyNumberFormat="1" applyFont="1" applyBorder="1" applyAlignment="1">
      <alignment horizontal="right" vertical="center"/>
    </xf>
    <xf numFmtId="0" fontId="0" fillId="0" borderId="15" xfId="0" applyBorder="1"/>
    <xf numFmtId="0" fontId="41" fillId="0" borderId="13" xfId="0" applyFont="1" applyBorder="1" applyAlignment="1">
      <alignment horizontal="center" vertical="center"/>
    </xf>
    <xf numFmtId="0" fontId="39" fillId="0" borderId="13" xfId="0" applyFont="1" applyBorder="1" applyAlignment="1">
      <alignment horizontal="center" vertical="center"/>
    </xf>
    <xf numFmtId="0" fontId="41" fillId="0" borderId="8" xfId="0" applyFont="1" applyBorder="1" applyAlignment="1">
      <alignment horizontal="left" vertical="center"/>
    </xf>
    <xf numFmtId="0" fontId="26" fillId="0" borderId="8" xfId="0" applyFont="1" applyBorder="1" applyAlignment="1">
      <alignment horizontal="left" vertical="top" wrapText="1"/>
    </xf>
    <xf numFmtId="0" fontId="42" fillId="0" borderId="0" xfId="0" applyFont="1" applyAlignment="1">
      <alignment horizontal="right" vertical="center"/>
    </xf>
    <xf numFmtId="0" fontId="43" fillId="0" borderId="6" xfId="0" applyFont="1" applyBorder="1" applyAlignment="1">
      <alignment horizontal="left" vertical="center"/>
    </xf>
    <xf numFmtId="0" fontId="26" fillId="0" borderId="6" xfId="0" applyFont="1" applyBorder="1" applyAlignment="1">
      <alignment horizontal="center" vertical="center"/>
    </xf>
    <xf numFmtId="0" fontId="26" fillId="0" borderId="6" xfId="0" applyFont="1" applyBorder="1" applyAlignment="1">
      <alignment horizontal="center" vertical="center" wrapText="1"/>
    </xf>
    <xf numFmtId="0" fontId="26" fillId="0" borderId="13" xfId="0" applyFont="1" applyBorder="1"/>
    <xf numFmtId="174" fontId="26" fillId="0" borderId="14" xfId="0" applyNumberFormat="1" applyFont="1" applyBorder="1" applyAlignment="1">
      <alignment horizontal="right" vertical="center"/>
    </xf>
    <xf numFmtId="173" fontId="26" fillId="0" borderId="0" xfId="0" applyNumberFormat="1" applyFont="1" applyAlignment="1">
      <alignment horizontal="center" vertical="center"/>
    </xf>
    <xf numFmtId="0" fontId="26" fillId="0" borderId="0" xfId="0" applyFont="1" applyAlignment="1">
      <alignment horizontal="center" vertical="center"/>
    </xf>
    <xf numFmtId="0" fontId="26" fillId="0" borderId="11" xfId="0" applyFont="1" applyBorder="1"/>
    <xf numFmtId="174" fontId="26" fillId="0" borderId="12" xfId="0" applyNumberFormat="1" applyFont="1" applyBorder="1" applyAlignment="1">
      <alignment horizontal="right" vertical="center"/>
    </xf>
    <xf numFmtId="165" fontId="26" fillId="0" borderId="12" xfId="0" applyNumberFormat="1" applyFont="1" applyBorder="1" applyAlignment="1">
      <alignment horizontal="right" vertical="center"/>
    </xf>
    <xf numFmtId="0" fontId="42" fillId="0" borderId="10" xfId="0" applyFont="1" applyBorder="1" applyAlignment="1">
      <alignment horizontal="left" vertical="center"/>
    </xf>
    <xf numFmtId="0" fontId="42" fillId="0" borderId="10" xfId="0" applyFont="1" applyBorder="1"/>
    <xf numFmtId="0" fontId="41" fillId="0" borderId="10" xfId="0" applyFont="1" applyBorder="1" applyAlignment="1">
      <alignment horizontal="left" vertical="center"/>
    </xf>
    <xf numFmtId="0" fontId="0" fillId="0" borderId="10" xfId="0" applyBorder="1"/>
    <xf numFmtId="0" fontId="26" fillId="0" borderId="7" xfId="0" applyFont="1" applyBorder="1"/>
    <xf numFmtId="0" fontId="39" fillId="0" borderId="9" xfId="0" applyFont="1" applyBorder="1"/>
    <xf numFmtId="0" fontId="41" fillId="0" borderId="8" xfId="0" applyFont="1" applyBorder="1" applyAlignment="1">
      <alignment horizontal="center" vertical="center"/>
    </xf>
    <xf numFmtId="0" fontId="40" fillId="0" borderId="0" xfId="0" applyFont="1" applyAlignment="1">
      <alignment horizontal="left" vertical="center"/>
    </xf>
    <xf numFmtId="0" fontId="26" fillId="0" borderId="0" xfId="0" applyFont="1" applyAlignment="1">
      <alignment horizontal="left" vertical="center"/>
    </xf>
    <xf numFmtId="0" fontId="26" fillId="0" borderId="6" xfId="0" applyFont="1" applyBorder="1" applyAlignment="1">
      <alignment horizontal="left" vertical="top" wrapText="1"/>
    </xf>
    <xf numFmtId="0" fontId="39" fillId="0" borderId="6" xfId="0" applyFont="1" applyBorder="1" applyAlignment="1">
      <alignment horizontal="left" vertical="top" wrapText="1"/>
    </xf>
    <xf numFmtId="173" fontId="26" fillId="0" borderId="7" xfId="0" applyNumberFormat="1" applyFont="1" applyBorder="1" applyAlignment="1">
      <alignment horizontal="center" vertical="center"/>
    </xf>
    <xf numFmtId="0" fontId="0" fillId="0" borderId="7" xfId="0" applyBorder="1"/>
    <xf numFmtId="0" fontId="37" fillId="0" borderId="0" xfId="0" applyFont="1" applyAlignment="1">
      <alignment horizontal="left" vertical="center"/>
    </xf>
    <xf numFmtId="0" fontId="38" fillId="0" borderId="0" xfId="0" applyFont="1" applyAlignment="1">
      <alignment horizontal="right" vertical="center"/>
    </xf>
    <xf numFmtId="0" fontId="26" fillId="0" borderId="6" xfId="0" applyFont="1" applyBorder="1" applyAlignment="1">
      <alignment horizontal="left" vertical="center"/>
    </xf>
  </cellXfs>
  <cellStyles count="1">
    <cellStyle name="Normal" xfId="0" builtinId="0"/>
  </cellStyles>
  <dxfs count="15">
    <dxf>
      <font>
        <b/>
        <sz val="10"/>
        <color rgb="FFC00000"/>
        <name val="Arial"/>
        <charset val="1"/>
      </font>
      <fill>
        <patternFill>
          <bgColor rgb="FFFFE0E0"/>
        </patternFill>
      </fill>
    </dxf>
    <dxf>
      <font>
        <b/>
        <sz val="10"/>
        <color rgb="FF375623"/>
        <name val="Arial"/>
        <charset val="1"/>
      </font>
      <fill>
        <patternFill>
          <bgColor rgb="FFE2EFDA"/>
        </patternFill>
      </fill>
    </dxf>
    <dxf>
      <font>
        <b/>
        <sz val="10"/>
        <color rgb="FF7F6000"/>
        <name val="Arial"/>
        <charset val="1"/>
      </font>
      <fill>
        <patternFill>
          <bgColor rgb="FFFFF2CC"/>
        </patternFill>
      </fill>
    </dxf>
    <dxf>
      <font>
        <b/>
        <sz val="10"/>
        <color rgb="FFC00000"/>
        <name val="Arial"/>
        <charset val="1"/>
      </font>
      <fill>
        <patternFill>
          <bgColor rgb="FFFFE0E0"/>
        </patternFill>
      </fill>
    </dxf>
    <dxf>
      <font>
        <b/>
        <sz val="10"/>
        <color rgb="FF375623"/>
        <name val="Arial"/>
        <charset val="1"/>
      </font>
      <fill>
        <patternFill>
          <bgColor rgb="FFE2EFDA"/>
        </patternFill>
      </fill>
    </dxf>
    <dxf>
      <font>
        <b/>
        <sz val="10"/>
        <color rgb="FFC00000"/>
        <name val="Arial"/>
        <charset val="1"/>
      </font>
      <fill>
        <patternFill>
          <bgColor rgb="FFFFE0E0"/>
        </patternFill>
      </fill>
    </dxf>
    <dxf>
      <font>
        <b/>
        <sz val="10"/>
        <color rgb="FF375623"/>
        <name val="Arial"/>
        <charset val="1"/>
      </font>
      <fill>
        <patternFill>
          <bgColor rgb="FFE2EFDA"/>
        </patternFill>
      </fill>
    </dxf>
    <dxf>
      <font>
        <b/>
        <sz val="10"/>
        <color rgb="FFC00000"/>
        <name val="Arial"/>
        <charset val="1"/>
      </font>
      <fill>
        <patternFill>
          <bgColor rgb="FFFFE0E0"/>
        </patternFill>
      </fill>
    </dxf>
    <dxf>
      <font>
        <b/>
        <sz val="10"/>
        <color rgb="FF375623"/>
        <name val="Arial"/>
        <charset val="1"/>
      </font>
      <fill>
        <patternFill>
          <bgColor rgb="FFE2EFDA"/>
        </patternFill>
      </fill>
    </dxf>
    <dxf>
      <font>
        <sz val="9"/>
        <color rgb="FF9C0006"/>
        <name val="Arial"/>
        <charset val="1"/>
      </font>
      <fill>
        <patternFill>
          <bgColor rgb="FFFFC7CE"/>
        </patternFill>
      </fill>
    </dxf>
    <dxf>
      <font>
        <sz val="9"/>
        <color rgb="FF9C6500"/>
        <name val="Arial"/>
        <charset val="1"/>
      </font>
      <fill>
        <patternFill>
          <bgColor rgb="FFFFEB9C"/>
        </patternFill>
      </fill>
    </dxf>
    <dxf>
      <font>
        <sz val="9"/>
        <color rgb="FF276221"/>
        <name val="Arial"/>
        <charset val="1"/>
      </font>
      <fill>
        <patternFill>
          <bgColor rgb="FFC6EFCE"/>
        </patternFill>
      </fill>
    </dxf>
    <dxf>
      <font>
        <sz val="9"/>
        <color rgb="FF9C0006"/>
        <name val="Arial"/>
        <charset val="1"/>
      </font>
      <fill>
        <patternFill>
          <bgColor rgb="FFFFC7CE"/>
        </patternFill>
      </fill>
    </dxf>
    <dxf>
      <font>
        <sz val="9"/>
        <color rgb="FF9C6500"/>
        <name val="Arial"/>
        <charset val="1"/>
      </font>
      <fill>
        <patternFill>
          <bgColor rgb="FFFFEB9C"/>
        </patternFill>
      </fill>
    </dxf>
    <dxf>
      <font>
        <sz val="9"/>
        <color rgb="FF276221"/>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7F7F7"/>
      <rgbColor rgb="FFFF00FF"/>
      <rgbColor rgb="FF00FFFF"/>
      <rgbColor rgb="FF9C0006"/>
      <rgbColor rgb="FF008000"/>
      <rgbColor rgb="FF000080"/>
      <rgbColor rgb="FF7F6000"/>
      <rgbColor rgb="FFCC0E1E"/>
      <rgbColor rgb="FF276221"/>
      <rgbColor rgb="FFCCCCCC"/>
      <rgbColor rgb="FF888888"/>
      <rgbColor rgb="FF9999FF"/>
      <rgbColor rgb="FF7030A0"/>
      <rgbColor rgb="FFFFF2CC"/>
      <rgbColor rgb="FFD9E8F5"/>
      <rgbColor rgb="FF555555"/>
      <rgbColor rgb="FFC55A11"/>
      <rgbColor rgb="FF0070C0"/>
      <rgbColor rgb="FFE2EFDA"/>
      <rgbColor rgb="FF000080"/>
      <rgbColor rgb="FFFF00FF"/>
      <rgbColor rgb="FFFFFF00"/>
      <rgbColor rgb="FF00FFFF"/>
      <rgbColor rgb="FFCC0000"/>
      <rgbColor rgb="FFC00000"/>
      <rgbColor rgb="FF375623"/>
      <rgbColor rgb="FF0000FF"/>
      <rgbColor rgb="FF00CCFF"/>
      <rgbColor rgb="FFEBF3FB"/>
      <rgbColor rgb="FFC6EFCE"/>
      <rgbColor rgb="FFFFEB9C"/>
      <rgbColor rgb="FFF2F2F2"/>
      <rgbColor rgb="FFFFE0E0"/>
      <rgbColor rgb="FFF9E8EA"/>
      <rgbColor rgb="FFFFC7CE"/>
      <rgbColor rgb="FF2196F3"/>
      <rgbColor rgb="FF33CCCC"/>
      <rgbColor rgb="FF99CC00"/>
      <rgbColor rgb="FFFFCC00"/>
      <rgbColor rgb="FFFF9900"/>
      <rgbColor rgb="FFE65100"/>
      <rgbColor rgb="FF666666"/>
      <rgbColor rgb="FFAAAAAA"/>
      <rgbColor rgb="FF1F3864"/>
      <rgbColor rgb="FF388E3C"/>
      <rgbColor rgb="FF1A1A2E"/>
      <rgbColor rgb="FF404040"/>
      <rgbColor rgb="FF9C6500"/>
      <rgbColor rgb="FF595959"/>
      <rgbColor rgb="FF1F4E79"/>
      <rgbColor rgb="FF2D2D2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196F3"/>
  </sheetPr>
  <dimension ref="A1:J32"/>
  <sheetViews>
    <sheetView topLeftCell="A14" zoomScaleNormal="100" workbookViewId="0">
      <selection activeCell="D14" sqref="D14:J14"/>
    </sheetView>
  </sheetViews>
  <sheetFormatPr defaultColWidth="8.7109375" defaultRowHeight="15"/>
  <cols>
    <col min="1" max="1" width="26" customWidth="1"/>
    <col min="2" max="2" width="18" customWidth="1"/>
    <col min="3" max="3" width="14" customWidth="1"/>
    <col min="4" max="10" width="11" customWidth="1"/>
  </cols>
  <sheetData>
    <row r="1" spans="1:10" ht="36" customHeight="1">
      <c r="A1" s="162" t="s">
        <v>0</v>
      </c>
      <c r="B1" s="162"/>
      <c r="C1" s="162"/>
      <c r="D1" s="162"/>
      <c r="E1" s="162"/>
      <c r="F1" s="162"/>
      <c r="G1" s="162"/>
      <c r="H1" s="162"/>
      <c r="I1" s="162"/>
      <c r="J1" s="162"/>
    </row>
    <row r="2" spans="1:10" ht="18" customHeight="1">
      <c r="A2" s="163" t="s">
        <v>1</v>
      </c>
      <c r="B2" s="163"/>
      <c r="C2" s="163"/>
      <c r="D2" s="163"/>
      <c r="E2" s="163"/>
      <c r="F2" s="163"/>
      <c r="G2" s="163"/>
      <c r="H2" s="163"/>
      <c r="I2" s="163"/>
      <c r="J2" s="163"/>
    </row>
    <row r="3" spans="1:10" ht="7.5" customHeight="1"/>
    <row r="4" spans="1:10" ht="21.75" customHeight="1">
      <c r="A4" s="150" t="s">
        <v>2</v>
      </c>
      <c r="B4" s="150"/>
      <c r="C4" s="150"/>
      <c r="D4" s="150"/>
      <c r="E4" s="150"/>
      <c r="F4" s="150"/>
      <c r="G4" s="150"/>
      <c r="H4" s="150"/>
      <c r="I4" s="150"/>
      <c r="J4" s="150"/>
    </row>
    <row r="5" spans="1:10" ht="39.75" customHeight="1">
      <c r="A5" s="147" t="s">
        <v>3</v>
      </c>
      <c r="B5" s="147"/>
      <c r="C5" s="147"/>
      <c r="D5" s="147"/>
      <c r="E5" s="147"/>
      <c r="F5" s="147"/>
      <c r="G5" s="147"/>
      <c r="H5" s="147"/>
      <c r="I5" s="147"/>
      <c r="J5" s="147"/>
    </row>
    <row r="6" spans="1:10" ht="7.5" customHeight="1"/>
    <row r="7" spans="1:10" ht="21.75" customHeight="1">
      <c r="A7" s="150" t="s">
        <v>4</v>
      </c>
      <c r="B7" s="150"/>
      <c r="C7" s="150"/>
      <c r="D7" s="150"/>
      <c r="E7" s="150"/>
      <c r="F7" s="150"/>
      <c r="G7" s="150"/>
      <c r="H7" s="150"/>
      <c r="I7" s="150"/>
      <c r="J7" s="150"/>
    </row>
    <row r="8" spans="1:10" ht="19.5" customHeight="1">
      <c r="A8" s="3" t="s">
        <v>5</v>
      </c>
      <c r="B8" s="3" t="s">
        <v>6</v>
      </c>
      <c r="C8" s="3" t="s">
        <v>7</v>
      </c>
      <c r="D8" s="161" t="s">
        <v>8</v>
      </c>
      <c r="E8" s="161"/>
      <c r="F8" s="161"/>
      <c r="G8" s="161"/>
      <c r="H8" s="161"/>
      <c r="I8" s="161"/>
      <c r="J8" s="161"/>
    </row>
    <row r="9" spans="1:10" ht="33.75" customHeight="1">
      <c r="A9" s="4" t="s">
        <v>9</v>
      </c>
      <c r="B9" s="5" t="s">
        <v>10</v>
      </c>
      <c r="C9" s="5" t="s">
        <v>11</v>
      </c>
      <c r="D9" s="160" t="s">
        <v>12</v>
      </c>
      <c r="E9" s="160"/>
      <c r="F9" s="160"/>
      <c r="G9" s="160"/>
      <c r="H9" s="160"/>
      <c r="I9" s="160"/>
      <c r="J9" s="160"/>
    </row>
    <row r="10" spans="1:10" ht="33.75" customHeight="1">
      <c r="A10" s="6" t="s">
        <v>13</v>
      </c>
      <c r="B10" s="7" t="s">
        <v>14</v>
      </c>
      <c r="C10" s="7" t="s">
        <v>15</v>
      </c>
      <c r="D10" s="147" t="s">
        <v>16</v>
      </c>
      <c r="E10" s="147"/>
      <c r="F10" s="147"/>
      <c r="G10" s="147"/>
      <c r="H10" s="147"/>
      <c r="I10" s="147"/>
      <c r="J10" s="147"/>
    </row>
    <row r="11" spans="1:10" ht="33.75" customHeight="1">
      <c r="A11" s="4" t="s">
        <v>17</v>
      </c>
      <c r="B11" s="5" t="s">
        <v>14</v>
      </c>
      <c r="C11" s="5" t="s">
        <v>15</v>
      </c>
      <c r="D11" s="160" t="s">
        <v>18</v>
      </c>
      <c r="E11" s="160"/>
      <c r="F11" s="160"/>
      <c r="G11" s="160"/>
      <c r="H11" s="160"/>
      <c r="I11" s="160"/>
      <c r="J11" s="160"/>
    </row>
    <row r="12" spans="1:10" ht="33.75" customHeight="1">
      <c r="A12" s="6" t="s">
        <v>19</v>
      </c>
      <c r="B12" s="7" t="s">
        <v>20</v>
      </c>
      <c r="C12" s="7" t="s">
        <v>21</v>
      </c>
      <c r="D12" s="147" t="s">
        <v>22</v>
      </c>
      <c r="E12" s="147"/>
      <c r="F12" s="147"/>
      <c r="G12" s="147"/>
      <c r="H12" s="147"/>
      <c r="I12" s="147"/>
      <c r="J12" s="147"/>
    </row>
    <row r="13" spans="1:10" ht="33.75" customHeight="1">
      <c r="A13" s="4" t="s">
        <v>23</v>
      </c>
      <c r="B13" s="5" t="s">
        <v>24</v>
      </c>
      <c r="C13" s="5" t="s">
        <v>25</v>
      </c>
      <c r="D13" s="160" t="s">
        <v>26</v>
      </c>
      <c r="E13" s="160"/>
      <c r="F13" s="160"/>
      <c r="G13" s="160"/>
      <c r="H13" s="160"/>
      <c r="I13" s="160"/>
      <c r="J13" s="160"/>
    </row>
    <row r="14" spans="1:10" ht="33.75" customHeight="1">
      <c r="A14" s="6" t="s">
        <v>27</v>
      </c>
      <c r="B14" s="7" t="s">
        <v>28</v>
      </c>
      <c r="C14" s="7" t="s">
        <v>15</v>
      </c>
      <c r="D14" s="147" t="s">
        <v>29</v>
      </c>
      <c r="E14" s="147"/>
      <c r="F14" s="147"/>
      <c r="G14" s="147"/>
      <c r="H14" s="147"/>
      <c r="I14" s="147"/>
      <c r="J14" s="147"/>
    </row>
    <row r="15" spans="1:10" ht="33.75" customHeight="1">
      <c r="A15" s="4" t="s">
        <v>30</v>
      </c>
      <c r="B15" s="5" t="s">
        <v>14</v>
      </c>
      <c r="C15" s="5" t="s">
        <v>15</v>
      </c>
      <c r="D15" s="160" t="s">
        <v>31</v>
      </c>
      <c r="E15" s="160"/>
      <c r="F15" s="160"/>
      <c r="G15" s="160"/>
      <c r="H15" s="160"/>
      <c r="I15" s="160"/>
      <c r="J15" s="160"/>
    </row>
    <row r="16" spans="1:10" ht="7.5" customHeight="1"/>
    <row r="17" spans="1:10" ht="21.75" customHeight="1">
      <c r="A17" s="150" t="s">
        <v>32</v>
      </c>
      <c r="B17" s="150"/>
      <c r="C17" s="150"/>
      <c r="D17" s="150"/>
      <c r="E17" s="150"/>
      <c r="F17" s="150"/>
      <c r="G17" s="150"/>
      <c r="H17" s="150"/>
      <c r="I17" s="150"/>
      <c r="J17" s="150"/>
    </row>
    <row r="18" spans="1:10" ht="45.75" customHeight="1">
      <c r="A18" s="8" t="s">
        <v>33</v>
      </c>
      <c r="B18" s="158" t="s">
        <v>34</v>
      </c>
      <c r="C18" s="158"/>
      <c r="D18" s="158"/>
      <c r="E18" s="158"/>
      <c r="F18" s="158"/>
      <c r="G18" s="158"/>
      <c r="H18" s="158"/>
      <c r="I18" s="158"/>
      <c r="J18" s="158"/>
    </row>
    <row r="19" spans="1:10" ht="45.75" customHeight="1">
      <c r="A19" s="9" t="s">
        <v>35</v>
      </c>
      <c r="B19" s="159" t="s">
        <v>36</v>
      </c>
      <c r="C19" s="159"/>
      <c r="D19" s="159"/>
      <c r="E19" s="159"/>
      <c r="F19" s="159"/>
      <c r="G19" s="159"/>
      <c r="H19" s="159"/>
      <c r="I19" s="159"/>
      <c r="J19" s="159"/>
    </row>
    <row r="20" spans="1:10" ht="45.75" customHeight="1">
      <c r="A20" s="8" t="s">
        <v>37</v>
      </c>
      <c r="B20" s="158" t="s">
        <v>38</v>
      </c>
      <c r="C20" s="158"/>
      <c r="D20" s="158"/>
      <c r="E20" s="158"/>
      <c r="F20" s="158"/>
      <c r="G20" s="158"/>
      <c r="H20" s="158"/>
      <c r="I20" s="158"/>
      <c r="J20" s="158"/>
    </row>
    <row r="21" spans="1:10" ht="45.75" customHeight="1">
      <c r="A21" s="9" t="s">
        <v>39</v>
      </c>
      <c r="B21" s="159" t="s">
        <v>40</v>
      </c>
      <c r="C21" s="159"/>
      <c r="D21" s="159"/>
      <c r="E21" s="159"/>
      <c r="F21" s="159"/>
      <c r="G21" s="159"/>
      <c r="H21" s="159"/>
      <c r="I21" s="159"/>
      <c r="J21" s="159"/>
    </row>
    <row r="22" spans="1:10" ht="45.75" customHeight="1">
      <c r="A22" s="8" t="s">
        <v>41</v>
      </c>
      <c r="B22" s="158" t="s">
        <v>42</v>
      </c>
      <c r="C22" s="158"/>
      <c r="D22" s="158"/>
      <c r="E22" s="158"/>
      <c r="F22" s="158"/>
      <c r="G22" s="158"/>
      <c r="H22" s="158"/>
      <c r="I22" s="158"/>
      <c r="J22" s="158"/>
    </row>
    <row r="23" spans="1:10" ht="45.75" customHeight="1">
      <c r="A23" s="9" t="s">
        <v>43</v>
      </c>
      <c r="B23" s="159" t="s">
        <v>44</v>
      </c>
      <c r="C23" s="159"/>
      <c r="D23" s="159"/>
      <c r="E23" s="159"/>
      <c r="F23" s="159"/>
      <c r="G23" s="159"/>
      <c r="H23" s="159"/>
      <c r="I23" s="159"/>
      <c r="J23" s="159"/>
    </row>
    <row r="24" spans="1:10" ht="45.75" customHeight="1">
      <c r="A24" s="8" t="s">
        <v>45</v>
      </c>
      <c r="B24" s="158" t="s">
        <v>46</v>
      </c>
      <c r="C24" s="158"/>
      <c r="D24" s="158"/>
      <c r="E24" s="158"/>
      <c r="F24" s="158"/>
      <c r="G24" s="158"/>
      <c r="H24" s="158"/>
      <c r="I24" s="158"/>
      <c r="J24" s="158"/>
    </row>
    <row r="25" spans="1:10" ht="7.5" customHeight="1"/>
    <row r="26" spans="1:10" ht="21.75" customHeight="1">
      <c r="A26" s="150" t="s">
        <v>47</v>
      </c>
      <c r="B26" s="150"/>
      <c r="C26" s="150"/>
      <c r="D26" s="150"/>
      <c r="E26" s="150"/>
      <c r="F26" s="150"/>
      <c r="G26" s="150"/>
      <c r="H26" s="150"/>
      <c r="I26" s="150"/>
      <c r="J26" s="150"/>
    </row>
    <row r="27" spans="1:10" ht="19.5" customHeight="1">
      <c r="A27" s="10" t="s">
        <v>48</v>
      </c>
      <c r="B27" s="157" t="s">
        <v>49</v>
      </c>
      <c r="C27" s="157"/>
      <c r="D27" s="157"/>
      <c r="E27" s="157"/>
      <c r="F27" s="157"/>
      <c r="G27" s="157"/>
      <c r="H27" s="157"/>
      <c r="I27" s="157"/>
      <c r="J27" s="157"/>
    </row>
    <row r="28" spans="1:10" ht="19.5" customHeight="1">
      <c r="A28" s="11" t="s">
        <v>50</v>
      </c>
      <c r="B28" s="156" t="s">
        <v>51</v>
      </c>
      <c r="C28" s="156"/>
      <c r="D28" s="156"/>
      <c r="E28" s="156"/>
      <c r="F28" s="156"/>
      <c r="G28" s="156"/>
      <c r="H28" s="156"/>
      <c r="I28" s="156"/>
      <c r="J28" s="156"/>
    </row>
    <row r="29" spans="1:10" ht="19.5" customHeight="1">
      <c r="A29" s="12" t="s">
        <v>52</v>
      </c>
      <c r="B29" s="157" t="s">
        <v>53</v>
      </c>
      <c r="C29" s="157"/>
      <c r="D29" s="157"/>
      <c r="E29" s="157"/>
      <c r="F29" s="157"/>
      <c r="G29" s="157"/>
      <c r="H29" s="157"/>
      <c r="I29" s="157"/>
      <c r="J29" s="157"/>
    </row>
    <row r="30" spans="1:10" ht="19.5" customHeight="1">
      <c r="A30" s="13" t="s">
        <v>54</v>
      </c>
      <c r="B30" s="156" t="s">
        <v>55</v>
      </c>
      <c r="C30" s="156"/>
      <c r="D30" s="156"/>
      <c r="E30" s="156"/>
      <c r="F30" s="156"/>
      <c r="G30" s="156"/>
      <c r="H30" s="156"/>
      <c r="I30" s="156"/>
      <c r="J30" s="156"/>
    </row>
    <row r="31" spans="1:10" ht="19.5" customHeight="1">
      <c r="A31" s="12" t="s">
        <v>56</v>
      </c>
      <c r="B31" s="157" t="s">
        <v>57</v>
      </c>
      <c r="C31" s="157"/>
      <c r="D31" s="157"/>
      <c r="E31" s="157"/>
      <c r="F31" s="157"/>
      <c r="G31" s="157"/>
      <c r="H31" s="157"/>
      <c r="I31" s="157"/>
      <c r="J31" s="157"/>
    </row>
    <row r="32" spans="1:10" ht="19.5" customHeight="1">
      <c r="A32" s="13" t="s">
        <v>58</v>
      </c>
      <c r="B32" s="156" t="s">
        <v>59</v>
      </c>
      <c r="C32" s="156"/>
      <c r="D32" s="156"/>
      <c r="E32" s="156"/>
      <c r="F32" s="156"/>
      <c r="G32" s="156"/>
      <c r="H32" s="156"/>
      <c r="I32" s="156"/>
      <c r="J32" s="156"/>
    </row>
  </sheetData>
  <mergeCells count="28">
    <mergeCell ref="A1:J1"/>
    <mergeCell ref="A2:J2"/>
    <mergeCell ref="A4:J4"/>
    <mergeCell ref="A5:J5"/>
    <mergeCell ref="A7:J7"/>
    <mergeCell ref="D8:J8"/>
    <mergeCell ref="D9:J9"/>
    <mergeCell ref="D10:J10"/>
    <mergeCell ref="D11:J11"/>
    <mergeCell ref="D12:J12"/>
    <mergeCell ref="D13:J13"/>
    <mergeCell ref="D14:J14"/>
    <mergeCell ref="D15:J15"/>
    <mergeCell ref="A17:J17"/>
    <mergeCell ref="B18:J18"/>
    <mergeCell ref="B19:J19"/>
    <mergeCell ref="B20:J20"/>
    <mergeCell ref="B21:J21"/>
    <mergeCell ref="B22:J22"/>
    <mergeCell ref="B23:J23"/>
    <mergeCell ref="B30:J30"/>
    <mergeCell ref="B31:J31"/>
    <mergeCell ref="B32:J32"/>
    <mergeCell ref="B24:J24"/>
    <mergeCell ref="A26:J26"/>
    <mergeCell ref="B27:J27"/>
    <mergeCell ref="B28:J28"/>
    <mergeCell ref="B29:J2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8E3C"/>
  </sheetPr>
  <dimension ref="A1:D88"/>
  <sheetViews>
    <sheetView showGridLines="0" tabSelected="1" zoomScaleNormal="100" workbookViewId="0">
      <selection activeCell="C6" sqref="C6"/>
    </sheetView>
  </sheetViews>
  <sheetFormatPr defaultColWidth="8.7109375" defaultRowHeight="15"/>
  <cols>
    <col min="1" max="1" width="36" customWidth="1"/>
    <col min="2" max="2" width="32" customWidth="1"/>
    <col min="3" max="3" width="60" customWidth="1"/>
    <col min="4" max="4" width="4" customWidth="1"/>
  </cols>
  <sheetData>
    <row r="1" spans="1:4" ht="30" customHeight="1">
      <c r="B1" s="152" t="s">
        <v>60</v>
      </c>
      <c r="C1" s="152"/>
      <c r="D1" s="152"/>
    </row>
    <row r="3" spans="1:4" ht="19.5" customHeight="1">
      <c r="B3" s="14" t="s">
        <v>61</v>
      </c>
      <c r="C3" s="15" t="s">
        <v>62</v>
      </c>
      <c r="D3" s="15" t="s">
        <v>63</v>
      </c>
    </row>
    <row r="4" spans="1:4" ht="18" customHeight="1">
      <c r="B4" s="16" t="s">
        <v>64</v>
      </c>
      <c r="C4" s="17">
        <v>7.0000000000000007E-2</v>
      </c>
      <c r="D4" s="18" t="s">
        <v>65</v>
      </c>
    </row>
    <row r="5" spans="1:4" ht="18" customHeight="1">
      <c r="B5" s="16" t="s">
        <v>66</v>
      </c>
      <c r="C5" s="17">
        <v>0.25</v>
      </c>
      <c r="D5" s="18" t="s">
        <v>67</v>
      </c>
    </row>
    <row r="6" spans="1:4" ht="18" customHeight="1">
      <c r="B6" s="16" t="s">
        <v>68</v>
      </c>
      <c r="C6" s="19">
        <v>163.69999999999999</v>
      </c>
      <c r="D6" s="18" t="s">
        <v>69</v>
      </c>
    </row>
    <row r="7" spans="1:4" ht="6" customHeight="1"/>
    <row r="8" spans="1:4" ht="14.25" customHeight="1">
      <c r="A8" s="153" t="s">
        <v>70</v>
      </c>
      <c r="B8" s="153"/>
      <c r="C8" s="153"/>
    </row>
    <row r="9" spans="1:4" ht="14.25" customHeight="1">
      <c r="A9" s="20" t="s">
        <v>71</v>
      </c>
      <c r="B9" s="21" t="s">
        <v>72</v>
      </c>
      <c r="C9" s="22" t="s">
        <v>73</v>
      </c>
    </row>
    <row r="10" spans="1:4" ht="14.25" customHeight="1">
      <c r="A10" s="20" t="s">
        <v>74</v>
      </c>
      <c r="B10" s="21" t="s">
        <v>75</v>
      </c>
      <c r="C10" s="22" t="s">
        <v>73</v>
      </c>
    </row>
    <row r="11" spans="1:4" ht="14.25" customHeight="1">
      <c r="A11" s="20" t="s">
        <v>76</v>
      </c>
      <c r="B11" s="21" t="s">
        <v>77</v>
      </c>
      <c r="C11" s="22" t="s">
        <v>73</v>
      </c>
    </row>
    <row r="12" spans="1:4" ht="14.25" customHeight="1">
      <c r="A12" s="20" t="s">
        <v>78</v>
      </c>
      <c r="B12" s="21" t="s">
        <v>79</v>
      </c>
      <c r="C12" s="22" t="s">
        <v>73</v>
      </c>
    </row>
    <row r="13" spans="1:4" ht="14.25" customHeight="1">
      <c r="A13" s="20" t="s">
        <v>80</v>
      </c>
      <c r="B13" s="21" t="s">
        <v>81</v>
      </c>
      <c r="C13" s="22" t="s">
        <v>73</v>
      </c>
    </row>
    <row r="14" spans="1:4" ht="14.25" customHeight="1">
      <c r="A14" s="20" t="s">
        <v>82</v>
      </c>
      <c r="B14" s="21" t="s">
        <v>83</v>
      </c>
      <c r="C14" s="22" t="s">
        <v>73</v>
      </c>
    </row>
    <row r="15" spans="1:4" ht="14.25" customHeight="1">
      <c r="A15" s="20" t="s">
        <v>84</v>
      </c>
      <c r="B15" s="21" t="s">
        <v>85</v>
      </c>
      <c r="C15" s="22" t="s">
        <v>73</v>
      </c>
    </row>
    <row r="16" spans="1:4" ht="14.25" customHeight="1">
      <c r="A16" s="20" t="s">
        <v>86</v>
      </c>
      <c r="B16" s="21" t="s">
        <v>87</v>
      </c>
      <c r="C16" s="22" t="s">
        <v>73</v>
      </c>
    </row>
    <row r="17" spans="1:4" ht="14.25" customHeight="1">
      <c r="A17" s="20" t="s">
        <v>88</v>
      </c>
      <c r="B17" s="21">
        <v>4</v>
      </c>
      <c r="C17" s="22" t="s">
        <v>73</v>
      </c>
    </row>
    <row r="18" spans="1:4" ht="14.25" customHeight="1">
      <c r="A18" s="20" t="s">
        <v>89</v>
      </c>
      <c r="B18" s="21" t="s">
        <v>90</v>
      </c>
      <c r="C18" s="22" t="s">
        <v>73</v>
      </c>
    </row>
    <row r="19" spans="1:4" ht="14.25" customHeight="1">
      <c r="A19" s="20" t="s">
        <v>91</v>
      </c>
      <c r="B19" s="21">
        <v>0.1</v>
      </c>
      <c r="C19" s="22" t="s">
        <v>73</v>
      </c>
    </row>
    <row r="20" spans="1:4" ht="9.75" customHeight="1"/>
    <row r="21" spans="1:4" ht="27.75" customHeight="1">
      <c r="A21" s="154" t="s">
        <v>92</v>
      </c>
      <c r="B21" s="154"/>
      <c r="C21" s="154"/>
      <c r="D21" s="154"/>
    </row>
    <row r="22" spans="1:4" ht="18" customHeight="1">
      <c r="A22" s="151" t="s">
        <v>93</v>
      </c>
      <c r="B22" s="151"/>
      <c r="C22" s="151"/>
      <c r="D22" s="151"/>
    </row>
    <row r="23" spans="1:4" ht="21.75" customHeight="1">
      <c r="A23" s="23" t="s">
        <v>94</v>
      </c>
      <c r="B23" s="23" t="s">
        <v>95</v>
      </c>
      <c r="C23" s="155" t="s">
        <v>96</v>
      </c>
      <c r="D23" s="155"/>
    </row>
    <row r="24" spans="1:4" ht="33.75" customHeight="1">
      <c r="A24" s="24" t="s">
        <v>97</v>
      </c>
      <c r="B24" s="25" t="str">
        <f>TEXT(ABS('SPA Optimizer'!P60),"€#,##0")&amp;IF('SPA Optimizer'!P60&gt;=0,"  ▲","  ▼")</f>
        <v>€39735,470  ▼</v>
      </c>
      <c r="C24" s="148" t="str">
        <f>IF('SPA Optimizer'!P60&gt;=-50000,IF('SPA Optimizer'!P60&gt;=0,"✔  Revenue maintained or grown","⚠  Revenue decline within tolerance (&lt;€50K)"),"✖  Revenue decline exceeds €50K — review")</f>
        <v>⚠  Revenue decline within tolerance (&lt;€50K)</v>
      </c>
      <c r="D24" s="148"/>
    </row>
    <row r="25" spans="1:4" ht="33.75" customHeight="1">
      <c r="A25" s="26" t="s">
        <v>98</v>
      </c>
      <c r="B25" s="27" t="str">
        <f>TEXT(ABS('SPA Optimizer'!Y60),"€#,##0")&amp;IF('SPA Optimizer'!Y60&gt;=0,"  ▲","  ▼")</f>
        <v>€85594,263  ▼</v>
      </c>
      <c r="C25" s="147" t="str">
        <f>IF('SPA Optimizer'!Y60&gt;=0,"✔  Profit neutral or better with IML support",IF('SPA Optimizer'!Y60&gt;=-40000,"⚠  Profit decline with IML — still submittable","✖  Profit decline too large — renegotiate"))</f>
        <v>✖  Profit decline too large — renegotiate</v>
      </c>
      <c r="D25" s="147"/>
    </row>
    <row r="26" spans="1:4" ht="33.75" customHeight="1">
      <c r="A26" s="24" t="s">
        <v>99</v>
      </c>
      <c r="B26" s="25" t="str">
        <f>TEXT('SPA Optimizer'!Z60,"€#,##0")</f>
        <v>€37134,528</v>
      </c>
      <c r="C26" s="148" t="str">
        <f>IF('SPA Optimizer'!Z60&lt;=20000,"✔  IML sacrifice reasonable (≤€20K)",IF('SPA Optimizer'!Z60&lt;=40000,"⚠  Elevated — escalation likely needed","✖  Too high — review pricing"))</f>
        <v>⚠  Elevated — escalation likely needed</v>
      </c>
      <c r="D26" s="148"/>
    </row>
    <row r="27" spans="1:4" ht="33.75" customHeight="1">
      <c r="A27" s="26" t="s">
        <v>100</v>
      </c>
      <c r="B27" s="27" t="str">
        <f>COUNTIF('SPA Optimizer'!R6:R58,"▲ BETTER")&amp;" of 12"</f>
        <v>16 of 12</v>
      </c>
      <c r="C27" s="147" t="str">
        <f>IF(COUNTIF('SPA Optimizer'!R6:R58,"▲ BETTER")&gt;=6,"✔  Majority viable standalone",IF(COUNTIF('SPA Optimizer'!R6:R58,"▲ BETTER")&gt;=2,"⚠  Few viable standalone — IML needed for most","✖  None viable without IML"))</f>
        <v>✔  Majority viable standalone</v>
      </c>
      <c r="D27" s="147"/>
    </row>
    <row r="28" spans="1:4" ht="33.75" customHeight="1">
      <c r="A28" s="24" t="s">
        <v>101</v>
      </c>
      <c r="B28" s="25" t="str">
        <f>COUNTIF('SPA Optimizer'!AB6:AB58,"▲ BETTER")&amp;" of 12"</f>
        <v>21 of 12</v>
      </c>
      <c r="C28" s="148" t="str">
        <f>IF(COUNTIF('SPA Optimizer'!AB6:AB58,"▲ BETTER")&gt;=10,"✔  SPA approvable with IML support",IF(COUNTIF('SPA Optimizer'!AB6:AB58,"▲ BETTER")&gt;=6,"⚠  Partial approval possible — review weak lines","✖  Not viable even with IML — renegotiate"))</f>
        <v>✔  SPA approvable with IML support</v>
      </c>
      <c r="D28" s="148"/>
    </row>
    <row r="29" spans="1:4" ht="33.75" customHeight="1">
      <c r="A29" s="26" t="s">
        <v>102</v>
      </c>
      <c r="B29" s="27" t="str">
        <f>TEXT(AVERAGE('SPA Optimizer'!O6:O58),"0.0%")&amp;"  (L12: "&amp;TEXT(AVERAGE('SPA Optimizer'!I6:I58),"0.0%")&amp;")"</f>
        <v>27%  (L12: 42%)</v>
      </c>
      <c r="C29" s="147" t="str">
        <f>IF(AVERAGE('SPA Optimizer'!O6:O58)&gt;=0.3,"✔  Avg GM% above 30% floor",IF(AVERAGE('SPA Optimizer'!O6:O58)&gt;=0.25,"⚠  Near 25% floor — Management Approver flag","✖  Below 25% minimum — approval at risk"))</f>
        <v>⚠  Near 25% floor — Management Approver flag</v>
      </c>
      <c r="D29" s="147"/>
    </row>
    <row r="30" spans="1:4" ht="33.75" customHeight="1">
      <c r="A30" s="24" t="s">
        <v>103</v>
      </c>
      <c r="B30" s="25" t="str">
        <f>TEXT(SUM('SPA Optimizer'!K6:K58)-SUM('SPA Optimizer'!E6:E58),"+#,##0;-#,##0;0")&amp;" units"</f>
        <v>+715,0 units</v>
      </c>
      <c r="C30" s="148" t="str">
        <f>IF(SUM('SPA Optimizer'!K6:K58)&gt;=SUM('SPA Optimizer'!E6:E58),"✔  Committed volume exceeds L12 — SPA justified","⚠  Below L12 — strengthen ask or add justification")</f>
        <v>✔  Committed volume exceeds L12 — SPA justified</v>
      </c>
      <c r="D30" s="148"/>
    </row>
    <row r="31" spans="1:4" ht="48" customHeight="1">
      <c r="A31" s="28" t="s">
        <v>104</v>
      </c>
      <c r="B31" s="27" t="s">
        <v>105</v>
      </c>
      <c r="C31" s="149" t="str">
        <f>IF(COUNTIF('SPA Optimizer'!AB6:AB58,"▲ BETTER")&gt;=10,IF('SPA Optimizer'!Z60&lt;=25000,"✔  APPROVABLE — Submit with IML brief. All key metrics within range.","⚠  APPROVABLE WITH ESCALATION — IML sacrifice elevated. Needs Management Approver sign-off."),IF(COUNTIF('SPA Optimizer'!AB6:AB58,"▲ BETTER")&gt;=6,"⚠  PARTIAL APPROVAL — Submit viable lines only. Review weak lines first.","✖  NOT READY — Revise SPA prices or volumes before submission."))</f>
        <v>⚠  APPROVABLE WITH ESCALATION — IML sacrifice elevated. Needs Management Approver sign-off.</v>
      </c>
      <c r="D31" s="149"/>
    </row>
    <row r="32" spans="1:4" ht="7.5" customHeight="1"/>
    <row r="33" spans="1:4" ht="24" customHeight="1">
      <c r="A33" s="150" t="s">
        <v>106</v>
      </c>
      <c r="B33" s="150"/>
      <c r="C33" s="150"/>
      <c r="D33" s="150"/>
    </row>
    <row r="34" spans="1:4" ht="18" customHeight="1">
      <c r="A34" s="151" t="s">
        <v>107</v>
      </c>
      <c r="B34" s="151"/>
      <c r="C34" s="151"/>
      <c r="D34" s="151"/>
    </row>
    <row r="35" spans="1:4" ht="19.5" customHeight="1">
      <c r="A35" s="29" t="s">
        <v>108</v>
      </c>
      <c r="B35" s="29" t="s">
        <v>109</v>
      </c>
      <c r="C35" s="29" t="s">
        <v>110</v>
      </c>
      <c r="D35" s="29" t="s">
        <v>111</v>
      </c>
    </row>
    <row r="36" spans="1:4" ht="19.5" customHeight="1">
      <c r="A36" s="30">
        <f>'SPA Optimizer'!A6</f>
        <v>1443803030</v>
      </c>
      <c r="B36" s="31" t="str">
        <f>'SPA Optimizer'!B6</f>
        <v>LINK; DRAG</v>
      </c>
      <c r="C36" s="32">
        <f>'SPA Optimizer'!O6</f>
        <v>0.34618181818181815</v>
      </c>
      <c r="D36" s="31" t="str">
        <f>IF('SPA Optimizer'!O6&gt;=0.3,"✔  OK",IF('SPA Optimizer'!O6&gt;=0.25,"⚠  Caution — below 30% — explain to Management Approver","✖  ALARM — below 25% — Management Approver will flag this"))</f>
        <v>✔  OK</v>
      </c>
    </row>
    <row r="37" spans="1:4" ht="19.5" customHeight="1">
      <c r="A37" s="11">
        <f>'SPA Optimizer'!A7</f>
        <v>1443803050</v>
      </c>
      <c r="B37" s="33" t="str">
        <f>'SPA Optimizer'!B7</f>
        <v>LINK; DRAG</v>
      </c>
      <c r="C37" s="34">
        <f>'SPA Optimizer'!O7</f>
        <v>0.31763636363636361</v>
      </c>
      <c r="D37" s="33" t="str">
        <f>IF('SPA Optimizer'!O7&gt;=0.3,"✔  OK",IF('SPA Optimizer'!O7&gt;=0.25,"⚠  Caution — below 30% — explain to Management Approver","✖  ALARM — below 25% — Management Approver will flag this"))</f>
        <v>✔  OK</v>
      </c>
    </row>
    <row r="38" spans="1:4" ht="19.5" customHeight="1">
      <c r="A38" s="30">
        <f>'SPA Optimizer'!A8</f>
        <v>1476010870</v>
      </c>
      <c r="B38" s="31" t="str">
        <f>'SPA Optimizer'!B8</f>
        <v>EXPANDER</v>
      </c>
      <c r="C38" s="32">
        <f>'SPA Optimizer'!O8</f>
        <v>0.31019999999999998</v>
      </c>
      <c r="D38" s="31" t="str">
        <f>IF('SPA Optimizer'!O8&gt;=0.3,"✔  OK",IF('SPA Optimizer'!O8&gt;=0.25,"⚠  Caution — below 30% — explain to Management Approver","✖  ALARM — below 25% — Management Approver will flag this"))</f>
        <v>✔  OK</v>
      </c>
    </row>
    <row r="39" spans="1:4" ht="19.5" customHeight="1">
      <c r="A39" s="11">
        <f>'SPA Optimizer'!A9</f>
        <v>1476012180</v>
      </c>
      <c r="B39" s="33" t="str">
        <f>'SPA Optimizer'!B9</f>
        <v>CYLINDER; WHEEL,RR BRK</v>
      </c>
      <c r="C39" s="34">
        <f>'SPA Optimizer'!O9</f>
        <v>0.23759999999999998</v>
      </c>
      <c r="D39" s="33" t="str">
        <f>IF('SPA Optimizer'!O9&gt;=0.3,"✔  OK",IF('SPA Optimizer'!O9&gt;=0.25,"⚠  Caution — below 30% — explain to Management Approver","✖  ALARM — below 25% — Management Approver will flag this"))</f>
        <v>✖  ALARM — below 25% — Management Approver will flag this</v>
      </c>
    </row>
    <row r="40" spans="1:4" ht="19.5" customHeight="1">
      <c r="A40" s="30">
        <f>'SPA Optimizer'!A10</f>
        <v>1476012190</v>
      </c>
      <c r="B40" s="31" t="str">
        <f>'SPA Optimizer'!B10</f>
        <v>CYLINDER; WHEEL,RR BRK</v>
      </c>
      <c r="C40" s="32">
        <f>'SPA Optimizer'!O10</f>
        <v>0.23760000000000001</v>
      </c>
      <c r="D40" s="31" t="str">
        <f>IF('SPA Optimizer'!O10&gt;=0.3,"✔  OK",IF('SPA Optimizer'!O10&gt;=0.25,"⚠  Caution — below 30% — explain to Management Approver","✖  ALARM — below 25% — Management Approver will flag this"))</f>
        <v>✖  ALARM — below 25% — Management Approver will flag this</v>
      </c>
    </row>
    <row r="41" spans="1:4" ht="19.5" customHeight="1">
      <c r="A41" s="11">
        <f>'SPA Optimizer'!A11</f>
        <v>1876101141</v>
      </c>
      <c r="B41" s="33" t="str">
        <f>'SPA Optimizer'!B11</f>
        <v>FILTER; ACL,INNER</v>
      </c>
      <c r="C41" s="34">
        <f>'SPA Optimizer'!O11</f>
        <v>0.21166666666666661</v>
      </c>
      <c r="D41" s="33" t="str">
        <f>IF('SPA Optimizer'!O11&gt;=0.3,"✔  OK",IF('SPA Optimizer'!O11&gt;=0.25,"⚠  Caution — below 30% — explain to Management Approver","✖  ALARM — below 25% — Management Approver will flag this"))</f>
        <v>✖  ALARM — below 25% — Management Approver will flag this</v>
      </c>
    </row>
    <row r="42" spans="1:4" ht="19.5" customHeight="1">
      <c r="A42" s="30">
        <f>'SPA Optimizer'!A12</f>
        <v>5876100891</v>
      </c>
      <c r="B42" s="31" t="str">
        <f>'SPA Optimizer'!B12</f>
        <v>PUMP ASM; WATER</v>
      </c>
      <c r="C42" s="32">
        <f>'SPA Optimizer'!O12</f>
        <v>0.50800000000000001</v>
      </c>
      <c r="D42" s="31" t="str">
        <f>IF('SPA Optimizer'!O12&gt;=0.3,"✔  OK",IF('SPA Optimizer'!O12&gt;=0.25,"⚠  Caution — below 30% — explain to Management Approver","✖  ALARM — below 25% — Management Approver will flag this"))</f>
        <v>✔  OK</v>
      </c>
    </row>
    <row r="43" spans="1:4" ht="19.5" customHeight="1">
      <c r="A43" s="11">
        <f>'SPA Optimizer'!A13</f>
        <v>5876102200</v>
      </c>
      <c r="B43" s="33" t="str">
        <f>'SPA Optimizer'!B13</f>
        <v>ELEMENT KIT;FUEL FILTER</v>
      </c>
      <c r="C43" s="34">
        <f>'SPA Optimizer'!O13</f>
        <v>0.20285714285714285</v>
      </c>
      <c r="D43" s="33" t="str">
        <f>IF('SPA Optimizer'!O13&gt;=0.3,"✔  OK",IF('SPA Optimizer'!O13&gt;=0.25,"⚠  Caution — below 30% — explain to Management Approver","✖  ALARM — below 25% — Management Approver will flag this"))</f>
        <v>✖  ALARM — below 25% — Management Approver will flag this</v>
      </c>
    </row>
    <row r="44" spans="1:4" ht="19.5" customHeight="1">
      <c r="A44" s="30">
        <f>'SPA Optimizer'!A14</f>
        <v>5876102320</v>
      </c>
      <c r="B44" s="31" t="str">
        <f>'SPA Optimizer'!B14</f>
        <v>CLUTCH KIT</v>
      </c>
      <c r="C44" s="32">
        <f>'SPA Optimizer'!O14</f>
        <v>0.10766666666666669</v>
      </c>
      <c r="D44" s="31" t="str">
        <f>IF('SPA Optimizer'!O14&gt;=0.3,"✔  OK",IF('SPA Optimizer'!O14&gt;=0.25,"⚠  Caution — below 30% — explain to Management Approver","✖  ALARM — below 25% — Management Approver will flag this"))</f>
        <v>✖  ALARM — below 25% — Management Approver will flag this</v>
      </c>
    </row>
    <row r="45" spans="1:4" ht="19.5" customHeight="1">
      <c r="A45" s="11">
        <f>'SPA Optimizer'!A15</f>
        <v>5876102820</v>
      </c>
      <c r="B45" s="33" t="str">
        <f>'SPA Optimizer'!B15</f>
        <v>STARTER ASM</v>
      </c>
      <c r="C45" s="34">
        <f>'SPA Optimizer'!O15</f>
        <v>0.35259259259259251</v>
      </c>
      <c r="D45" s="33" t="str">
        <f>IF('SPA Optimizer'!O15&gt;=0.3,"✔  OK",IF('SPA Optimizer'!O15&gt;=0.25,"⚠  Caution — below 30% — explain to Management Approver","✖  ALARM — below 25% — Management Approver will flag this"))</f>
        <v>✔  OK</v>
      </c>
    </row>
    <row r="46" spans="1:4" ht="19.5" customHeight="1">
      <c r="A46" s="30">
        <f>'SPA Optimizer'!A16</f>
        <v>5876102850</v>
      </c>
      <c r="B46" s="31" t="str">
        <f>'SPA Optimizer'!B16</f>
        <v>ABSORBER ASM; SHOCK,FRT</v>
      </c>
      <c r="C46" s="32">
        <f>'SPA Optimizer'!O16</f>
        <v>0.11999999999999995</v>
      </c>
      <c r="D46" s="31" t="str">
        <f>IF('SPA Optimizer'!O16&gt;=0.3,"✔  OK",IF('SPA Optimizer'!O16&gt;=0.25,"⚠  Caution — below 30% — explain to Management Approver","✖  ALARM — below 25% — Management Approver will flag this"))</f>
        <v>✖  ALARM — below 25% — Management Approver will flag this</v>
      </c>
    </row>
    <row r="47" spans="1:4" ht="19.5" customHeight="1">
      <c r="A47" s="11">
        <f>'SPA Optimizer'!A17</f>
        <v>5878323991</v>
      </c>
      <c r="B47" s="33" t="str">
        <f>'SPA Optimizer'!B17</f>
        <v>KING PIN KIT</v>
      </c>
      <c r="C47" s="34">
        <f>'SPA Optimizer'!O17</f>
        <v>0.20040000000000008</v>
      </c>
      <c r="D47" s="33" t="str">
        <f>IF('SPA Optimizer'!O17&gt;=0.3,"✔  OK",IF('SPA Optimizer'!O17&gt;=0.25,"⚠  Caution — below 30% — explain to Management Approver","✖  ALARM — below 25% — Management Approver will flag this"))</f>
        <v>✖  ALARM — below 25% — Management Approver will flag this</v>
      </c>
    </row>
    <row r="48" spans="1:4" ht="14.25" customHeight="1">
      <c r="A48">
        <f>'SPA Optimizer'!A18</f>
        <v>7551827563</v>
      </c>
      <c r="B48" t="str">
        <f>'SPA Optimizer'!B18</f>
        <v>BUMPER ASM; FRT</v>
      </c>
      <c r="C48" s="35">
        <f>'SPA Optimizer'!O18</f>
        <v>0.37050251256281408</v>
      </c>
      <c r="D48" t="str">
        <f>IF('SPA Optimizer'!O18&gt;=0.3,"✔  OK",IF('SPA Optimizer'!O18&gt;=0.25,"⚠  Caution — below 30% — explain to Management Approver","✖  ALARM — below 25% — Management Approver will flag this"))</f>
        <v>✔  OK</v>
      </c>
    </row>
    <row r="49" spans="1:4" ht="14.25" customHeight="1">
      <c r="A49">
        <f>'SPA Optimizer'!A19</f>
        <v>7552536820</v>
      </c>
      <c r="B49" t="str">
        <f>'SPA Optimizer'!B19</f>
        <v>SENSOR; SHORT RANGE RADAR</v>
      </c>
      <c r="C49" s="35">
        <f>'SPA Optimizer'!O19</f>
        <v>0.39295999999999998</v>
      </c>
      <c r="D49" t="str">
        <f>IF('SPA Optimizer'!O19&gt;=0.3,"✔  OK",IF('SPA Optimizer'!O19&gt;=0.25,"⚠  Caution — below 30% — explain to Management Approver","✖  ALARM — below 25% — Management Approver will flag this"))</f>
        <v>✔  OK</v>
      </c>
    </row>
    <row r="50" spans="1:4" ht="14.25" customHeight="1">
      <c r="A50">
        <f>'SPA Optimizer'!A20</f>
        <v>8972785830</v>
      </c>
      <c r="B50" t="str">
        <f>'SPA Optimizer'!B20</f>
        <v>LAMP ASM; RR COMB</v>
      </c>
      <c r="C50" s="35">
        <f>'SPA Optimizer'!O20</f>
        <v>9.8080000000000042E-2</v>
      </c>
      <c r="D50" t="str">
        <f>IF('SPA Optimizer'!O20&gt;=0.3,"✔  OK",IF('SPA Optimizer'!O20&gt;=0.25,"⚠  Caution — below 30% — explain to Management Approver","✖  ALARM — below 25% — Management Approver will flag this"))</f>
        <v>✖  ALARM — below 25% — Management Approver will flag this</v>
      </c>
    </row>
    <row r="51" spans="1:4" ht="14.25" customHeight="1">
      <c r="A51">
        <f>'SPA Optimizer'!A21</f>
        <v>8973871590</v>
      </c>
      <c r="B51" t="str">
        <f>'SPA Optimizer'!B21</f>
        <v>ROTOR; SENSOR</v>
      </c>
      <c r="C51" s="35">
        <f>'SPA Optimizer'!O21</f>
        <v>0.31085714285714283</v>
      </c>
      <c r="D51" t="str">
        <f>IF('SPA Optimizer'!O21&gt;=0.3,"✔  OK",IF('SPA Optimizer'!O21&gt;=0.25,"⚠  Caution — below 30% — explain to Management Approver","✖  ALARM — below 25% — Management Approver will flag this"))</f>
        <v>✔  OK</v>
      </c>
    </row>
    <row r="52" spans="1:4" ht="14.25" customHeight="1">
      <c r="A52">
        <f>'SPA Optimizer'!A22</f>
        <v>8976097887</v>
      </c>
      <c r="B52" t="str">
        <f>'SPA Optimizer'!B22</f>
        <v>NOZZLE ASM; INJ</v>
      </c>
      <c r="C52" s="35">
        <f>'SPA Optimizer'!O22</f>
        <v>0.35266666666666668</v>
      </c>
      <c r="D52" t="str">
        <f>IF('SPA Optimizer'!O22&gt;=0.3,"✔  OK",IF('SPA Optimizer'!O22&gt;=0.25,"⚠  Caution — below 30% — explain to Management Approver","✖  ALARM — below 25% — Management Approver will flag this"))</f>
        <v>✔  OK</v>
      </c>
    </row>
    <row r="53" spans="1:4" ht="14.25" customHeight="1">
      <c r="A53">
        <f>'SPA Optimizer'!A23</f>
        <v>8978416290</v>
      </c>
      <c r="B53" t="str">
        <f>'SPA Optimizer'!B23</f>
        <v>PLATE; STEP</v>
      </c>
      <c r="C53" s="35">
        <f>'SPA Optimizer'!O23</f>
        <v>0.84048</v>
      </c>
      <c r="D53" t="str">
        <f>IF('SPA Optimizer'!O23&gt;=0.3,"✔  OK",IF('SPA Optimizer'!O23&gt;=0.25,"⚠  Caution — below 30% — explain to Management Approver","✖  ALARM — below 25% — Management Approver will flag this"))</f>
        <v>✔  OK</v>
      </c>
    </row>
    <row r="54" spans="1:4" ht="14.25" customHeight="1">
      <c r="A54">
        <f>'SPA Optimizer'!A24</f>
        <v>8978757421</v>
      </c>
      <c r="B54" t="str">
        <f>'SPA Optimizer'!B24</f>
        <v>LAMP ASM; HEAD</v>
      </c>
      <c r="C54" s="35">
        <f>'SPA Optimizer'!O24</f>
        <v>0.15763333333333332</v>
      </c>
      <c r="D54" t="str">
        <f>IF('SPA Optimizer'!O24&gt;=0.3,"✔  OK",IF('SPA Optimizer'!O24&gt;=0.25,"⚠  Caution — below 30% — explain to Management Approver","✖  ALARM — below 25% — Management Approver will flag this"))</f>
        <v>✖  ALARM — below 25% — Management Approver will flag this</v>
      </c>
    </row>
    <row r="55" spans="1:4" ht="14.25" customHeight="1">
      <c r="A55">
        <f>'SPA Optimizer'!A25</f>
        <v>8978757431</v>
      </c>
      <c r="B55" t="str">
        <f>'SPA Optimizer'!B25</f>
        <v>LAMP ASM; HEAD</v>
      </c>
      <c r="C55" s="35">
        <f>'SPA Optimizer'!O25</f>
        <v>0.15763333333333332</v>
      </c>
      <c r="D55" t="str">
        <f>IF('SPA Optimizer'!O25&gt;=0.3,"✔  OK",IF('SPA Optimizer'!O25&gt;=0.25,"⚠  Caution — below 30% — explain to Management Approver","✖  ALARM — below 25% — Management Approver will flag this"))</f>
        <v>✖  ALARM — below 25% — Management Approver will flag this</v>
      </c>
    </row>
    <row r="56" spans="1:4" ht="14.25" customHeight="1">
      <c r="A56">
        <f>'SPA Optimizer'!A26</f>
        <v>8978862230</v>
      </c>
      <c r="B56" t="str">
        <f>'SPA Optimizer'!B26</f>
        <v>BUMPER; FRT,LWR</v>
      </c>
      <c r="C56" s="35">
        <f>'SPA Optimizer'!O26</f>
        <v>0.27633333333333332</v>
      </c>
      <c r="D56" t="str">
        <f>IF('SPA Optimizer'!O26&gt;=0.3,"✔  OK",IF('SPA Optimizer'!O26&gt;=0.25,"⚠  Caution — below 30% — explain to Management Approver","✖  ALARM — below 25% — Management Approver will flag this"))</f>
        <v>⚠  Caution — below 30% — explain to Management Approver</v>
      </c>
    </row>
    <row r="57" spans="1:4" ht="14.25" customHeight="1">
      <c r="A57">
        <f>'SPA Optimizer'!A27</f>
        <v>8980023462</v>
      </c>
      <c r="B57" t="str">
        <f>'SPA Optimizer'!B27</f>
        <v>ELEMENT KIT; PCV</v>
      </c>
      <c r="C57" s="35">
        <f>'SPA Optimizer'!O27</f>
        <v>-0.23000000000000007</v>
      </c>
      <c r="D57" t="str">
        <f>IF('SPA Optimizer'!O27&gt;=0.3,"✔  OK",IF('SPA Optimizer'!O27&gt;=0.25,"⚠  Caution — below 30% — explain to Management Approver","✖  ALARM — below 25% — Management Approver will flag this"))</f>
        <v>✖  ALARM — below 25% — Management Approver will flag this</v>
      </c>
    </row>
    <row r="58" spans="1:4" ht="14.25" customHeight="1">
      <c r="A58">
        <f>'SPA Optimizer'!A28</f>
        <v>8980067942</v>
      </c>
      <c r="B58" t="str">
        <f>'SPA Optimizer'!B28</f>
        <v>LINK; DRAG</v>
      </c>
      <c r="C58" s="35">
        <f>'SPA Optimizer'!O28</f>
        <v>0.21375000000000002</v>
      </c>
      <c r="D58" t="str">
        <f>IF('SPA Optimizer'!O28&gt;=0.3,"✔  OK",IF('SPA Optimizer'!O28&gt;=0.25,"⚠  Caution — below 30% — explain to Management Approver","✖  ALARM — below 25% — Management Approver will flag this"))</f>
        <v>✖  ALARM — below 25% — Management Approver will flag this</v>
      </c>
    </row>
    <row r="59" spans="1:4" ht="14.25" customHeight="1">
      <c r="A59">
        <f>'SPA Optimizer'!A29</f>
        <v>8980252486</v>
      </c>
      <c r="B59" t="str">
        <f>'SPA Optimizer'!B29</f>
        <v>COOLER ASM; EGR</v>
      </c>
      <c r="C59" s="35">
        <f>'SPA Optimizer'!O29</f>
        <v>0.16131034482758622</v>
      </c>
      <c r="D59" t="str">
        <f>IF('SPA Optimizer'!O29&gt;=0.3,"✔  OK",IF('SPA Optimizer'!O29&gt;=0.25,"⚠  Caution — below 30% — explain to Management Approver","✖  ALARM — below 25% — Management Approver will flag this"))</f>
        <v>✖  ALARM — below 25% — Management Approver will flag this</v>
      </c>
    </row>
    <row r="60" spans="1:4" ht="14.25" customHeight="1">
      <c r="A60">
        <f>'SPA Optimizer'!A30</f>
        <v>8980253080</v>
      </c>
      <c r="B60" t="str">
        <f>'SPA Optimizer'!B30</f>
        <v>CYLINDER ASM; CLUTCH MASTER</v>
      </c>
      <c r="C60" s="35">
        <f>'SPA Optimizer'!O30</f>
        <v>0.23799999999999996</v>
      </c>
      <c r="D60" t="str">
        <f>IF('SPA Optimizer'!O30&gt;=0.3,"✔  OK",IF('SPA Optimizer'!O30&gt;=0.25,"⚠  Caution — below 30% — explain to Management Approver","✖  ALARM — below 25% — Management Approver will flag this"))</f>
        <v>✖  ALARM — below 25% — Management Approver will flag this</v>
      </c>
    </row>
    <row r="61" spans="1:4" ht="14.25" customHeight="1">
      <c r="A61">
        <f>'SPA Optimizer'!A31</f>
        <v>8980435960</v>
      </c>
      <c r="B61" t="str">
        <f>'SPA Optimizer'!B31</f>
        <v>CHAMBER; POWER</v>
      </c>
      <c r="C61" s="35">
        <f>'SPA Optimizer'!O31</f>
        <v>0.22346153846153841</v>
      </c>
      <c r="D61" t="str">
        <f>IF('SPA Optimizer'!O31&gt;=0.3,"✔  OK",IF('SPA Optimizer'!O31&gt;=0.25,"⚠  Caution — below 30% — explain to Management Approver","✖  ALARM — below 25% — Management Approver will flag this"))</f>
        <v>✖  ALARM — below 25% — Management Approver will flag this</v>
      </c>
    </row>
    <row r="62" spans="1:4" ht="14.25" customHeight="1">
      <c r="A62">
        <f>'SPA Optimizer'!A32</f>
        <v>8980896771</v>
      </c>
      <c r="B62" t="str">
        <f>'SPA Optimizer'!B32</f>
        <v>CYLINDER; SLAVE,CLU</v>
      </c>
      <c r="C62" s="35">
        <f>'SPA Optimizer'!O32</f>
        <v>0.254</v>
      </c>
      <c r="D62" t="str">
        <f>IF('SPA Optimizer'!O32&gt;=0.3,"✔  OK",IF('SPA Optimizer'!O32&gt;=0.25,"⚠  Caution — below 30% — explain to Management Approver","✖  ALARM — below 25% — Management Approver will flag this"))</f>
        <v>⚠  Caution — below 30% — explain to Management Approver</v>
      </c>
    </row>
    <row r="63" spans="1:4" ht="14.25" customHeight="1">
      <c r="A63">
        <f>'SPA Optimizer'!A33</f>
        <v>8980982575</v>
      </c>
      <c r="B63" t="str">
        <f>'SPA Optimizer'!B33</f>
        <v>VALVE; EGR</v>
      </c>
      <c r="C63" s="35">
        <f>'SPA Optimizer'!O33</f>
        <v>0.40558823529411764</v>
      </c>
      <c r="D63" t="str">
        <f>IF('SPA Optimizer'!O33&gt;=0.3,"✔  OK",IF('SPA Optimizer'!O33&gt;=0.25,"⚠  Caution — below 30% — explain to Management Approver","✖  ALARM — below 25% — Management Approver will flag this"))</f>
        <v>✔  OK</v>
      </c>
    </row>
    <row r="64" spans="1:4" ht="14.25" customHeight="1">
      <c r="A64">
        <f>'SPA Optimizer'!A34</f>
        <v>8981065790</v>
      </c>
      <c r="B64" t="str">
        <f>'SPA Optimizer'!B34</f>
        <v>ELEMENT KIT; PCV</v>
      </c>
      <c r="C64" s="35">
        <f>'SPA Optimizer'!O34</f>
        <v>0.13673469387755099</v>
      </c>
      <c r="D64" t="str">
        <f>IF('SPA Optimizer'!O34&gt;=0.3,"✔  OK",IF('SPA Optimizer'!O34&gt;=0.25,"⚠  Caution — below 30% — explain to Management Approver","✖  ALARM — below 25% — Management Approver will flag this"))</f>
        <v>✖  ALARM — below 25% — Management Approver will flag this</v>
      </c>
    </row>
    <row r="65" spans="1:4" ht="14.25" customHeight="1">
      <c r="A65">
        <f>'SPA Optimizer'!A35</f>
        <v>8981454841</v>
      </c>
      <c r="B65" t="str">
        <f>'SPA Optimizer'!B35</f>
        <v>OVERHAUL KIT; SUPPLY PUMP</v>
      </c>
      <c r="C65" s="35">
        <f>'SPA Optimizer'!O35</f>
        <v>0.36657142857142855</v>
      </c>
      <c r="D65" t="str">
        <f>IF('SPA Optimizer'!O35&gt;=0.3,"✔  OK",IF('SPA Optimizer'!O35&gt;=0.25,"⚠  Caution — below 30% — explain to Management Approver","✖  ALARM — below 25% — Management Approver will flag this"))</f>
        <v>✔  OK</v>
      </c>
    </row>
    <row r="66" spans="1:4" ht="14.25" customHeight="1">
      <c r="A66">
        <f>'SPA Optimizer'!A36</f>
        <v>8981455011</v>
      </c>
      <c r="B66" t="str">
        <f>'SPA Optimizer'!B36</f>
        <v>OVERHAUL KIT; SUPPLY PUMP</v>
      </c>
      <c r="C66" s="35">
        <f>'SPA Optimizer'!O36</f>
        <v>0.30549999999999999</v>
      </c>
      <c r="D66" t="str">
        <f>IF('SPA Optimizer'!O36&gt;=0.3,"✔  OK",IF('SPA Optimizer'!O36&gt;=0.25,"⚠  Caution — below 30% — explain to Management Approver","✖  ALARM — below 25% — Management Approver will flag this"))</f>
        <v>✔  OK</v>
      </c>
    </row>
    <row r="67" spans="1:4" ht="14.25" customHeight="1">
      <c r="A67">
        <f>'SPA Optimizer'!A37</f>
        <v>8982127181</v>
      </c>
      <c r="B67" t="str">
        <f>'SPA Optimizer'!B37</f>
        <v>COOLER ASM; EGR</v>
      </c>
      <c r="C67" s="35">
        <f>'SPA Optimizer'!O37</f>
        <v>0.16131034482758622</v>
      </c>
      <c r="D67" t="str">
        <f>IF('SPA Optimizer'!O37&gt;=0.3,"✔  OK",IF('SPA Optimizer'!O37&gt;=0.25,"⚠  Caution — below 30% — explain to Management Approver","✖  ALARM — below 25% — Management Approver will flag this"))</f>
        <v>✖  ALARM — below 25% — Management Approver will flag this</v>
      </c>
    </row>
    <row r="68" spans="1:4" ht="14.25" customHeight="1">
      <c r="A68">
        <f>'SPA Optimizer'!A38</f>
        <v>8982236150</v>
      </c>
      <c r="B68" t="str">
        <f>'SPA Optimizer'!B38</f>
        <v>LAMP ASM; RR COMB</v>
      </c>
      <c r="C68" s="35">
        <f>'SPA Optimizer'!O38</f>
        <v>0.21959999999999996</v>
      </c>
      <c r="D68" t="str">
        <f>IF('SPA Optimizer'!O38&gt;=0.3,"✔  OK",IF('SPA Optimizer'!O38&gt;=0.25,"⚠  Caution — below 30% — explain to Management Approver","✖  ALARM — below 25% — Management Approver will flag this"))</f>
        <v>✖  ALARM — below 25% — Management Approver will flag this</v>
      </c>
    </row>
    <row r="69" spans="1:4" ht="14.25" customHeight="1">
      <c r="A69">
        <f>'SPA Optimizer'!A39</f>
        <v>8982236160</v>
      </c>
      <c r="B69" t="str">
        <f>'SPA Optimizer'!B39</f>
        <v>LAMP ASM; RR COMB</v>
      </c>
      <c r="C69" s="35">
        <f>'SPA Optimizer'!O39</f>
        <v>0.21959999999999996</v>
      </c>
      <c r="D69" t="str">
        <f>IF('SPA Optimizer'!O39&gt;=0.3,"✔  OK",IF('SPA Optimizer'!O39&gt;=0.25,"⚠  Caution — below 30% — explain to Management Approver","✖  ALARM — below 25% — Management Approver will flag this"))</f>
        <v>✖  ALARM — below 25% — Management Approver will flag this</v>
      </c>
    </row>
    <row r="70" spans="1:4" ht="14.25" customHeight="1">
      <c r="A70">
        <f>'SPA Optimizer'!A40</f>
        <v>8982263230</v>
      </c>
      <c r="B70" t="str">
        <f>'SPA Optimizer'!B40</f>
        <v>REPAIR KIT; AIR DRYER</v>
      </c>
      <c r="C70" s="35">
        <f>'SPA Optimizer'!O40</f>
        <v>0.33923076923076928</v>
      </c>
      <c r="D70" t="str">
        <f>IF('SPA Optimizer'!O40&gt;=0.3,"✔  OK",IF('SPA Optimizer'!O40&gt;=0.25,"⚠  Caution — below 30% — explain to Management Approver","✖  ALARM — below 25% — Management Approver will flag this"))</f>
        <v>✔  OK</v>
      </c>
    </row>
    <row r="71" spans="1:4" ht="14.25" customHeight="1">
      <c r="A71">
        <f>'SPA Optimizer'!A41</f>
        <v>8982263280</v>
      </c>
      <c r="B71" t="str">
        <f>'SPA Optimizer'!B41</f>
        <v>REPAIR KIT; AIR DRYER</v>
      </c>
      <c r="C71" s="35">
        <f>'SPA Optimizer'!O41</f>
        <v>0.33866666666666667</v>
      </c>
      <c r="D71" t="str">
        <f>IF('SPA Optimizer'!O41&gt;=0.3,"✔  OK",IF('SPA Optimizer'!O41&gt;=0.25,"⚠  Caution — below 30% — explain to Management Approver","✖  ALARM — below 25% — Management Approver will flag this"))</f>
        <v>✔  OK</v>
      </c>
    </row>
    <row r="72" spans="1:4" ht="14.25" customHeight="1">
      <c r="A72">
        <f>'SPA Optimizer'!A42</f>
        <v>8982447940</v>
      </c>
      <c r="B72" t="str">
        <f>'SPA Optimizer'!B42</f>
        <v>PAD KIT; CALIPER,DISC BRK,FRT</v>
      </c>
      <c r="C72" s="35">
        <f>'SPA Optimizer'!O42</f>
        <v>0.24600000000000002</v>
      </c>
      <c r="D72" t="str">
        <f>IF('SPA Optimizer'!O42&gt;=0.3,"✔  OK",IF('SPA Optimizer'!O42&gt;=0.25,"⚠  Caution — below 30% — explain to Management Approver","✖  ALARM — below 25% — Management Approver will flag this"))</f>
        <v>✖  ALARM — below 25% — Management Approver will flag this</v>
      </c>
    </row>
    <row r="73" spans="1:4" ht="14.25" customHeight="1">
      <c r="A73">
        <f>'SPA Optimizer'!A43</f>
        <v>8982605971</v>
      </c>
      <c r="B73" t="str">
        <f>'SPA Optimizer'!B43</f>
        <v>DOOR ASM; FRT,WO/TRIM</v>
      </c>
      <c r="C73" s="35">
        <f>'SPA Optimizer'!O43</f>
        <v>0.25060714285714281</v>
      </c>
      <c r="D73" t="str">
        <f>IF('SPA Optimizer'!O43&gt;=0.3,"✔  OK",IF('SPA Optimizer'!O43&gt;=0.25,"⚠  Caution — below 30% — explain to Management Approver","✖  ALARM — below 25% — Management Approver will flag this"))</f>
        <v>⚠  Caution — below 30% — explain to Management Approver</v>
      </c>
    </row>
    <row r="74" spans="1:4" ht="14.25" customHeight="1">
      <c r="A74">
        <f>'SPA Optimizer'!A44</f>
        <v>8982605980</v>
      </c>
      <c r="B74" t="str">
        <f>'SPA Optimizer'!B44</f>
        <v>DOOR ASM; FRT,WO/TRIM</v>
      </c>
      <c r="C74" s="35">
        <f>'SPA Optimizer'!O44</f>
        <v>0.25060714285714281</v>
      </c>
      <c r="D74" t="str">
        <f>IF('SPA Optimizer'!O44&gt;=0.3,"✔  OK",IF('SPA Optimizer'!O44&gt;=0.25,"⚠  Caution — below 30% — explain to Management Approver","✖  ALARM — below 25% — Management Approver will flag this"))</f>
        <v>⚠  Caution — below 30% — explain to Management Approver</v>
      </c>
    </row>
    <row r="75" spans="1:4" ht="14.25" customHeight="1">
      <c r="A75">
        <f>'SPA Optimizer'!A45</f>
        <v>8982606011</v>
      </c>
      <c r="B75" t="str">
        <f>'SPA Optimizer'!B45</f>
        <v>DOOR ASM; FRT,WO/TRIM</v>
      </c>
      <c r="C75" s="35">
        <f>'SPA Optimizer'!O45</f>
        <v>0.2842424242424243</v>
      </c>
      <c r="D75" t="str">
        <f>IF('SPA Optimizer'!O45&gt;=0.3,"✔  OK",IF('SPA Optimizer'!O45&gt;=0.25,"⚠  Caution — below 30% — explain to Management Approver","✖  ALARM — below 25% — Management Approver will flag this"))</f>
        <v>⚠  Caution — below 30% — explain to Management Approver</v>
      </c>
    </row>
    <row r="76" spans="1:4" ht="14.25" customHeight="1">
      <c r="A76">
        <f>'SPA Optimizer'!A46</f>
        <v>8982606020</v>
      </c>
      <c r="B76" t="str">
        <f>'SPA Optimizer'!B46</f>
        <v>DOOR ASM; FRT,WO/TRIM</v>
      </c>
      <c r="C76" s="35">
        <f>'SPA Optimizer'!O46</f>
        <v>0.2842424242424243</v>
      </c>
      <c r="D76" t="str">
        <f>IF('SPA Optimizer'!O46&gt;=0.3,"✔  OK",IF('SPA Optimizer'!O46&gt;=0.25,"⚠  Caution — below 30% — explain to Management Approver","✖  ALARM — below 25% — Management Approver will flag this"))</f>
        <v>⚠  Caution — below 30% — explain to Management Approver</v>
      </c>
    </row>
    <row r="77" spans="1:4" ht="14.25" customHeight="1">
      <c r="A77">
        <f>'SPA Optimizer'!A47</f>
        <v>8982885020</v>
      </c>
      <c r="B77" t="str">
        <f>'SPA Optimizer'!B47</f>
        <v>GASKET; CYL HD</v>
      </c>
      <c r="C77" s="35">
        <f>'SPA Optimizer'!O47</f>
        <v>0.23272727272727278</v>
      </c>
      <c r="D77" t="str">
        <f>IF('SPA Optimizer'!O47&gt;=0.3,"✔  OK",IF('SPA Optimizer'!O47&gt;=0.25,"⚠  Caution — below 30% — explain to Management Approver","✖  ALARM — below 25% — Management Approver will flag this"))</f>
        <v>✖  ALARM — below 25% — Management Approver will flag this</v>
      </c>
    </row>
    <row r="78" spans="1:4" ht="14.25" customHeight="1">
      <c r="A78">
        <f>'SPA Optimizer'!A48</f>
        <v>8982885030</v>
      </c>
      <c r="B78" t="str">
        <f>'SPA Optimizer'!B48</f>
        <v>GASKET; CYL HD</v>
      </c>
      <c r="C78" s="35">
        <f>'SPA Optimizer'!O48</f>
        <v>0.23272727272727275</v>
      </c>
      <c r="D78" t="str">
        <f>IF('SPA Optimizer'!O48&gt;=0.3,"✔  OK",IF('SPA Optimizer'!O48&gt;=0.25,"⚠  Caution — below 30% — explain to Management Approver","✖  ALARM — below 25% — Management Approver will flag this"))</f>
        <v>✖  ALARM — below 25% — Management Approver will flag this</v>
      </c>
    </row>
    <row r="79" spans="1:4" ht="14.25" customHeight="1">
      <c r="A79">
        <f>'SPA Optimizer'!A49</f>
        <v>8982979331</v>
      </c>
      <c r="B79" t="str">
        <f>'SPA Optimizer'!B49</f>
        <v>NOZZLE ASM; INJ</v>
      </c>
      <c r="C79" s="35">
        <f>'SPA Optimizer'!O49</f>
        <v>0.29172413793103447</v>
      </c>
      <c r="D79" t="str">
        <f>IF('SPA Optimizer'!O49&gt;=0.3,"✔  OK",IF('SPA Optimizer'!O49&gt;=0.25,"⚠  Caution — below 30% — explain to Management Approver","✖  ALARM — below 25% — Management Approver will flag this"))</f>
        <v>⚠  Caution — below 30% — explain to Management Approver</v>
      </c>
    </row>
    <row r="80" spans="1:4" ht="14.25" customHeight="1">
      <c r="A80">
        <f>'SPA Optimizer'!A50</f>
        <v>8982984040</v>
      </c>
      <c r="B80" t="str">
        <f>'SPA Optimizer'!B50</f>
        <v>ELEMENT; OIL FILTER</v>
      </c>
      <c r="C80" s="35">
        <f>'SPA Optimizer'!O50</f>
        <v>0.216</v>
      </c>
      <c r="D80" t="str">
        <f>IF('SPA Optimizer'!O50&gt;=0.3,"✔  OK",IF('SPA Optimizer'!O50&gt;=0.25,"⚠  Caution — below 30% — explain to Management Approver","✖  ALARM — below 25% — Management Approver will flag this"))</f>
        <v>✖  ALARM — below 25% — Management Approver will flag this</v>
      </c>
    </row>
    <row r="81" spans="1:4" ht="14.25" customHeight="1">
      <c r="A81">
        <f>'SPA Optimizer'!A51</f>
        <v>8982987510</v>
      </c>
      <c r="B81" t="str">
        <f>'SPA Optimizer'!B51</f>
        <v>SWITCH; POWER WINDOW</v>
      </c>
      <c r="C81" s="35">
        <f>'SPA Optimizer'!O51</f>
        <v>0.29595238095238097</v>
      </c>
      <c r="D81" t="str">
        <f>IF('SPA Optimizer'!O51&gt;=0.3,"✔  OK",IF('SPA Optimizer'!O51&gt;=0.25,"⚠  Caution — below 30% — explain to Management Approver","✖  ALARM — below 25% — Management Approver will flag this"))</f>
        <v>⚠  Caution — below 30% — explain to Management Approver</v>
      </c>
    </row>
    <row r="82" spans="1:4" ht="14.25" customHeight="1">
      <c r="A82">
        <f>'SPA Optimizer'!A52</f>
        <v>8983034650</v>
      </c>
      <c r="B82" t="str">
        <f>'SPA Optimizer'!B52</f>
        <v>CALIPER; FRT DISC BRK</v>
      </c>
      <c r="C82" s="35">
        <f>'SPA Optimizer'!O52</f>
        <v>0.26222222222222225</v>
      </c>
      <c r="D82" t="str">
        <f>IF('SPA Optimizer'!O52&gt;=0.3,"✔  OK",IF('SPA Optimizer'!O52&gt;=0.25,"⚠  Caution — below 30% — explain to Management Approver","✖  ALARM — below 25% — Management Approver will flag this"))</f>
        <v>⚠  Caution — below 30% — explain to Management Approver</v>
      </c>
    </row>
    <row r="83" spans="1:4" ht="14.25" customHeight="1">
      <c r="A83">
        <f>'SPA Optimizer'!A53</f>
        <v>8983034660</v>
      </c>
      <c r="B83" t="str">
        <f>'SPA Optimizer'!B53</f>
        <v>CALIPER; FRT DISC BRK</v>
      </c>
      <c r="C83" s="35">
        <f>'SPA Optimizer'!O53</f>
        <v>0.26222222222222225</v>
      </c>
      <c r="D83" t="str">
        <f>IF('SPA Optimizer'!O53&gt;=0.3,"✔  OK",IF('SPA Optimizer'!O53&gt;=0.25,"⚠  Caution — below 30% — explain to Management Approver","✖  ALARM — below 25% — Management Approver will flag this"))</f>
        <v>⚠  Caution — below 30% — explain to Management Approver</v>
      </c>
    </row>
    <row r="84" spans="1:4" ht="14.25" customHeight="1">
      <c r="A84">
        <f>'SPA Optimizer'!A54</f>
        <v>8983034670</v>
      </c>
      <c r="B84" t="str">
        <f>'SPA Optimizer'!B54</f>
        <v>CALIPER; RR DISC BRK</v>
      </c>
      <c r="C84" s="35">
        <f>'SPA Optimizer'!O54</f>
        <v>0.33993243243243243</v>
      </c>
      <c r="D84" t="str">
        <f>IF('SPA Optimizer'!O54&gt;=0.3,"✔  OK",IF('SPA Optimizer'!O54&gt;=0.25,"⚠  Caution — below 30% — explain to Management Approver","✖  ALARM — below 25% — Management Approver will flag this"))</f>
        <v>✔  OK</v>
      </c>
    </row>
    <row r="85" spans="1:4" ht="14.25" customHeight="1">
      <c r="A85">
        <f>'SPA Optimizer'!A55</f>
        <v>8983034680</v>
      </c>
      <c r="B85" t="str">
        <f>'SPA Optimizer'!B55</f>
        <v>CALIPER; RR DISC BRK</v>
      </c>
      <c r="C85" s="35">
        <f>'SPA Optimizer'!O55</f>
        <v>0.33993243243243243</v>
      </c>
      <c r="D85" t="str">
        <f>IF('SPA Optimizer'!O55&gt;=0.3,"✔  OK",IF('SPA Optimizer'!O55&gt;=0.25,"⚠  Caution — below 30% — explain to Management Approver","✖  ALARM — below 25% — Management Approver will flag this"))</f>
        <v>✔  OK</v>
      </c>
    </row>
    <row r="86" spans="1:4" ht="14.25" customHeight="1">
      <c r="A86">
        <f>'SPA Optimizer'!A56</f>
        <v>8983064750</v>
      </c>
      <c r="B86" t="str">
        <f>'SPA Optimizer'!B56</f>
        <v>NOZZLE ASM; INJ</v>
      </c>
      <c r="C86" s="35">
        <f>'SPA Optimizer'!O56</f>
        <v>0.31533333333333335</v>
      </c>
      <c r="D86" t="str">
        <f>IF('SPA Optimizer'!O56&gt;=0.3,"✔  OK",IF('SPA Optimizer'!O56&gt;=0.25,"⚠  Caution — below 30% — explain to Management Approver","✖  ALARM — below 25% — Management Approver will flag this"))</f>
        <v>✔  OK</v>
      </c>
    </row>
    <row r="87" spans="1:4" ht="14.25" customHeight="1">
      <c r="A87">
        <f>'SPA Optimizer'!A57</f>
        <v>8983487480</v>
      </c>
      <c r="B87" t="str">
        <f>'SPA Optimizer'!B57</f>
        <v>CHAMBER; POWER</v>
      </c>
      <c r="C87" s="35">
        <f>'SPA Optimizer'!O57</f>
        <v>0.40309090909090911</v>
      </c>
      <c r="D87" t="str">
        <f>IF('SPA Optimizer'!O57&gt;=0.3,"✔  OK",IF('SPA Optimizer'!O57&gt;=0.25,"⚠  Caution — below 30% — explain to Management Approver","✖  ALARM — below 25% — Management Approver will flag this"))</f>
        <v>✔  OK</v>
      </c>
    </row>
    <row r="88" spans="1:4" ht="14.25" customHeight="1">
      <c r="A88">
        <f>'SPA Optimizer'!A58</f>
        <v>8983528481</v>
      </c>
      <c r="B88" t="str">
        <f>'SPA Optimizer'!B58</f>
        <v>SENSOR; NOX</v>
      </c>
      <c r="C88" s="35">
        <f>'SPA Optimizer'!O58</f>
        <v>0.40770731707317071</v>
      </c>
      <c r="D88" t="str">
        <f>IF('SPA Optimizer'!O58&gt;=0.3,"✔  OK",IF('SPA Optimizer'!O58&gt;=0.25,"⚠  Caution — below 30% — explain to Management Approver","✖  ALARM — below 25% — Management Approver will flag this"))</f>
        <v>✔  OK</v>
      </c>
    </row>
  </sheetData>
  <mergeCells count="15">
    <mergeCell ref="B1:D1"/>
    <mergeCell ref="A8:C8"/>
    <mergeCell ref="A21:D21"/>
    <mergeCell ref="A22:D22"/>
    <mergeCell ref="C23:D23"/>
    <mergeCell ref="C24:D24"/>
    <mergeCell ref="C25:D25"/>
    <mergeCell ref="C26:D26"/>
    <mergeCell ref="C27:D27"/>
    <mergeCell ref="C28:D28"/>
    <mergeCell ref="C29:D29"/>
    <mergeCell ref="C30:D30"/>
    <mergeCell ref="C31:D31"/>
    <mergeCell ref="A33:D33"/>
    <mergeCell ref="A34:D34"/>
  </mergeCells>
  <conditionalFormatting sqref="C36:C47">
    <cfRule type="colorScale" priority="8">
      <colorScale>
        <cfvo type="num" val="0.1"/>
        <cfvo type="num" val="0.25"/>
        <cfvo type="num" val="0.45"/>
        <color rgb="FFFF0000"/>
        <color rgb="FFFFEB9C"/>
        <color rgb="FFC6EFCE"/>
      </colorScale>
    </cfRule>
  </conditionalFormatting>
  <conditionalFormatting sqref="C24:D31">
    <cfRule type="containsText" dxfId="14" priority="2" operator="containsText" text="✔">
      <formula>NOT(ISERROR(SEARCH("✔",C24)))</formula>
    </cfRule>
    <cfRule type="containsText" dxfId="13" priority="3" operator="containsText" text="⚠">
      <formula>NOT(ISERROR(SEARCH("⚠",C24)))</formula>
    </cfRule>
    <cfRule type="containsText" dxfId="12" priority="4" operator="containsText" text="✖">
      <formula>NOT(ISERROR(SEARCH("✖",C24)))</formula>
    </cfRule>
  </conditionalFormatting>
  <conditionalFormatting sqref="C36:D47">
    <cfRule type="containsText" dxfId="11" priority="5" operator="containsText" text="✔">
      <formula>NOT(ISERROR(SEARCH("✔",C36)))</formula>
    </cfRule>
    <cfRule type="containsText" dxfId="10" priority="6" operator="containsText" text="⚠">
      <formula>NOT(ISERROR(SEARCH("⚠",C36)))</formula>
    </cfRule>
    <cfRule type="containsText" dxfId="9" priority="7" operator="containsText" text="✖">
      <formula>NOT(ISERROR(SEARCH("✖",C36)))</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8E3C"/>
  </sheetPr>
  <dimension ref="A1:AB66"/>
  <sheetViews>
    <sheetView showGridLines="0" zoomScaleNormal="100" workbookViewId="0">
      <pane xSplit="2" ySplit="5" topLeftCell="M51" activePane="bottomRight" state="frozen"/>
      <selection pane="topRight" activeCell="M1" sqref="M1"/>
      <selection pane="bottomLeft" activeCell="A51" sqref="A51"/>
      <selection pane="bottomRight" activeCell="Z60" sqref="Z60"/>
    </sheetView>
  </sheetViews>
  <sheetFormatPr defaultColWidth="8.7109375" defaultRowHeight="15"/>
  <cols>
    <col min="1" max="1" width="16" customWidth="1"/>
    <col min="2" max="2" width="30" customWidth="1"/>
    <col min="3" max="4" width="12" customWidth="1"/>
    <col min="5" max="5" width="8" customWidth="1"/>
    <col min="6" max="8" width="14" customWidth="1"/>
    <col min="9" max="9" width="9" customWidth="1"/>
    <col min="10" max="10" width="11" customWidth="1"/>
    <col min="11" max="11" width="10" customWidth="1"/>
    <col min="12" max="12" width="14" customWidth="1"/>
    <col min="13" max="13" width="11" customWidth="1"/>
    <col min="14" max="14" width="14" customWidth="1"/>
    <col min="15" max="15" width="9" customWidth="1"/>
    <col min="16" max="17" width="14" customWidth="1"/>
    <col min="18" max="18" width="12" customWidth="1"/>
    <col min="19" max="19" width="15" customWidth="1"/>
    <col min="20" max="21" width="13" customWidth="1"/>
    <col min="22" max="22" width="10" customWidth="1"/>
    <col min="23" max="23" width="13" customWidth="1"/>
    <col min="24" max="25" width="14" customWidth="1"/>
    <col min="26" max="27" width="13" customWidth="1"/>
    <col min="28" max="28" width="12" customWidth="1"/>
  </cols>
  <sheetData>
    <row r="1" spans="1:28" ht="31.5" customHeight="1">
      <c r="A1" s="166" t="s">
        <v>112</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row>
    <row r="2" spans="1:28" ht="13.5" customHeight="1">
      <c r="A2" s="167" t="s">
        <v>113</v>
      </c>
      <c r="B2" s="167"/>
      <c r="C2" s="167"/>
      <c r="D2" s="167"/>
      <c r="E2" s="167"/>
      <c r="F2" s="167"/>
      <c r="G2" s="167"/>
      <c r="H2" s="167"/>
      <c r="I2" s="167"/>
      <c r="J2" s="167"/>
      <c r="K2" s="167"/>
      <c r="L2" s="167"/>
      <c r="M2" s="167"/>
      <c r="N2" s="167"/>
      <c r="O2" s="168" t="s">
        <v>114</v>
      </c>
      <c r="P2" s="168"/>
      <c r="Q2" s="168"/>
      <c r="R2" s="168"/>
      <c r="S2" s="168"/>
      <c r="T2" s="168"/>
      <c r="U2" s="168"/>
      <c r="V2" s="168"/>
      <c r="W2" s="168"/>
      <c r="X2" s="168"/>
      <c r="Y2" s="168"/>
      <c r="Z2" s="168"/>
      <c r="AA2" s="168"/>
      <c r="AB2" s="168"/>
    </row>
    <row r="3" spans="1:28" ht="4.5" customHeight="1"/>
    <row r="4" spans="1:28" ht="19.5" customHeight="1">
      <c r="A4" s="169" t="s">
        <v>115</v>
      </c>
      <c r="B4" s="169"/>
      <c r="C4" s="170" t="s">
        <v>116</v>
      </c>
      <c r="D4" s="170"/>
      <c r="E4" s="170"/>
      <c r="F4" s="170"/>
      <c r="G4" s="170"/>
      <c r="H4" s="170"/>
      <c r="I4" s="170"/>
      <c r="J4" s="171" t="s">
        <v>117</v>
      </c>
      <c r="K4" s="171"/>
      <c r="L4" s="171"/>
      <c r="M4" s="171"/>
      <c r="N4" s="171"/>
      <c r="O4" s="171"/>
      <c r="P4" s="169" t="s">
        <v>118</v>
      </c>
      <c r="Q4" s="169"/>
      <c r="R4" s="169"/>
      <c r="S4" s="172" t="s">
        <v>119</v>
      </c>
      <c r="T4" s="172"/>
      <c r="U4" s="172"/>
      <c r="V4" s="173" t="s">
        <v>120</v>
      </c>
      <c r="W4" s="173"/>
      <c r="X4" s="173"/>
      <c r="Y4" s="173"/>
      <c r="Z4" s="173"/>
      <c r="AA4" s="173"/>
      <c r="AB4" s="173"/>
    </row>
    <row r="5" spans="1:28" ht="31.5" customHeight="1">
      <c r="A5" s="36" t="s">
        <v>108</v>
      </c>
      <c r="B5" s="36" t="s">
        <v>109</v>
      </c>
      <c r="C5" s="37" t="s">
        <v>121</v>
      </c>
      <c r="D5" s="37" t="s">
        <v>122</v>
      </c>
      <c r="E5" s="37" t="s">
        <v>123</v>
      </c>
      <c r="F5" s="37" t="s">
        <v>124</v>
      </c>
      <c r="G5" s="37" t="s">
        <v>125</v>
      </c>
      <c r="H5" s="37" t="s">
        <v>126</v>
      </c>
      <c r="I5" s="37" t="s">
        <v>127</v>
      </c>
      <c r="J5" s="38" t="s">
        <v>128</v>
      </c>
      <c r="K5" s="38" t="s">
        <v>129</v>
      </c>
      <c r="L5" s="38" t="s">
        <v>130</v>
      </c>
      <c r="M5" s="38" t="s">
        <v>131</v>
      </c>
      <c r="N5" s="38" t="s">
        <v>132</v>
      </c>
      <c r="O5" s="38" t="s">
        <v>133</v>
      </c>
      <c r="P5" s="36" t="s">
        <v>134</v>
      </c>
      <c r="Q5" s="36" t="s">
        <v>135</v>
      </c>
      <c r="R5" s="36" t="s">
        <v>136</v>
      </c>
      <c r="S5" s="39" t="s">
        <v>137</v>
      </c>
      <c r="T5" s="39" t="s">
        <v>138</v>
      </c>
      <c r="U5" s="39" t="s">
        <v>139</v>
      </c>
      <c r="V5" s="40" t="s">
        <v>140</v>
      </c>
      <c r="W5" s="40" t="s">
        <v>141</v>
      </c>
      <c r="X5" s="40" t="s">
        <v>142</v>
      </c>
      <c r="Y5" s="40" t="s">
        <v>143</v>
      </c>
      <c r="Z5" s="40" t="s">
        <v>144</v>
      </c>
      <c r="AA5" s="40" t="s">
        <v>145</v>
      </c>
      <c r="AB5" s="40" t="s">
        <v>146</v>
      </c>
    </row>
    <row r="6" spans="1:28" ht="18" customHeight="1">
      <c r="A6" s="41">
        <v>1443803030</v>
      </c>
      <c r="B6" s="41" t="s">
        <v>147</v>
      </c>
      <c r="C6" s="42">
        <v>71.92</v>
      </c>
      <c r="D6" s="42">
        <v>131.66</v>
      </c>
      <c r="E6" s="43">
        <v>68</v>
      </c>
      <c r="F6" s="42">
        <v>8952.8799999999992</v>
      </c>
      <c r="G6" s="42">
        <v>4890.5600000000004</v>
      </c>
      <c r="H6" s="44">
        <f t="shared" ref="H6:H37" si="0">F6-G6</f>
        <v>4062.3199999999988</v>
      </c>
      <c r="I6" s="45">
        <f t="shared" ref="I6:I37" si="1">IFERROR(H6/F6,0)</f>
        <v>0.4537444933920704</v>
      </c>
      <c r="J6" s="42">
        <v>110</v>
      </c>
      <c r="K6" s="43">
        <v>60</v>
      </c>
      <c r="L6" s="44">
        <f t="shared" ref="L6:L37" si="2">J6*K6</f>
        <v>6600</v>
      </c>
      <c r="M6" s="44">
        <f t="shared" ref="M6:M37" si="3">J6-C6</f>
        <v>38.08</v>
      </c>
      <c r="N6" s="44">
        <f t="shared" ref="N6:N37" si="4">M6*K6</f>
        <v>2284.7999999999997</v>
      </c>
      <c r="O6" s="45">
        <f t="shared" ref="O6:O37" si="5">IFERROR(N6/L6,0)</f>
        <v>0.34618181818181815</v>
      </c>
      <c r="P6" s="44">
        <f t="shared" ref="P6:P37" si="6">L6-F6</f>
        <v>-2352.8799999999992</v>
      </c>
      <c r="Q6" s="44">
        <f t="shared" ref="Q6:Q37" si="7">N6-H6</f>
        <v>-1777.5199999999991</v>
      </c>
      <c r="R6" s="27" t="str">
        <f t="shared" ref="R6:R37" si="8">IF(Q6&gt;=0,"▲ BETTER","▼ WORSE")</f>
        <v>▼ WORSE</v>
      </c>
      <c r="S6" s="46">
        <f t="shared" ref="S6:S37" si="9">IFERROR(IF(J6-C6&lt;=0,"BELOW COST",CEILING(H6/(J6-C6),1)),"N/A")</f>
        <v>107</v>
      </c>
      <c r="T6" s="44">
        <f t="shared" ref="T6:T37" si="10">IFERROR(H6/K6+C6,"N/A")</f>
        <v>139.62533333333332</v>
      </c>
      <c r="U6" s="46">
        <f t="shared" ref="U6:U37" si="11">IFERROR(MAX(0,S6-K6),0)</f>
        <v>47</v>
      </c>
      <c r="V6" s="47">
        <f>Assumptions!$C$4</f>
        <v>7.0000000000000007E-2</v>
      </c>
      <c r="W6" s="44">
        <f>IFERROR(C6*(1-Assumptions!$C$4),C6)</f>
        <v>66.885599999999997</v>
      </c>
      <c r="X6" s="44">
        <f>IFERROR((J6-C6*(1-Assumptions!$C$4))*K6,N6)</f>
        <v>2586.864</v>
      </c>
      <c r="Y6" s="44">
        <f t="shared" ref="Y6:Y37" si="12">IFERROR(X6-H6,N6-H6)</f>
        <v>-1475.4559999999988</v>
      </c>
      <c r="Z6" s="44">
        <f>IFERROR(C6*Assumptions!$C$4*K6,0)</f>
        <v>302.06400000000002</v>
      </c>
      <c r="AA6" s="48">
        <f t="shared" ref="AA6:AA37" si="13">IFERROR(MAX(0,1-(J6-H6/K6)/C6),"N/A")</f>
        <v>0.41192065257693711</v>
      </c>
      <c r="AB6" s="27" t="str">
        <f t="shared" ref="AB6:AB37" si="14">IFERROR(IF(Y6&gt;=0,"▲ BETTER","▼ WORSE"),"N/A")</f>
        <v>▼ WORSE</v>
      </c>
    </row>
    <row r="7" spans="1:28" ht="18" customHeight="1">
      <c r="A7" s="41">
        <v>1443803050</v>
      </c>
      <c r="B7" s="41" t="s">
        <v>147</v>
      </c>
      <c r="C7" s="42">
        <v>75.06</v>
      </c>
      <c r="D7" s="42">
        <v>137.41</v>
      </c>
      <c r="E7" s="43">
        <v>44</v>
      </c>
      <c r="F7" s="42">
        <v>6046.04</v>
      </c>
      <c r="G7" s="42">
        <v>3302.64</v>
      </c>
      <c r="H7" s="44">
        <f t="shared" si="0"/>
        <v>2743.4</v>
      </c>
      <c r="I7" s="45">
        <f t="shared" si="1"/>
        <v>0.45375154646677829</v>
      </c>
      <c r="J7" s="42">
        <v>110</v>
      </c>
      <c r="K7" s="43">
        <v>55</v>
      </c>
      <c r="L7" s="44">
        <f t="shared" si="2"/>
        <v>6050</v>
      </c>
      <c r="M7" s="44">
        <f t="shared" si="3"/>
        <v>34.94</v>
      </c>
      <c r="N7" s="44">
        <f t="shared" si="4"/>
        <v>1921.6999999999998</v>
      </c>
      <c r="O7" s="45">
        <f t="shared" si="5"/>
        <v>0.31763636363636361</v>
      </c>
      <c r="P7" s="44">
        <f t="shared" si="6"/>
        <v>3.9600000000000364</v>
      </c>
      <c r="Q7" s="44">
        <f t="shared" si="7"/>
        <v>-821.70000000000027</v>
      </c>
      <c r="R7" s="27" t="str">
        <f t="shared" si="8"/>
        <v>▼ WORSE</v>
      </c>
      <c r="S7" s="46">
        <f t="shared" si="9"/>
        <v>79</v>
      </c>
      <c r="T7" s="44">
        <f t="shared" si="10"/>
        <v>124.94</v>
      </c>
      <c r="U7" s="46">
        <f t="shared" si="11"/>
        <v>24</v>
      </c>
      <c r="V7" s="47">
        <f>Assumptions!$C$4</f>
        <v>7.0000000000000007E-2</v>
      </c>
      <c r="W7" s="44">
        <f>IFERROR(C7*(1-Assumptions!$C$4),C7)</f>
        <v>69.805799999999991</v>
      </c>
      <c r="X7" s="44">
        <f>IFERROR((J7-C7*(1-Assumptions!$C$4))*K7,N7)</f>
        <v>2210.6810000000005</v>
      </c>
      <c r="Y7" s="44">
        <f t="shared" si="12"/>
        <v>-532.7189999999996</v>
      </c>
      <c r="Z7" s="44">
        <f>IFERROR(C7*Assumptions!$C$4*K7,0)</f>
        <v>288.98100000000005</v>
      </c>
      <c r="AA7" s="48">
        <f t="shared" si="13"/>
        <v>0.19904076738609122</v>
      </c>
      <c r="AB7" s="27" t="str">
        <f t="shared" si="14"/>
        <v>▼ WORSE</v>
      </c>
    </row>
    <row r="8" spans="1:28" ht="18" customHeight="1">
      <c r="A8" s="41">
        <v>1476010870</v>
      </c>
      <c r="B8" s="41" t="s">
        <v>148</v>
      </c>
      <c r="C8" s="42">
        <v>137.96</v>
      </c>
      <c r="D8" s="42">
        <v>252.56</v>
      </c>
      <c r="E8" s="43">
        <v>49</v>
      </c>
      <c r="F8" s="42">
        <v>12375.44</v>
      </c>
      <c r="G8" s="42">
        <v>6760.04</v>
      </c>
      <c r="H8" s="44">
        <f t="shared" si="0"/>
        <v>5615.4000000000005</v>
      </c>
      <c r="I8" s="45">
        <f t="shared" si="1"/>
        <v>0.45375356350966112</v>
      </c>
      <c r="J8" s="42">
        <v>200</v>
      </c>
      <c r="K8" s="43">
        <v>90</v>
      </c>
      <c r="L8" s="44">
        <f t="shared" si="2"/>
        <v>18000</v>
      </c>
      <c r="M8" s="44">
        <f t="shared" si="3"/>
        <v>62.039999999999992</v>
      </c>
      <c r="N8" s="44">
        <f t="shared" si="4"/>
        <v>5583.5999999999995</v>
      </c>
      <c r="O8" s="45">
        <f t="shared" si="5"/>
        <v>0.31019999999999998</v>
      </c>
      <c r="P8" s="44">
        <f t="shared" si="6"/>
        <v>5624.5599999999995</v>
      </c>
      <c r="Q8" s="44">
        <f t="shared" si="7"/>
        <v>-31.800000000001091</v>
      </c>
      <c r="R8" s="27" t="str">
        <f t="shared" si="8"/>
        <v>▼ WORSE</v>
      </c>
      <c r="S8" s="46">
        <f t="shared" si="9"/>
        <v>91</v>
      </c>
      <c r="T8" s="44">
        <f t="shared" si="10"/>
        <v>200.35333333333335</v>
      </c>
      <c r="U8" s="46">
        <f t="shared" si="11"/>
        <v>1</v>
      </c>
      <c r="V8" s="47">
        <f>Assumptions!$C$4</f>
        <v>7.0000000000000007E-2</v>
      </c>
      <c r="W8" s="44">
        <f>IFERROR(C8*(1-Assumptions!$C$4),C8)</f>
        <v>128.30279999999999</v>
      </c>
      <c r="X8" s="44">
        <f>IFERROR((J8-C8*(1-Assumptions!$C$4))*K8,N8)</f>
        <v>6452.7480000000005</v>
      </c>
      <c r="Y8" s="44">
        <f t="shared" si="12"/>
        <v>837.34799999999996</v>
      </c>
      <c r="Z8" s="44">
        <f>IFERROR(C8*Assumptions!$C$4*K8,0)</f>
        <v>869.14800000000014</v>
      </c>
      <c r="AA8" s="48">
        <f t="shared" si="13"/>
        <v>2.5611288296125689E-3</v>
      </c>
      <c r="AB8" s="27" t="str">
        <f t="shared" si="14"/>
        <v>▲ BETTER</v>
      </c>
    </row>
    <row r="9" spans="1:28" ht="18" customHeight="1">
      <c r="A9" s="41">
        <v>1476012180</v>
      </c>
      <c r="B9" s="41" t="s">
        <v>149</v>
      </c>
      <c r="C9" s="42">
        <v>114.36</v>
      </c>
      <c r="D9" s="42">
        <v>193.68</v>
      </c>
      <c r="E9" s="43">
        <v>77</v>
      </c>
      <c r="F9" s="42">
        <v>14913.36</v>
      </c>
      <c r="G9" s="42">
        <v>8805.7199999999993</v>
      </c>
      <c r="H9" s="44">
        <f t="shared" si="0"/>
        <v>6107.6400000000012</v>
      </c>
      <c r="I9" s="45">
        <f t="shared" si="1"/>
        <v>0.4095415117719951</v>
      </c>
      <c r="J9" s="42">
        <v>150</v>
      </c>
      <c r="K9" s="43">
        <v>80</v>
      </c>
      <c r="L9" s="44">
        <f t="shared" si="2"/>
        <v>12000</v>
      </c>
      <c r="M9" s="44">
        <f t="shared" si="3"/>
        <v>35.64</v>
      </c>
      <c r="N9" s="44">
        <f t="shared" si="4"/>
        <v>2851.2</v>
      </c>
      <c r="O9" s="45">
        <f t="shared" si="5"/>
        <v>0.23759999999999998</v>
      </c>
      <c r="P9" s="44">
        <f t="shared" si="6"/>
        <v>-2913.3600000000006</v>
      </c>
      <c r="Q9" s="44">
        <f t="shared" si="7"/>
        <v>-3256.4400000000014</v>
      </c>
      <c r="R9" s="27" t="str">
        <f t="shared" si="8"/>
        <v>▼ WORSE</v>
      </c>
      <c r="S9" s="46">
        <f t="shared" si="9"/>
        <v>172</v>
      </c>
      <c r="T9" s="44">
        <f t="shared" si="10"/>
        <v>190.70550000000003</v>
      </c>
      <c r="U9" s="46">
        <f t="shared" si="11"/>
        <v>92</v>
      </c>
      <c r="V9" s="47">
        <f>Assumptions!$C$4</f>
        <v>7.0000000000000007E-2</v>
      </c>
      <c r="W9" s="44">
        <f>IFERROR(C9*(1-Assumptions!$C$4),C9)</f>
        <v>106.3548</v>
      </c>
      <c r="X9" s="44">
        <f>IFERROR((J9-C9*(1-Assumptions!$C$4))*K9,N9)</f>
        <v>3491.616</v>
      </c>
      <c r="Y9" s="44">
        <f t="shared" si="12"/>
        <v>-2616.0240000000013</v>
      </c>
      <c r="Z9" s="44">
        <f>IFERROR(C9*Assumptions!$C$4*K9,0)</f>
        <v>640.41600000000005</v>
      </c>
      <c r="AA9" s="48">
        <f t="shared" si="13"/>
        <v>0.35594176285414492</v>
      </c>
      <c r="AB9" s="27" t="str">
        <f t="shared" si="14"/>
        <v>▼ WORSE</v>
      </c>
    </row>
    <row r="10" spans="1:28" ht="18" customHeight="1">
      <c r="A10" s="41">
        <v>1476012190</v>
      </c>
      <c r="B10" s="41" t="s">
        <v>149</v>
      </c>
      <c r="C10" s="42">
        <v>114.36</v>
      </c>
      <c r="D10" s="42">
        <v>193.68</v>
      </c>
      <c r="E10" s="43">
        <v>101</v>
      </c>
      <c r="F10" s="42">
        <v>19561.68</v>
      </c>
      <c r="G10" s="42">
        <v>11550.36</v>
      </c>
      <c r="H10" s="44">
        <f t="shared" si="0"/>
        <v>8011.32</v>
      </c>
      <c r="I10" s="45">
        <f t="shared" si="1"/>
        <v>0.40954151177199505</v>
      </c>
      <c r="J10" s="42">
        <v>150</v>
      </c>
      <c r="K10" s="43">
        <v>70</v>
      </c>
      <c r="L10" s="44">
        <f t="shared" si="2"/>
        <v>10500</v>
      </c>
      <c r="M10" s="44">
        <f t="shared" si="3"/>
        <v>35.64</v>
      </c>
      <c r="N10" s="44">
        <f t="shared" si="4"/>
        <v>2494.8000000000002</v>
      </c>
      <c r="O10" s="45">
        <f t="shared" si="5"/>
        <v>0.23760000000000001</v>
      </c>
      <c r="P10" s="44">
        <f t="shared" si="6"/>
        <v>-9061.68</v>
      </c>
      <c r="Q10" s="44">
        <f t="shared" si="7"/>
        <v>-5516.5199999999995</v>
      </c>
      <c r="R10" s="27" t="str">
        <f t="shared" si="8"/>
        <v>▼ WORSE</v>
      </c>
      <c r="S10" s="46">
        <f t="shared" si="9"/>
        <v>225</v>
      </c>
      <c r="T10" s="44">
        <f t="shared" si="10"/>
        <v>228.80742857142857</v>
      </c>
      <c r="U10" s="46">
        <f t="shared" si="11"/>
        <v>155</v>
      </c>
      <c r="V10" s="47">
        <f>Assumptions!$C$4</f>
        <v>7.0000000000000007E-2</v>
      </c>
      <c r="W10" s="44">
        <f>IFERROR(C10*(1-Assumptions!$C$4),C10)</f>
        <v>106.3548</v>
      </c>
      <c r="X10" s="44">
        <f>IFERROR((J10-C10*(1-Assumptions!$C$4))*K10,N10)</f>
        <v>3055.1640000000002</v>
      </c>
      <c r="Y10" s="44">
        <f t="shared" si="12"/>
        <v>-4956.155999999999</v>
      </c>
      <c r="Z10" s="44">
        <f>IFERROR(C10*Assumptions!$C$4*K10,0)</f>
        <v>560.36400000000003</v>
      </c>
      <c r="AA10" s="48">
        <f t="shared" si="13"/>
        <v>0.68911707390196375</v>
      </c>
      <c r="AB10" s="27" t="str">
        <f t="shared" si="14"/>
        <v>▼ WORSE</v>
      </c>
    </row>
    <row r="11" spans="1:28" ht="18" customHeight="1">
      <c r="A11" s="41">
        <v>1876101141</v>
      </c>
      <c r="B11" s="41" t="s">
        <v>150</v>
      </c>
      <c r="C11" s="42">
        <v>9.4600000000000009</v>
      </c>
      <c r="D11" s="42">
        <v>14.8</v>
      </c>
      <c r="E11" s="43">
        <v>890</v>
      </c>
      <c r="F11" s="42">
        <v>13172</v>
      </c>
      <c r="G11" s="42">
        <v>8419.4</v>
      </c>
      <c r="H11" s="44">
        <f t="shared" si="0"/>
        <v>4752.6000000000004</v>
      </c>
      <c r="I11" s="45">
        <f t="shared" si="1"/>
        <v>0.36081081081081084</v>
      </c>
      <c r="J11" s="42">
        <v>12</v>
      </c>
      <c r="K11" s="43">
        <v>1200</v>
      </c>
      <c r="L11" s="44">
        <f t="shared" si="2"/>
        <v>14400</v>
      </c>
      <c r="M11" s="44">
        <f t="shared" si="3"/>
        <v>2.5399999999999991</v>
      </c>
      <c r="N11" s="44">
        <f t="shared" si="4"/>
        <v>3047.9999999999991</v>
      </c>
      <c r="O11" s="45">
        <f t="shared" si="5"/>
        <v>0.21166666666666661</v>
      </c>
      <c r="P11" s="44">
        <f t="shared" si="6"/>
        <v>1228</v>
      </c>
      <c r="Q11" s="44">
        <f t="shared" si="7"/>
        <v>-1704.6000000000013</v>
      </c>
      <c r="R11" s="27" t="str">
        <f t="shared" si="8"/>
        <v>▼ WORSE</v>
      </c>
      <c r="S11" s="46">
        <f t="shared" si="9"/>
        <v>1872</v>
      </c>
      <c r="T11" s="44">
        <f t="shared" si="10"/>
        <v>13.420500000000001</v>
      </c>
      <c r="U11" s="46">
        <f t="shared" si="11"/>
        <v>672</v>
      </c>
      <c r="V11" s="47">
        <f>Assumptions!$C$4</f>
        <v>7.0000000000000007E-2</v>
      </c>
      <c r="W11" s="44">
        <f>IFERROR(C11*(1-Assumptions!$C$4),C11)</f>
        <v>8.7978000000000005</v>
      </c>
      <c r="X11" s="44">
        <f>IFERROR((J11-C11*(1-Assumptions!$C$4))*K11,N11)</f>
        <v>3842.6399999999994</v>
      </c>
      <c r="Y11" s="44">
        <f t="shared" si="12"/>
        <v>-909.96000000000095</v>
      </c>
      <c r="Z11" s="44">
        <f>IFERROR(C11*Assumptions!$C$4*K11,0)</f>
        <v>794.6400000000001</v>
      </c>
      <c r="AA11" s="48">
        <f t="shared" si="13"/>
        <v>0.15015856236786473</v>
      </c>
      <c r="AB11" s="27" t="str">
        <f t="shared" si="14"/>
        <v>▼ WORSE</v>
      </c>
    </row>
    <row r="12" spans="1:28" ht="18" customHeight="1">
      <c r="A12" s="41">
        <v>5876100891</v>
      </c>
      <c r="B12" s="41" t="s">
        <v>151</v>
      </c>
      <c r="C12" s="42">
        <v>24.6</v>
      </c>
      <c r="D12" s="42">
        <v>41.66</v>
      </c>
      <c r="E12" s="43">
        <v>43</v>
      </c>
      <c r="F12" s="42">
        <v>1791.38</v>
      </c>
      <c r="G12" s="42">
        <v>1057.8</v>
      </c>
      <c r="H12" s="44">
        <f t="shared" si="0"/>
        <v>733.58000000000015</v>
      </c>
      <c r="I12" s="45">
        <f t="shared" si="1"/>
        <v>0.40950552088334141</v>
      </c>
      <c r="J12" s="42">
        <v>50</v>
      </c>
      <c r="K12" s="43">
        <v>35</v>
      </c>
      <c r="L12" s="44">
        <f t="shared" si="2"/>
        <v>1750</v>
      </c>
      <c r="M12" s="44">
        <f t="shared" si="3"/>
        <v>25.4</v>
      </c>
      <c r="N12" s="44">
        <f t="shared" si="4"/>
        <v>889</v>
      </c>
      <c r="O12" s="45">
        <f t="shared" si="5"/>
        <v>0.50800000000000001</v>
      </c>
      <c r="P12" s="44">
        <f t="shared" si="6"/>
        <v>-41.380000000000109</v>
      </c>
      <c r="Q12" s="44">
        <f t="shared" si="7"/>
        <v>155.41999999999985</v>
      </c>
      <c r="R12" s="27" t="str">
        <f t="shared" si="8"/>
        <v>▲ BETTER</v>
      </c>
      <c r="S12" s="46">
        <f t="shared" si="9"/>
        <v>29</v>
      </c>
      <c r="T12" s="44">
        <f t="shared" si="10"/>
        <v>45.559428571428576</v>
      </c>
      <c r="U12" s="46">
        <f t="shared" si="11"/>
        <v>0</v>
      </c>
      <c r="V12" s="47">
        <f>Assumptions!$C$4</f>
        <v>7.0000000000000007E-2</v>
      </c>
      <c r="W12" s="44">
        <f>IFERROR(C12*(1-Assumptions!$C$4),C12)</f>
        <v>22.878</v>
      </c>
      <c r="X12" s="44">
        <f>IFERROR((J12-C12*(1-Assumptions!$C$4))*K12,N12)</f>
        <v>949.27</v>
      </c>
      <c r="Y12" s="44">
        <f t="shared" si="12"/>
        <v>215.68999999999983</v>
      </c>
      <c r="Z12" s="44">
        <f>IFERROR(C12*Assumptions!$C$4*K12,0)</f>
        <v>60.27000000000001</v>
      </c>
      <c r="AA12" s="48">
        <f t="shared" si="13"/>
        <v>0</v>
      </c>
      <c r="AB12" s="27" t="str">
        <f t="shared" si="14"/>
        <v>▲ BETTER</v>
      </c>
    </row>
    <row r="13" spans="1:28" ht="18" customHeight="1">
      <c r="A13" s="41">
        <v>5876102200</v>
      </c>
      <c r="B13" s="41" t="s">
        <v>152</v>
      </c>
      <c r="C13" s="42">
        <v>11.16</v>
      </c>
      <c r="D13" s="42">
        <v>17.46</v>
      </c>
      <c r="E13" s="43">
        <v>2039</v>
      </c>
      <c r="F13" s="42">
        <v>35600.94</v>
      </c>
      <c r="G13" s="42">
        <v>22755.24</v>
      </c>
      <c r="H13" s="44">
        <f t="shared" si="0"/>
        <v>12845.7</v>
      </c>
      <c r="I13" s="45">
        <f t="shared" si="1"/>
        <v>0.36082474226804123</v>
      </c>
      <c r="J13" s="42">
        <v>14</v>
      </c>
      <c r="K13" s="43">
        <v>2300</v>
      </c>
      <c r="L13" s="44">
        <f t="shared" si="2"/>
        <v>32200</v>
      </c>
      <c r="M13" s="44">
        <f t="shared" si="3"/>
        <v>2.84</v>
      </c>
      <c r="N13" s="44">
        <f t="shared" si="4"/>
        <v>6532</v>
      </c>
      <c r="O13" s="45">
        <f t="shared" si="5"/>
        <v>0.20285714285714285</v>
      </c>
      <c r="P13" s="44">
        <f t="shared" si="6"/>
        <v>-3400.9400000000023</v>
      </c>
      <c r="Q13" s="44">
        <f t="shared" si="7"/>
        <v>-6313.7000000000007</v>
      </c>
      <c r="R13" s="27" t="str">
        <f t="shared" si="8"/>
        <v>▼ WORSE</v>
      </c>
      <c r="S13" s="46">
        <f t="shared" si="9"/>
        <v>4524</v>
      </c>
      <c r="T13" s="44">
        <f t="shared" si="10"/>
        <v>16.745086956521739</v>
      </c>
      <c r="U13" s="46">
        <f t="shared" si="11"/>
        <v>2224</v>
      </c>
      <c r="V13" s="47">
        <f>Assumptions!$C$4</f>
        <v>7.0000000000000007E-2</v>
      </c>
      <c r="W13" s="44">
        <f>IFERROR(C13*(1-Assumptions!$C$4),C13)</f>
        <v>10.3788</v>
      </c>
      <c r="X13" s="44">
        <f>IFERROR((J13-C13*(1-Assumptions!$C$4))*K13,N13)</f>
        <v>8328.76</v>
      </c>
      <c r="Y13" s="44">
        <f t="shared" si="12"/>
        <v>-4516.9400000000005</v>
      </c>
      <c r="Z13" s="44">
        <f>IFERROR(C13*Assumptions!$C$4*K13,0)</f>
        <v>1796.7600000000002</v>
      </c>
      <c r="AA13" s="48">
        <f t="shared" si="13"/>
        <v>0.24597553373850711</v>
      </c>
      <c r="AB13" s="27" t="str">
        <f t="shared" si="14"/>
        <v>▼ WORSE</v>
      </c>
    </row>
    <row r="14" spans="1:28" ht="18" customHeight="1">
      <c r="A14" s="41">
        <v>5876102320</v>
      </c>
      <c r="B14" s="41" t="s">
        <v>153</v>
      </c>
      <c r="C14" s="42">
        <v>107.08</v>
      </c>
      <c r="D14" s="42">
        <v>167.52</v>
      </c>
      <c r="E14" s="43">
        <v>325</v>
      </c>
      <c r="F14" s="42">
        <v>54444</v>
      </c>
      <c r="G14" s="42">
        <v>34801</v>
      </c>
      <c r="H14" s="44">
        <f t="shared" si="0"/>
        <v>19643</v>
      </c>
      <c r="I14" s="45">
        <f t="shared" si="1"/>
        <v>0.36079274116523402</v>
      </c>
      <c r="J14" s="42">
        <v>120</v>
      </c>
      <c r="K14" s="43">
        <v>400</v>
      </c>
      <c r="L14" s="44">
        <f t="shared" si="2"/>
        <v>48000</v>
      </c>
      <c r="M14" s="44">
        <f t="shared" si="3"/>
        <v>12.920000000000002</v>
      </c>
      <c r="N14" s="44">
        <f t="shared" si="4"/>
        <v>5168.0000000000009</v>
      </c>
      <c r="O14" s="45">
        <f t="shared" si="5"/>
        <v>0.10766666666666669</v>
      </c>
      <c r="P14" s="44">
        <f t="shared" si="6"/>
        <v>-6444</v>
      </c>
      <c r="Q14" s="44">
        <f t="shared" si="7"/>
        <v>-14475</v>
      </c>
      <c r="R14" s="27" t="str">
        <f t="shared" si="8"/>
        <v>▼ WORSE</v>
      </c>
      <c r="S14" s="46">
        <f t="shared" si="9"/>
        <v>1521</v>
      </c>
      <c r="T14" s="44">
        <f t="shared" si="10"/>
        <v>156.1875</v>
      </c>
      <c r="U14" s="46">
        <f t="shared" si="11"/>
        <v>1121</v>
      </c>
      <c r="V14" s="47">
        <f>Assumptions!$C$4</f>
        <v>7.0000000000000007E-2</v>
      </c>
      <c r="W14" s="44">
        <f>IFERROR(C14*(1-Assumptions!$C$4),C14)</f>
        <v>99.584399999999988</v>
      </c>
      <c r="X14" s="44">
        <f>IFERROR((J14-C14*(1-Assumptions!$C$4))*K14,N14)</f>
        <v>8166.2400000000052</v>
      </c>
      <c r="Y14" s="44">
        <f t="shared" si="12"/>
        <v>-11476.759999999995</v>
      </c>
      <c r="Z14" s="44">
        <f>IFERROR(C14*Assumptions!$C$4*K14,0)</f>
        <v>2998.2400000000002</v>
      </c>
      <c r="AA14" s="48">
        <f t="shared" si="13"/>
        <v>0.33794826298094882</v>
      </c>
      <c r="AB14" s="27" t="str">
        <f t="shared" si="14"/>
        <v>▼ WORSE</v>
      </c>
    </row>
    <row r="15" spans="1:28" ht="18" customHeight="1">
      <c r="A15" s="41">
        <v>5876102820</v>
      </c>
      <c r="B15" s="41" t="s">
        <v>154</v>
      </c>
      <c r="C15" s="42">
        <v>87.4</v>
      </c>
      <c r="D15" s="42">
        <v>148.01</v>
      </c>
      <c r="E15" s="43">
        <v>10</v>
      </c>
      <c r="F15" s="42">
        <v>1480.1</v>
      </c>
      <c r="G15" s="42">
        <v>874</v>
      </c>
      <c r="H15" s="44">
        <f t="shared" si="0"/>
        <v>606.09999999999991</v>
      </c>
      <c r="I15" s="45">
        <f t="shared" si="1"/>
        <v>0.4094993581514762</v>
      </c>
      <c r="J15" s="42">
        <v>135</v>
      </c>
      <c r="K15" s="43">
        <v>45</v>
      </c>
      <c r="L15" s="44">
        <f t="shared" si="2"/>
        <v>6075</v>
      </c>
      <c r="M15" s="44">
        <f t="shared" si="3"/>
        <v>47.599999999999994</v>
      </c>
      <c r="N15" s="44">
        <f t="shared" si="4"/>
        <v>2141.9999999999995</v>
      </c>
      <c r="O15" s="45">
        <f t="shared" si="5"/>
        <v>0.35259259259259251</v>
      </c>
      <c r="P15" s="44">
        <f t="shared" si="6"/>
        <v>4594.8999999999996</v>
      </c>
      <c r="Q15" s="44">
        <f t="shared" si="7"/>
        <v>1535.8999999999996</v>
      </c>
      <c r="R15" s="27" t="str">
        <f t="shared" si="8"/>
        <v>▲ BETTER</v>
      </c>
      <c r="S15" s="46">
        <f t="shared" si="9"/>
        <v>13</v>
      </c>
      <c r="T15" s="44">
        <f t="shared" si="10"/>
        <v>100.86888888888889</v>
      </c>
      <c r="U15" s="46">
        <f t="shared" si="11"/>
        <v>0</v>
      </c>
      <c r="V15" s="47">
        <f>Assumptions!$C$4</f>
        <v>7.0000000000000007E-2</v>
      </c>
      <c r="W15" s="44">
        <f>IFERROR(C15*(1-Assumptions!$C$4),C15)</f>
        <v>81.281999999999996</v>
      </c>
      <c r="X15" s="44">
        <f>IFERROR((J15-C15*(1-Assumptions!$C$4))*K15,N15)</f>
        <v>2417.31</v>
      </c>
      <c r="Y15" s="44">
        <f t="shared" si="12"/>
        <v>1811.21</v>
      </c>
      <c r="Z15" s="44">
        <f>IFERROR(C15*Assumptions!$C$4*K15,0)</f>
        <v>275.31000000000006</v>
      </c>
      <c r="AA15" s="48">
        <f t="shared" si="13"/>
        <v>0</v>
      </c>
      <c r="AB15" s="27" t="str">
        <f t="shared" si="14"/>
        <v>▲ BETTER</v>
      </c>
    </row>
    <row r="16" spans="1:28" ht="18" customHeight="1">
      <c r="A16" s="41">
        <v>5876102850</v>
      </c>
      <c r="B16" s="41" t="s">
        <v>155</v>
      </c>
      <c r="C16" s="42">
        <v>10.56</v>
      </c>
      <c r="D16" s="42">
        <v>17.88</v>
      </c>
      <c r="E16" s="43">
        <v>260</v>
      </c>
      <c r="F16" s="42">
        <v>4648.8</v>
      </c>
      <c r="G16" s="42">
        <v>2745.6</v>
      </c>
      <c r="H16" s="44">
        <f t="shared" si="0"/>
        <v>1903.2000000000003</v>
      </c>
      <c r="I16" s="45">
        <f t="shared" si="1"/>
        <v>0.40939597315436244</v>
      </c>
      <c r="J16" s="42">
        <v>12</v>
      </c>
      <c r="K16" s="43">
        <v>300</v>
      </c>
      <c r="L16" s="44">
        <f t="shared" si="2"/>
        <v>3600</v>
      </c>
      <c r="M16" s="44">
        <f t="shared" si="3"/>
        <v>1.4399999999999995</v>
      </c>
      <c r="N16" s="44">
        <f t="shared" si="4"/>
        <v>431.99999999999983</v>
      </c>
      <c r="O16" s="45">
        <f t="shared" si="5"/>
        <v>0.11999999999999995</v>
      </c>
      <c r="P16" s="44">
        <f t="shared" si="6"/>
        <v>-1048.8000000000002</v>
      </c>
      <c r="Q16" s="44">
        <f t="shared" si="7"/>
        <v>-1471.2000000000005</v>
      </c>
      <c r="R16" s="27" t="str">
        <f t="shared" si="8"/>
        <v>▼ WORSE</v>
      </c>
      <c r="S16" s="46">
        <f t="shared" si="9"/>
        <v>1322</v>
      </c>
      <c r="T16" s="44">
        <f t="shared" si="10"/>
        <v>16.904000000000003</v>
      </c>
      <c r="U16" s="46">
        <f t="shared" si="11"/>
        <v>1022</v>
      </c>
      <c r="V16" s="47">
        <f>Assumptions!$C$4</f>
        <v>7.0000000000000007E-2</v>
      </c>
      <c r="W16" s="44">
        <f>IFERROR(C16*(1-Assumptions!$C$4),C16)</f>
        <v>9.8208000000000002</v>
      </c>
      <c r="X16" s="44">
        <f>IFERROR((J16-C16*(1-Assumptions!$C$4))*K16,N16)</f>
        <v>653.76</v>
      </c>
      <c r="Y16" s="44">
        <f t="shared" si="12"/>
        <v>-1249.4400000000003</v>
      </c>
      <c r="Z16" s="44">
        <f>IFERROR(C16*Assumptions!$C$4*K16,0)</f>
        <v>221.76000000000002</v>
      </c>
      <c r="AA16" s="48">
        <f t="shared" si="13"/>
        <v>0.46439393939393958</v>
      </c>
      <c r="AB16" s="27" t="str">
        <f t="shared" si="14"/>
        <v>▼ WORSE</v>
      </c>
    </row>
    <row r="17" spans="1:28" ht="18" customHeight="1">
      <c r="A17" s="41">
        <v>5878323991</v>
      </c>
      <c r="B17" s="41" t="s">
        <v>156</v>
      </c>
      <c r="C17" s="42">
        <v>39.979999999999997</v>
      </c>
      <c r="D17" s="42">
        <v>62.55</v>
      </c>
      <c r="E17" s="43">
        <v>70</v>
      </c>
      <c r="F17" s="42">
        <v>4378.5</v>
      </c>
      <c r="G17" s="42">
        <v>2798.6</v>
      </c>
      <c r="H17" s="44">
        <f t="shared" si="0"/>
        <v>1579.9</v>
      </c>
      <c r="I17" s="45">
        <f t="shared" si="1"/>
        <v>0.36083133493205438</v>
      </c>
      <c r="J17" s="42">
        <v>50</v>
      </c>
      <c r="K17" s="43">
        <v>270</v>
      </c>
      <c r="L17" s="44">
        <f t="shared" si="2"/>
        <v>13500</v>
      </c>
      <c r="M17" s="44">
        <f t="shared" si="3"/>
        <v>10.020000000000003</v>
      </c>
      <c r="N17" s="44">
        <f t="shared" si="4"/>
        <v>2705.400000000001</v>
      </c>
      <c r="O17" s="45">
        <f t="shared" si="5"/>
        <v>0.20040000000000008</v>
      </c>
      <c r="P17" s="44">
        <f t="shared" si="6"/>
        <v>9121.5</v>
      </c>
      <c r="Q17" s="44">
        <f t="shared" si="7"/>
        <v>1125.5000000000009</v>
      </c>
      <c r="R17" s="27" t="str">
        <f t="shared" si="8"/>
        <v>▲ BETTER</v>
      </c>
      <c r="S17" s="46">
        <f t="shared" si="9"/>
        <v>158</v>
      </c>
      <c r="T17" s="44">
        <f t="shared" si="10"/>
        <v>45.831481481481475</v>
      </c>
      <c r="U17" s="46">
        <f t="shared" si="11"/>
        <v>0</v>
      </c>
      <c r="V17" s="47">
        <f>Assumptions!$C$4</f>
        <v>7.0000000000000007E-2</v>
      </c>
      <c r="W17" s="44">
        <f>IFERROR(C17*(1-Assumptions!$C$4),C17)</f>
        <v>37.181399999999996</v>
      </c>
      <c r="X17" s="44">
        <f>IFERROR((J17-C17*(1-Assumptions!$C$4))*K17,N17)</f>
        <v>3461.0220000000008</v>
      </c>
      <c r="Y17" s="44">
        <f t="shared" si="12"/>
        <v>1881.1220000000008</v>
      </c>
      <c r="Z17" s="44">
        <f>IFERROR(C17*Assumptions!$C$4*K17,0)</f>
        <v>755.62199999999996</v>
      </c>
      <c r="AA17" s="48">
        <f t="shared" si="13"/>
        <v>0</v>
      </c>
      <c r="AB17" s="27" t="str">
        <f t="shared" si="14"/>
        <v>▲ BETTER</v>
      </c>
    </row>
    <row r="18" spans="1:28" ht="18" customHeight="1">
      <c r="A18" s="41">
        <v>7551827563</v>
      </c>
      <c r="B18" s="41" t="s">
        <v>157</v>
      </c>
      <c r="C18" s="42">
        <v>125.27</v>
      </c>
      <c r="D18" s="42">
        <v>218.21</v>
      </c>
      <c r="E18" s="43">
        <v>20</v>
      </c>
      <c r="F18" s="42">
        <v>4364.2</v>
      </c>
      <c r="G18" s="42">
        <v>2505.4</v>
      </c>
      <c r="H18" s="44">
        <f t="shared" si="0"/>
        <v>1858.7999999999997</v>
      </c>
      <c r="I18" s="45">
        <f t="shared" si="1"/>
        <v>0.42591998533522751</v>
      </c>
      <c r="J18" s="42">
        <v>199</v>
      </c>
      <c r="K18" s="43">
        <v>20</v>
      </c>
      <c r="L18" s="44">
        <f t="shared" si="2"/>
        <v>3980</v>
      </c>
      <c r="M18" s="44">
        <f t="shared" si="3"/>
        <v>73.73</v>
      </c>
      <c r="N18" s="44">
        <f t="shared" si="4"/>
        <v>1474.6000000000001</v>
      </c>
      <c r="O18" s="45">
        <f t="shared" si="5"/>
        <v>0.37050251256281408</v>
      </c>
      <c r="P18" s="44">
        <f t="shared" si="6"/>
        <v>-384.19999999999982</v>
      </c>
      <c r="Q18" s="44">
        <f t="shared" si="7"/>
        <v>-384.19999999999959</v>
      </c>
      <c r="R18" s="27" t="str">
        <f t="shared" si="8"/>
        <v>▼ WORSE</v>
      </c>
      <c r="S18" s="46">
        <f t="shared" si="9"/>
        <v>26</v>
      </c>
      <c r="T18" s="44">
        <f t="shared" si="10"/>
        <v>218.20999999999998</v>
      </c>
      <c r="U18" s="46">
        <f t="shared" si="11"/>
        <v>6</v>
      </c>
      <c r="V18" s="47">
        <f>Assumptions!$C$4</f>
        <v>7.0000000000000007E-2</v>
      </c>
      <c r="W18" s="44">
        <f>IFERROR(C18*(1-Assumptions!$C$4),C18)</f>
        <v>116.50109999999999</v>
      </c>
      <c r="X18" s="44">
        <f>IFERROR((J18-C18*(1-Assumptions!$C$4))*K18,N18)</f>
        <v>1649.9780000000001</v>
      </c>
      <c r="Y18" s="44">
        <f t="shared" si="12"/>
        <v>-208.82199999999966</v>
      </c>
      <c r="Z18" s="44">
        <f>IFERROR(C18*Assumptions!$C$4*K18,0)</f>
        <v>175.37800000000001</v>
      </c>
      <c r="AA18" s="48">
        <f t="shared" si="13"/>
        <v>0.15334876666400554</v>
      </c>
      <c r="AB18" s="27" t="str">
        <f t="shared" si="14"/>
        <v>▼ WORSE</v>
      </c>
    </row>
    <row r="19" spans="1:28" ht="18" customHeight="1">
      <c r="A19" s="41">
        <v>7552536820</v>
      </c>
      <c r="B19" s="41" t="s">
        <v>158</v>
      </c>
      <c r="C19" s="42">
        <v>151.76</v>
      </c>
      <c r="D19" s="42">
        <v>277.82</v>
      </c>
      <c r="E19" s="43">
        <v>40</v>
      </c>
      <c r="F19" s="42">
        <v>11112.8</v>
      </c>
      <c r="G19" s="42">
        <v>6070.4</v>
      </c>
      <c r="H19" s="44">
        <f t="shared" si="0"/>
        <v>5042.3999999999996</v>
      </c>
      <c r="I19" s="45">
        <f t="shared" si="1"/>
        <v>0.45374703045137138</v>
      </c>
      <c r="J19" s="42">
        <v>250</v>
      </c>
      <c r="K19" s="43">
        <v>50</v>
      </c>
      <c r="L19" s="44">
        <f t="shared" si="2"/>
        <v>12500</v>
      </c>
      <c r="M19" s="44">
        <f t="shared" si="3"/>
        <v>98.240000000000009</v>
      </c>
      <c r="N19" s="44">
        <f t="shared" si="4"/>
        <v>4912</v>
      </c>
      <c r="O19" s="45">
        <f t="shared" si="5"/>
        <v>0.39295999999999998</v>
      </c>
      <c r="P19" s="44">
        <f t="shared" si="6"/>
        <v>1387.2000000000007</v>
      </c>
      <c r="Q19" s="44">
        <f t="shared" si="7"/>
        <v>-130.39999999999964</v>
      </c>
      <c r="R19" s="27" t="str">
        <f t="shared" si="8"/>
        <v>▼ WORSE</v>
      </c>
      <c r="S19" s="46">
        <f t="shared" si="9"/>
        <v>52</v>
      </c>
      <c r="T19" s="44">
        <f t="shared" si="10"/>
        <v>252.608</v>
      </c>
      <c r="U19" s="46">
        <f t="shared" si="11"/>
        <v>2</v>
      </c>
      <c r="V19" s="47">
        <f>Assumptions!$C$4</f>
        <v>7.0000000000000007E-2</v>
      </c>
      <c r="W19" s="44">
        <f>IFERROR(C19*(1-Assumptions!$C$4),C19)</f>
        <v>141.13679999999999</v>
      </c>
      <c r="X19" s="44">
        <f>IFERROR((J19-C19*(1-Assumptions!$C$4))*K19,N19)</f>
        <v>5443.16</v>
      </c>
      <c r="Y19" s="44">
        <f t="shared" si="12"/>
        <v>400.76000000000022</v>
      </c>
      <c r="Z19" s="44">
        <f>IFERROR(C19*Assumptions!$C$4*K19,0)</f>
        <v>531.16000000000008</v>
      </c>
      <c r="AA19" s="48">
        <f t="shared" si="13"/>
        <v>1.7185028993147111E-2</v>
      </c>
      <c r="AB19" s="27" t="str">
        <f t="shared" si="14"/>
        <v>▲ BETTER</v>
      </c>
    </row>
    <row r="20" spans="1:28" ht="18" customHeight="1">
      <c r="A20" s="41">
        <v>8972785830</v>
      </c>
      <c r="B20" s="41" t="s">
        <v>159</v>
      </c>
      <c r="C20" s="42">
        <v>225.48</v>
      </c>
      <c r="D20" s="42">
        <v>381.87</v>
      </c>
      <c r="E20" s="43">
        <v>50</v>
      </c>
      <c r="F20" s="42">
        <v>19093.5</v>
      </c>
      <c r="G20" s="42">
        <v>11274</v>
      </c>
      <c r="H20" s="44">
        <f t="shared" si="0"/>
        <v>7819.5</v>
      </c>
      <c r="I20" s="45">
        <f t="shared" si="1"/>
        <v>0.40953727708382431</v>
      </c>
      <c r="J20" s="42">
        <v>250</v>
      </c>
      <c r="K20" s="43">
        <v>50</v>
      </c>
      <c r="L20" s="44">
        <f t="shared" si="2"/>
        <v>12500</v>
      </c>
      <c r="M20" s="44">
        <f t="shared" si="3"/>
        <v>24.52000000000001</v>
      </c>
      <c r="N20" s="44">
        <f t="shared" si="4"/>
        <v>1226.0000000000005</v>
      </c>
      <c r="O20" s="45">
        <f t="shared" si="5"/>
        <v>9.8080000000000042E-2</v>
      </c>
      <c r="P20" s="44">
        <f t="shared" si="6"/>
        <v>-6593.5</v>
      </c>
      <c r="Q20" s="44">
        <f t="shared" si="7"/>
        <v>-6593.5</v>
      </c>
      <c r="R20" s="27" t="str">
        <f t="shared" si="8"/>
        <v>▼ WORSE</v>
      </c>
      <c r="S20" s="46">
        <f t="shared" si="9"/>
        <v>319</v>
      </c>
      <c r="T20" s="44">
        <f t="shared" si="10"/>
        <v>381.87</v>
      </c>
      <c r="U20" s="46">
        <f t="shared" si="11"/>
        <v>269</v>
      </c>
      <c r="V20" s="47">
        <f>Assumptions!$C$4</f>
        <v>7.0000000000000007E-2</v>
      </c>
      <c r="W20" s="44">
        <f>IFERROR(C20*(1-Assumptions!$C$4),C20)</f>
        <v>209.69639999999998</v>
      </c>
      <c r="X20" s="44">
        <f>IFERROR((J20-C20*(1-Assumptions!$C$4))*K20,N20)</f>
        <v>2015.1800000000007</v>
      </c>
      <c r="Y20" s="44">
        <f t="shared" si="12"/>
        <v>-5804.32</v>
      </c>
      <c r="Z20" s="44">
        <f>IFERROR(C20*Assumptions!$C$4*K20,0)</f>
        <v>789.18000000000006</v>
      </c>
      <c r="AA20" s="48">
        <f t="shared" si="13"/>
        <v>0.58484122760333501</v>
      </c>
      <c r="AB20" s="27" t="str">
        <f t="shared" si="14"/>
        <v>▼ WORSE</v>
      </c>
    </row>
    <row r="21" spans="1:28" ht="18" customHeight="1">
      <c r="A21" s="41">
        <v>8973871590</v>
      </c>
      <c r="B21" s="41" t="s">
        <v>160</v>
      </c>
      <c r="C21" s="42">
        <v>24.12</v>
      </c>
      <c r="D21" s="42">
        <v>44.16</v>
      </c>
      <c r="E21" s="43">
        <v>25</v>
      </c>
      <c r="F21" s="42">
        <v>1104</v>
      </c>
      <c r="G21" s="42">
        <v>603</v>
      </c>
      <c r="H21" s="44">
        <f t="shared" si="0"/>
        <v>501</v>
      </c>
      <c r="I21" s="45">
        <f t="shared" si="1"/>
        <v>0.45380434782608697</v>
      </c>
      <c r="J21" s="42">
        <v>35</v>
      </c>
      <c r="K21" s="43">
        <v>110</v>
      </c>
      <c r="L21" s="44">
        <f t="shared" si="2"/>
        <v>3850</v>
      </c>
      <c r="M21" s="44">
        <f t="shared" si="3"/>
        <v>10.879999999999999</v>
      </c>
      <c r="N21" s="44">
        <f t="shared" si="4"/>
        <v>1196.8</v>
      </c>
      <c r="O21" s="45">
        <f t="shared" si="5"/>
        <v>0.31085714285714283</v>
      </c>
      <c r="P21" s="44">
        <f t="shared" si="6"/>
        <v>2746</v>
      </c>
      <c r="Q21" s="44">
        <f t="shared" si="7"/>
        <v>695.8</v>
      </c>
      <c r="R21" s="27" t="str">
        <f t="shared" si="8"/>
        <v>▲ BETTER</v>
      </c>
      <c r="S21" s="46">
        <f t="shared" si="9"/>
        <v>47</v>
      </c>
      <c r="T21" s="44">
        <f t="shared" si="10"/>
        <v>28.674545454545456</v>
      </c>
      <c r="U21" s="46">
        <f t="shared" si="11"/>
        <v>0</v>
      </c>
      <c r="V21" s="47">
        <f>Assumptions!$C$4</f>
        <v>7.0000000000000007E-2</v>
      </c>
      <c r="W21" s="44">
        <f>IFERROR(C21*(1-Assumptions!$C$4),C21)</f>
        <v>22.4316</v>
      </c>
      <c r="X21" s="44">
        <f>IFERROR((J21-C21*(1-Assumptions!$C$4))*K21,N21)</f>
        <v>1382.5240000000001</v>
      </c>
      <c r="Y21" s="44">
        <f t="shared" si="12"/>
        <v>881.52400000000011</v>
      </c>
      <c r="Z21" s="44">
        <f>IFERROR(C21*Assumptions!$C$4*K21,0)</f>
        <v>185.72400000000002</v>
      </c>
      <c r="AA21" s="48">
        <f t="shared" si="13"/>
        <v>0</v>
      </c>
      <c r="AB21" s="27" t="str">
        <f t="shared" si="14"/>
        <v>▲ BETTER</v>
      </c>
    </row>
    <row r="22" spans="1:28" ht="18" customHeight="1">
      <c r="A22" s="41">
        <v>8976097887</v>
      </c>
      <c r="B22" s="41" t="s">
        <v>161</v>
      </c>
      <c r="C22" s="42">
        <v>97.1</v>
      </c>
      <c r="D22" s="42">
        <v>164.44</v>
      </c>
      <c r="E22" s="43">
        <v>20</v>
      </c>
      <c r="F22" s="42">
        <v>3288.8</v>
      </c>
      <c r="G22" s="42">
        <v>1942</v>
      </c>
      <c r="H22" s="44">
        <f t="shared" si="0"/>
        <v>1346.8000000000002</v>
      </c>
      <c r="I22" s="45">
        <f t="shared" si="1"/>
        <v>0.40951106786669911</v>
      </c>
      <c r="J22" s="42">
        <v>150</v>
      </c>
      <c r="K22" s="43">
        <v>70</v>
      </c>
      <c r="L22" s="44">
        <f t="shared" si="2"/>
        <v>10500</v>
      </c>
      <c r="M22" s="44">
        <f t="shared" si="3"/>
        <v>52.900000000000006</v>
      </c>
      <c r="N22" s="44">
        <f t="shared" si="4"/>
        <v>3703.0000000000005</v>
      </c>
      <c r="O22" s="45">
        <f t="shared" si="5"/>
        <v>0.35266666666666668</v>
      </c>
      <c r="P22" s="44">
        <f t="shared" si="6"/>
        <v>7211.2</v>
      </c>
      <c r="Q22" s="44">
        <f t="shared" si="7"/>
        <v>2356.2000000000003</v>
      </c>
      <c r="R22" s="27" t="str">
        <f t="shared" si="8"/>
        <v>▲ BETTER</v>
      </c>
      <c r="S22" s="46">
        <f t="shared" si="9"/>
        <v>26</v>
      </c>
      <c r="T22" s="44">
        <f t="shared" si="10"/>
        <v>116.34</v>
      </c>
      <c r="U22" s="46">
        <f t="shared" si="11"/>
        <v>0</v>
      </c>
      <c r="V22" s="47">
        <f>Assumptions!$C$4</f>
        <v>7.0000000000000007E-2</v>
      </c>
      <c r="W22" s="44">
        <f>IFERROR(C22*(1-Assumptions!$C$4),C22)</f>
        <v>90.302999999999983</v>
      </c>
      <c r="X22" s="44">
        <f>IFERROR((J22-C22*(1-Assumptions!$C$4))*K22,N22)</f>
        <v>4178.7900000000009</v>
      </c>
      <c r="Y22" s="44">
        <f t="shared" si="12"/>
        <v>2831.9900000000007</v>
      </c>
      <c r="Z22" s="44">
        <f>IFERROR(C22*Assumptions!$C$4*K22,0)</f>
        <v>475.79</v>
      </c>
      <c r="AA22" s="48">
        <f t="shared" si="13"/>
        <v>0</v>
      </c>
      <c r="AB22" s="27" t="str">
        <f t="shared" si="14"/>
        <v>▲ BETTER</v>
      </c>
    </row>
    <row r="23" spans="1:28" ht="18" customHeight="1">
      <c r="A23" s="41">
        <v>8978416290</v>
      </c>
      <c r="B23" s="41" t="s">
        <v>162</v>
      </c>
      <c r="C23" s="42">
        <v>39.880000000000003</v>
      </c>
      <c r="D23" s="42">
        <v>73</v>
      </c>
      <c r="E23" s="43">
        <v>37</v>
      </c>
      <c r="F23" s="42">
        <v>2701</v>
      </c>
      <c r="G23" s="42">
        <v>1475.56</v>
      </c>
      <c r="H23" s="44">
        <f t="shared" si="0"/>
        <v>1225.44</v>
      </c>
      <c r="I23" s="45">
        <f t="shared" si="1"/>
        <v>0.4536986301369863</v>
      </c>
      <c r="J23" s="42">
        <v>250</v>
      </c>
      <c r="K23" s="43">
        <v>50</v>
      </c>
      <c r="L23" s="44">
        <f t="shared" si="2"/>
        <v>12500</v>
      </c>
      <c r="M23" s="44">
        <f t="shared" si="3"/>
        <v>210.12</v>
      </c>
      <c r="N23" s="44">
        <f t="shared" si="4"/>
        <v>10506</v>
      </c>
      <c r="O23" s="45">
        <f t="shared" si="5"/>
        <v>0.84048</v>
      </c>
      <c r="P23" s="44">
        <f t="shared" si="6"/>
        <v>9799</v>
      </c>
      <c r="Q23" s="44">
        <f t="shared" si="7"/>
        <v>9280.56</v>
      </c>
      <c r="R23" s="27" t="str">
        <f t="shared" si="8"/>
        <v>▲ BETTER</v>
      </c>
      <c r="S23" s="46">
        <f t="shared" si="9"/>
        <v>6</v>
      </c>
      <c r="T23" s="44">
        <f t="shared" si="10"/>
        <v>64.388800000000003</v>
      </c>
      <c r="U23" s="46">
        <f t="shared" si="11"/>
        <v>0</v>
      </c>
      <c r="V23" s="47">
        <f>Assumptions!$C$4</f>
        <v>7.0000000000000007E-2</v>
      </c>
      <c r="W23" s="44">
        <f>IFERROR(C23*(1-Assumptions!$C$4),C23)</f>
        <v>37.0884</v>
      </c>
      <c r="X23" s="44">
        <f>IFERROR((J23-C23*(1-Assumptions!$C$4))*K23,N23)</f>
        <v>10645.58</v>
      </c>
      <c r="Y23" s="44">
        <f t="shared" si="12"/>
        <v>9420.14</v>
      </c>
      <c r="Z23" s="44">
        <f>IFERROR(C23*Assumptions!$C$4*K23,0)</f>
        <v>139.58000000000001</v>
      </c>
      <c r="AA23" s="48">
        <f t="shared" si="13"/>
        <v>0</v>
      </c>
      <c r="AB23" s="27" t="str">
        <f t="shared" si="14"/>
        <v>▲ BETTER</v>
      </c>
    </row>
    <row r="24" spans="1:28" ht="18" customHeight="1">
      <c r="A24" s="41">
        <v>8978757421</v>
      </c>
      <c r="B24" s="41" t="s">
        <v>163</v>
      </c>
      <c r="C24" s="42">
        <v>252.71</v>
      </c>
      <c r="D24" s="42">
        <v>427.97</v>
      </c>
      <c r="E24" s="43">
        <v>41</v>
      </c>
      <c r="F24" s="42">
        <v>17546.77</v>
      </c>
      <c r="G24" s="42">
        <v>10361.11</v>
      </c>
      <c r="H24" s="44">
        <f t="shared" si="0"/>
        <v>7185.66</v>
      </c>
      <c r="I24" s="45">
        <f t="shared" si="1"/>
        <v>0.40951468560880433</v>
      </c>
      <c r="J24" s="42">
        <v>300</v>
      </c>
      <c r="K24" s="43">
        <v>40</v>
      </c>
      <c r="L24" s="44">
        <f t="shared" si="2"/>
        <v>12000</v>
      </c>
      <c r="M24" s="44">
        <f t="shared" si="3"/>
        <v>47.289999999999992</v>
      </c>
      <c r="N24" s="44">
        <f t="shared" si="4"/>
        <v>1891.5999999999997</v>
      </c>
      <c r="O24" s="45">
        <f t="shared" si="5"/>
        <v>0.15763333333333332</v>
      </c>
      <c r="P24" s="44">
        <f t="shared" si="6"/>
        <v>-5546.77</v>
      </c>
      <c r="Q24" s="44">
        <f t="shared" si="7"/>
        <v>-5294.06</v>
      </c>
      <c r="R24" s="27" t="str">
        <f t="shared" si="8"/>
        <v>▼ WORSE</v>
      </c>
      <c r="S24" s="46">
        <f t="shared" si="9"/>
        <v>152</v>
      </c>
      <c r="T24" s="44">
        <f t="shared" si="10"/>
        <v>432.35149999999999</v>
      </c>
      <c r="U24" s="46">
        <f t="shared" si="11"/>
        <v>112</v>
      </c>
      <c r="V24" s="47">
        <f>Assumptions!$C$4</f>
        <v>7.0000000000000007E-2</v>
      </c>
      <c r="W24" s="44">
        <f>IFERROR(C24*(1-Assumptions!$C$4),C24)</f>
        <v>235.02029999999999</v>
      </c>
      <c r="X24" s="44">
        <f>IFERROR((J24-C24*(1-Assumptions!$C$4))*K24,N24)</f>
        <v>2599.1880000000001</v>
      </c>
      <c r="Y24" s="44">
        <f t="shared" si="12"/>
        <v>-4586.4719999999998</v>
      </c>
      <c r="Z24" s="44">
        <f>IFERROR(C24*Assumptions!$C$4*K24,0)</f>
        <v>707.58800000000008</v>
      </c>
      <c r="AA24" s="48">
        <f t="shared" si="13"/>
        <v>0.52372878002453405</v>
      </c>
      <c r="AB24" s="27" t="str">
        <f t="shared" si="14"/>
        <v>▼ WORSE</v>
      </c>
    </row>
    <row r="25" spans="1:28" ht="18" customHeight="1">
      <c r="A25" s="41">
        <v>8978757431</v>
      </c>
      <c r="B25" s="41" t="s">
        <v>163</v>
      </c>
      <c r="C25" s="42">
        <v>252.71</v>
      </c>
      <c r="D25" s="42">
        <v>427.97</v>
      </c>
      <c r="E25" s="43">
        <v>40</v>
      </c>
      <c r="F25" s="42">
        <v>17118.8</v>
      </c>
      <c r="G25" s="42">
        <v>10108.4</v>
      </c>
      <c r="H25" s="44">
        <f t="shared" si="0"/>
        <v>7010.4</v>
      </c>
      <c r="I25" s="45">
        <f t="shared" si="1"/>
        <v>0.40951468560880433</v>
      </c>
      <c r="J25" s="42">
        <v>300</v>
      </c>
      <c r="K25" s="43">
        <v>40</v>
      </c>
      <c r="L25" s="44">
        <f t="shared" si="2"/>
        <v>12000</v>
      </c>
      <c r="M25" s="44">
        <f t="shared" si="3"/>
        <v>47.289999999999992</v>
      </c>
      <c r="N25" s="44">
        <f t="shared" si="4"/>
        <v>1891.5999999999997</v>
      </c>
      <c r="O25" s="45">
        <f t="shared" si="5"/>
        <v>0.15763333333333332</v>
      </c>
      <c r="P25" s="44">
        <f t="shared" si="6"/>
        <v>-5118.7999999999993</v>
      </c>
      <c r="Q25" s="44">
        <f t="shared" si="7"/>
        <v>-5118.8</v>
      </c>
      <c r="R25" s="27" t="str">
        <f t="shared" si="8"/>
        <v>▼ WORSE</v>
      </c>
      <c r="S25" s="46">
        <f t="shared" si="9"/>
        <v>149</v>
      </c>
      <c r="T25" s="44">
        <f t="shared" si="10"/>
        <v>427.97</v>
      </c>
      <c r="U25" s="46">
        <f t="shared" si="11"/>
        <v>109</v>
      </c>
      <c r="V25" s="47">
        <f>Assumptions!$C$4</f>
        <v>7.0000000000000007E-2</v>
      </c>
      <c r="W25" s="44">
        <f>IFERROR(C25*(1-Assumptions!$C$4),C25)</f>
        <v>235.02029999999999</v>
      </c>
      <c r="X25" s="44">
        <f>IFERROR((J25-C25*(1-Assumptions!$C$4))*K25,N25)</f>
        <v>2599.1880000000001</v>
      </c>
      <c r="Y25" s="44">
        <f t="shared" si="12"/>
        <v>-4411.2119999999995</v>
      </c>
      <c r="Z25" s="44">
        <f>IFERROR(C25*Assumptions!$C$4*K25,0)</f>
        <v>707.58800000000008</v>
      </c>
      <c r="AA25" s="48">
        <f t="shared" si="13"/>
        <v>0.50639072454592216</v>
      </c>
      <c r="AB25" s="27" t="str">
        <f t="shared" si="14"/>
        <v>▼ WORSE</v>
      </c>
    </row>
    <row r="26" spans="1:28" ht="18" customHeight="1">
      <c r="A26" s="41">
        <v>8978862230</v>
      </c>
      <c r="B26" s="41" t="s">
        <v>164</v>
      </c>
      <c r="C26" s="42">
        <v>21.71</v>
      </c>
      <c r="D26" s="42">
        <v>37.81</v>
      </c>
      <c r="E26" s="43">
        <v>40</v>
      </c>
      <c r="F26" s="42">
        <v>1512.4</v>
      </c>
      <c r="G26" s="42">
        <v>868.4</v>
      </c>
      <c r="H26" s="44">
        <f t="shared" si="0"/>
        <v>644.00000000000011</v>
      </c>
      <c r="I26" s="45">
        <f t="shared" si="1"/>
        <v>0.42581327691087018</v>
      </c>
      <c r="J26" s="42">
        <v>30</v>
      </c>
      <c r="K26" s="43">
        <v>20</v>
      </c>
      <c r="L26" s="44">
        <f t="shared" si="2"/>
        <v>600</v>
      </c>
      <c r="M26" s="44">
        <f t="shared" si="3"/>
        <v>8.2899999999999991</v>
      </c>
      <c r="N26" s="44">
        <f t="shared" si="4"/>
        <v>165.79999999999998</v>
      </c>
      <c r="O26" s="45">
        <f t="shared" si="5"/>
        <v>0.27633333333333332</v>
      </c>
      <c r="P26" s="44">
        <f t="shared" si="6"/>
        <v>-912.40000000000009</v>
      </c>
      <c r="Q26" s="44">
        <f t="shared" si="7"/>
        <v>-478.20000000000016</v>
      </c>
      <c r="R26" s="27" t="str">
        <f t="shared" si="8"/>
        <v>▼ WORSE</v>
      </c>
      <c r="S26" s="46">
        <f t="shared" si="9"/>
        <v>78</v>
      </c>
      <c r="T26" s="44">
        <f t="shared" si="10"/>
        <v>53.910000000000004</v>
      </c>
      <c r="U26" s="46">
        <f t="shared" si="11"/>
        <v>58</v>
      </c>
      <c r="V26" s="47">
        <f>Assumptions!$C$4</f>
        <v>7.0000000000000007E-2</v>
      </c>
      <c r="W26" s="44">
        <f>IFERROR(C26*(1-Assumptions!$C$4),C26)</f>
        <v>20.190300000000001</v>
      </c>
      <c r="X26" s="44">
        <f>IFERROR((J26-C26*(1-Assumptions!$C$4))*K26,N26)</f>
        <v>196.19399999999999</v>
      </c>
      <c r="Y26" s="44">
        <f t="shared" si="12"/>
        <v>-447.80600000000015</v>
      </c>
      <c r="Z26" s="44">
        <f>IFERROR(C26*Assumptions!$C$4*K26,0)</f>
        <v>30.394000000000005</v>
      </c>
      <c r="AA26" s="48">
        <f t="shared" si="13"/>
        <v>1.1013357899585445</v>
      </c>
      <c r="AB26" s="27" t="str">
        <f t="shared" si="14"/>
        <v>▼ WORSE</v>
      </c>
    </row>
    <row r="27" spans="1:28" ht="18" customHeight="1">
      <c r="A27" s="41">
        <v>8980023462</v>
      </c>
      <c r="B27" s="41" t="s">
        <v>165</v>
      </c>
      <c r="C27" s="42">
        <v>6.15</v>
      </c>
      <c r="D27" s="42">
        <v>11.25</v>
      </c>
      <c r="E27" s="43">
        <v>600</v>
      </c>
      <c r="F27" s="42">
        <v>6750</v>
      </c>
      <c r="G27" s="42">
        <v>3690</v>
      </c>
      <c r="H27" s="44">
        <f t="shared" si="0"/>
        <v>3060</v>
      </c>
      <c r="I27" s="45">
        <f t="shared" si="1"/>
        <v>0.45333333333333331</v>
      </c>
      <c r="J27" s="42">
        <v>5</v>
      </c>
      <c r="K27" s="43">
        <v>1200</v>
      </c>
      <c r="L27" s="44">
        <f t="shared" si="2"/>
        <v>6000</v>
      </c>
      <c r="M27" s="44">
        <f t="shared" si="3"/>
        <v>-1.1500000000000004</v>
      </c>
      <c r="N27" s="44">
        <f t="shared" si="4"/>
        <v>-1380.0000000000005</v>
      </c>
      <c r="O27" s="45">
        <f t="shared" si="5"/>
        <v>-0.23000000000000007</v>
      </c>
      <c r="P27" s="44">
        <f t="shared" si="6"/>
        <v>-750</v>
      </c>
      <c r="Q27" s="44">
        <f t="shared" si="7"/>
        <v>-4440</v>
      </c>
      <c r="R27" s="27" t="str">
        <f t="shared" si="8"/>
        <v>▼ WORSE</v>
      </c>
      <c r="S27" s="46" t="str">
        <f t="shared" si="9"/>
        <v>BELOW COST</v>
      </c>
      <c r="T27" s="44">
        <f t="shared" si="10"/>
        <v>8.6999999999999993</v>
      </c>
      <c r="U27" s="46">
        <f t="shared" si="11"/>
        <v>0</v>
      </c>
      <c r="V27" s="47">
        <f>Assumptions!$C$4</f>
        <v>7.0000000000000007E-2</v>
      </c>
      <c r="W27" s="44">
        <f>IFERROR(C27*(1-Assumptions!$C$4),C27)</f>
        <v>5.7195</v>
      </c>
      <c r="X27" s="44">
        <f>IFERROR((J27-C27*(1-Assumptions!$C$4))*K27,N27)</f>
        <v>-863.40000000000009</v>
      </c>
      <c r="Y27" s="44">
        <f t="shared" si="12"/>
        <v>-3923.4</v>
      </c>
      <c r="Z27" s="44">
        <f>IFERROR(C27*Assumptions!$C$4*K27,0)</f>
        <v>516.6</v>
      </c>
      <c r="AA27" s="48">
        <f t="shared" si="13"/>
        <v>0.60162601626016254</v>
      </c>
      <c r="AB27" s="27" t="str">
        <f t="shared" si="14"/>
        <v>▼ WORSE</v>
      </c>
    </row>
    <row r="28" spans="1:28" ht="18" customHeight="1">
      <c r="A28" s="41">
        <v>8980067942</v>
      </c>
      <c r="B28" s="41" t="s">
        <v>147</v>
      </c>
      <c r="C28" s="42">
        <v>31.45</v>
      </c>
      <c r="D28" s="42">
        <v>57.58</v>
      </c>
      <c r="E28" s="43">
        <v>380</v>
      </c>
      <c r="F28" s="42">
        <v>21880.400000000001</v>
      </c>
      <c r="G28" s="42">
        <v>11951</v>
      </c>
      <c r="H28" s="44">
        <f t="shared" si="0"/>
        <v>9929.4000000000015</v>
      </c>
      <c r="I28" s="45">
        <f t="shared" si="1"/>
        <v>0.45380340395970825</v>
      </c>
      <c r="J28" s="42">
        <v>40</v>
      </c>
      <c r="K28" s="43">
        <v>460</v>
      </c>
      <c r="L28" s="44">
        <f t="shared" si="2"/>
        <v>18400</v>
      </c>
      <c r="M28" s="44">
        <f t="shared" si="3"/>
        <v>8.5500000000000007</v>
      </c>
      <c r="N28" s="44">
        <f t="shared" si="4"/>
        <v>3933.0000000000005</v>
      </c>
      <c r="O28" s="45">
        <f t="shared" si="5"/>
        <v>0.21375000000000002</v>
      </c>
      <c r="P28" s="44">
        <f t="shared" si="6"/>
        <v>-3480.4000000000015</v>
      </c>
      <c r="Q28" s="44">
        <f t="shared" si="7"/>
        <v>-5996.4000000000015</v>
      </c>
      <c r="R28" s="27" t="str">
        <f t="shared" si="8"/>
        <v>▼ WORSE</v>
      </c>
      <c r="S28" s="46">
        <f t="shared" si="9"/>
        <v>1162</v>
      </c>
      <c r="T28" s="44">
        <f t="shared" si="10"/>
        <v>53.03565217391305</v>
      </c>
      <c r="U28" s="46">
        <f t="shared" si="11"/>
        <v>702</v>
      </c>
      <c r="V28" s="47">
        <f>Assumptions!$C$4</f>
        <v>7.0000000000000007E-2</v>
      </c>
      <c r="W28" s="44">
        <f>IFERROR(C28*(1-Assumptions!$C$4),C28)</f>
        <v>29.248499999999996</v>
      </c>
      <c r="X28" s="44">
        <f>IFERROR((J28-C28*(1-Assumptions!$C$4))*K28,N28)</f>
        <v>4945.6900000000014</v>
      </c>
      <c r="Y28" s="44">
        <f t="shared" si="12"/>
        <v>-4983.71</v>
      </c>
      <c r="Z28" s="44">
        <f>IFERROR(C28*Assumptions!$C$4*K28,0)</f>
        <v>1012.69</v>
      </c>
      <c r="AA28" s="48">
        <f t="shared" si="13"/>
        <v>0.41448814543443713</v>
      </c>
      <c r="AB28" s="27" t="str">
        <f t="shared" si="14"/>
        <v>▼ WORSE</v>
      </c>
    </row>
    <row r="29" spans="1:28" ht="18" customHeight="1">
      <c r="A29" s="41">
        <v>8980252486</v>
      </c>
      <c r="B29" s="41" t="s">
        <v>166</v>
      </c>
      <c r="C29" s="42">
        <v>121.61</v>
      </c>
      <c r="D29" s="42">
        <v>222.62</v>
      </c>
      <c r="E29" s="43">
        <v>145</v>
      </c>
      <c r="F29" s="42">
        <v>32279.9</v>
      </c>
      <c r="G29" s="42">
        <v>17633.45</v>
      </c>
      <c r="H29" s="44">
        <f t="shared" si="0"/>
        <v>14646.45</v>
      </c>
      <c r="I29" s="45">
        <f t="shared" si="1"/>
        <v>0.45373281825532297</v>
      </c>
      <c r="J29" s="42">
        <v>145</v>
      </c>
      <c r="K29" s="43">
        <v>200</v>
      </c>
      <c r="L29" s="44">
        <f t="shared" si="2"/>
        <v>29000</v>
      </c>
      <c r="M29" s="44">
        <f t="shared" si="3"/>
        <v>23.39</v>
      </c>
      <c r="N29" s="44">
        <f t="shared" si="4"/>
        <v>4678</v>
      </c>
      <c r="O29" s="45">
        <f t="shared" si="5"/>
        <v>0.16131034482758622</v>
      </c>
      <c r="P29" s="44">
        <f t="shared" si="6"/>
        <v>-3279.9000000000015</v>
      </c>
      <c r="Q29" s="44">
        <f t="shared" si="7"/>
        <v>-9968.4500000000007</v>
      </c>
      <c r="R29" s="27" t="str">
        <f t="shared" si="8"/>
        <v>▼ WORSE</v>
      </c>
      <c r="S29" s="46">
        <f t="shared" si="9"/>
        <v>627</v>
      </c>
      <c r="T29" s="44">
        <f t="shared" si="10"/>
        <v>194.84225000000001</v>
      </c>
      <c r="U29" s="46">
        <f t="shared" si="11"/>
        <v>427</v>
      </c>
      <c r="V29" s="47">
        <f>Assumptions!$C$4</f>
        <v>7.0000000000000007E-2</v>
      </c>
      <c r="W29" s="44">
        <f>IFERROR(C29*(1-Assumptions!$C$4),C29)</f>
        <v>113.09729999999999</v>
      </c>
      <c r="X29" s="44">
        <f>IFERROR((J29-C29*(1-Assumptions!$C$4))*K29,N29)</f>
        <v>6380.5400000000018</v>
      </c>
      <c r="Y29" s="44">
        <f t="shared" si="12"/>
        <v>-8265.91</v>
      </c>
      <c r="Z29" s="44">
        <f>IFERROR(C29*Assumptions!$C$4*K29,0)</f>
        <v>1702.5400000000002</v>
      </c>
      <c r="AA29" s="48">
        <f t="shared" si="13"/>
        <v>0.40985321930762275</v>
      </c>
      <c r="AB29" s="27" t="str">
        <f t="shared" si="14"/>
        <v>▼ WORSE</v>
      </c>
    </row>
    <row r="30" spans="1:28" ht="18" customHeight="1">
      <c r="A30" s="41">
        <v>8980253080</v>
      </c>
      <c r="B30" s="41" t="s">
        <v>167</v>
      </c>
      <c r="C30" s="42">
        <v>19.05</v>
      </c>
      <c r="D30" s="42">
        <v>32.26</v>
      </c>
      <c r="E30" s="43">
        <v>10</v>
      </c>
      <c r="F30" s="42">
        <v>322.60000000000002</v>
      </c>
      <c r="G30" s="42">
        <v>190.5</v>
      </c>
      <c r="H30" s="44">
        <f t="shared" si="0"/>
        <v>132.10000000000002</v>
      </c>
      <c r="I30" s="45">
        <f t="shared" si="1"/>
        <v>0.40948543087414757</v>
      </c>
      <c r="J30" s="42">
        <v>25</v>
      </c>
      <c r="K30" s="43">
        <v>50</v>
      </c>
      <c r="L30" s="44">
        <f t="shared" si="2"/>
        <v>1250</v>
      </c>
      <c r="M30" s="44">
        <f t="shared" si="3"/>
        <v>5.9499999999999993</v>
      </c>
      <c r="N30" s="44">
        <f t="shared" si="4"/>
        <v>297.49999999999994</v>
      </c>
      <c r="O30" s="45">
        <f t="shared" si="5"/>
        <v>0.23799999999999996</v>
      </c>
      <c r="P30" s="44">
        <f t="shared" si="6"/>
        <v>927.4</v>
      </c>
      <c r="Q30" s="44">
        <f t="shared" si="7"/>
        <v>165.39999999999992</v>
      </c>
      <c r="R30" s="27" t="str">
        <f t="shared" si="8"/>
        <v>▲ BETTER</v>
      </c>
      <c r="S30" s="46">
        <f t="shared" si="9"/>
        <v>23</v>
      </c>
      <c r="T30" s="44">
        <f t="shared" si="10"/>
        <v>21.692</v>
      </c>
      <c r="U30" s="46">
        <f t="shared" si="11"/>
        <v>0</v>
      </c>
      <c r="V30" s="47">
        <f>Assumptions!$C$4</f>
        <v>7.0000000000000007E-2</v>
      </c>
      <c r="W30" s="44">
        <f>IFERROR(C30*(1-Assumptions!$C$4),C30)</f>
        <v>17.7165</v>
      </c>
      <c r="X30" s="44">
        <f>IFERROR((J30-C30*(1-Assumptions!$C$4))*K30,N30)</f>
        <v>364.17500000000001</v>
      </c>
      <c r="Y30" s="44">
        <f t="shared" si="12"/>
        <v>232.07499999999999</v>
      </c>
      <c r="Z30" s="44">
        <f>IFERROR(C30*Assumptions!$C$4*K30,0)</f>
        <v>66.675000000000011</v>
      </c>
      <c r="AA30" s="48">
        <f t="shared" si="13"/>
        <v>0</v>
      </c>
      <c r="AB30" s="27" t="str">
        <f t="shared" si="14"/>
        <v>▲ BETTER</v>
      </c>
    </row>
    <row r="31" spans="1:28" ht="18" customHeight="1">
      <c r="A31" s="41">
        <v>8980435960</v>
      </c>
      <c r="B31" s="41" t="s">
        <v>168</v>
      </c>
      <c r="C31" s="42">
        <v>20.190000000000001</v>
      </c>
      <c r="D31" s="42">
        <v>36.96</v>
      </c>
      <c r="E31" s="43">
        <v>85</v>
      </c>
      <c r="F31" s="42">
        <v>3141.6</v>
      </c>
      <c r="G31" s="42">
        <v>1716.15</v>
      </c>
      <c r="H31" s="44">
        <f t="shared" si="0"/>
        <v>1425.4499999999998</v>
      </c>
      <c r="I31" s="45">
        <f t="shared" si="1"/>
        <v>0.45373376623376621</v>
      </c>
      <c r="J31" s="42">
        <v>26</v>
      </c>
      <c r="K31" s="43">
        <v>100</v>
      </c>
      <c r="L31" s="44">
        <f t="shared" si="2"/>
        <v>2600</v>
      </c>
      <c r="M31" s="44">
        <f t="shared" si="3"/>
        <v>5.8099999999999987</v>
      </c>
      <c r="N31" s="44">
        <f t="shared" si="4"/>
        <v>580.99999999999989</v>
      </c>
      <c r="O31" s="45">
        <f t="shared" si="5"/>
        <v>0.22346153846153841</v>
      </c>
      <c r="P31" s="44">
        <f t="shared" si="6"/>
        <v>-541.59999999999991</v>
      </c>
      <c r="Q31" s="44">
        <f t="shared" si="7"/>
        <v>-844.44999999999993</v>
      </c>
      <c r="R31" s="27" t="str">
        <f t="shared" si="8"/>
        <v>▼ WORSE</v>
      </c>
      <c r="S31" s="46">
        <f t="shared" si="9"/>
        <v>246</v>
      </c>
      <c r="T31" s="44">
        <f t="shared" si="10"/>
        <v>34.444499999999998</v>
      </c>
      <c r="U31" s="46">
        <f t="shared" si="11"/>
        <v>146</v>
      </c>
      <c r="V31" s="47">
        <f>Assumptions!$C$4</f>
        <v>7.0000000000000007E-2</v>
      </c>
      <c r="W31" s="44">
        <f>IFERROR(C31*(1-Assumptions!$C$4),C31)</f>
        <v>18.776699999999998</v>
      </c>
      <c r="X31" s="44">
        <f>IFERROR((J31-C31*(1-Assumptions!$C$4))*K31,N31)</f>
        <v>722.33000000000015</v>
      </c>
      <c r="Y31" s="44">
        <f t="shared" si="12"/>
        <v>-703.11999999999966</v>
      </c>
      <c r="Z31" s="44">
        <f>IFERROR(C31*Assumptions!$C$4*K31,0)</f>
        <v>141.33000000000001</v>
      </c>
      <c r="AA31" s="48">
        <f t="shared" si="13"/>
        <v>0.41825160970777608</v>
      </c>
      <c r="AB31" s="27" t="str">
        <f t="shared" si="14"/>
        <v>▼ WORSE</v>
      </c>
    </row>
    <row r="32" spans="1:28" ht="18" customHeight="1">
      <c r="A32" s="41">
        <v>8980896771</v>
      </c>
      <c r="B32" s="41" t="s">
        <v>169</v>
      </c>
      <c r="C32" s="42">
        <v>14.92</v>
      </c>
      <c r="D32" s="42">
        <v>25.27</v>
      </c>
      <c r="E32" s="43">
        <v>110</v>
      </c>
      <c r="F32" s="42">
        <v>2779.7</v>
      </c>
      <c r="G32" s="42">
        <v>1641.2</v>
      </c>
      <c r="H32" s="44">
        <f t="shared" si="0"/>
        <v>1138.4999999999998</v>
      </c>
      <c r="I32" s="45">
        <f t="shared" si="1"/>
        <v>0.40957657301147599</v>
      </c>
      <c r="J32" s="42">
        <v>20</v>
      </c>
      <c r="K32" s="43">
        <v>120</v>
      </c>
      <c r="L32" s="44">
        <f t="shared" si="2"/>
        <v>2400</v>
      </c>
      <c r="M32" s="44">
        <f t="shared" si="3"/>
        <v>5.08</v>
      </c>
      <c r="N32" s="44">
        <f t="shared" si="4"/>
        <v>609.6</v>
      </c>
      <c r="O32" s="45">
        <f t="shared" si="5"/>
        <v>0.254</v>
      </c>
      <c r="P32" s="44">
        <f t="shared" si="6"/>
        <v>-379.69999999999982</v>
      </c>
      <c r="Q32" s="44">
        <f t="shared" si="7"/>
        <v>-528.89999999999975</v>
      </c>
      <c r="R32" s="27" t="str">
        <f t="shared" si="8"/>
        <v>▼ WORSE</v>
      </c>
      <c r="S32" s="46">
        <f t="shared" si="9"/>
        <v>225</v>
      </c>
      <c r="T32" s="44">
        <f t="shared" si="10"/>
        <v>24.407499999999999</v>
      </c>
      <c r="U32" s="46">
        <f t="shared" si="11"/>
        <v>105</v>
      </c>
      <c r="V32" s="47">
        <f>Assumptions!$C$4</f>
        <v>7.0000000000000007E-2</v>
      </c>
      <c r="W32" s="44">
        <f>IFERROR(C32*(1-Assumptions!$C$4),C32)</f>
        <v>13.875599999999999</v>
      </c>
      <c r="X32" s="44">
        <f>IFERROR((J32-C32*(1-Assumptions!$C$4))*K32,N32)</f>
        <v>734.92800000000011</v>
      </c>
      <c r="Y32" s="44">
        <f t="shared" si="12"/>
        <v>-403.57199999999966</v>
      </c>
      <c r="Z32" s="44">
        <f>IFERROR(C32*Assumptions!$C$4*K32,0)</f>
        <v>125.328</v>
      </c>
      <c r="AA32" s="48">
        <f t="shared" si="13"/>
        <v>0.2954088471849865</v>
      </c>
      <c r="AB32" s="27" t="str">
        <f t="shared" si="14"/>
        <v>▼ WORSE</v>
      </c>
    </row>
    <row r="33" spans="1:28" ht="18" customHeight="1">
      <c r="A33" s="41">
        <v>8980982575</v>
      </c>
      <c r="B33" s="41" t="s">
        <v>170</v>
      </c>
      <c r="C33" s="42">
        <v>40.42</v>
      </c>
      <c r="D33" s="42">
        <v>73.989999999999995</v>
      </c>
      <c r="E33" s="43">
        <v>180</v>
      </c>
      <c r="F33" s="42">
        <v>13318.2</v>
      </c>
      <c r="G33" s="42">
        <v>7275.6</v>
      </c>
      <c r="H33" s="44">
        <f t="shared" si="0"/>
        <v>6042.6</v>
      </c>
      <c r="I33" s="45">
        <f t="shared" si="1"/>
        <v>0.45370996080551423</v>
      </c>
      <c r="J33" s="42">
        <v>68</v>
      </c>
      <c r="K33" s="43">
        <v>200</v>
      </c>
      <c r="L33" s="44">
        <f t="shared" si="2"/>
        <v>13600</v>
      </c>
      <c r="M33" s="44">
        <f t="shared" si="3"/>
        <v>27.58</v>
      </c>
      <c r="N33" s="44">
        <f t="shared" si="4"/>
        <v>5516</v>
      </c>
      <c r="O33" s="45">
        <f t="shared" si="5"/>
        <v>0.40558823529411764</v>
      </c>
      <c r="P33" s="44">
        <f t="shared" si="6"/>
        <v>281.79999999999927</v>
      </c>
      <c r="Q33" s="44">
        <f t="shared" si="7"/>
        <v>-526.60000000000036</v>
      </c>
      <c r="R33" s="27" t="str">
        <f t="shared" si="8"/>
        <v>▼ WORSE</v>
      </c>
      <c r="S33" s="46">
        <f t="shared" si="9"/>
        <v>220</v>
      </c>
      <c r="T33" s="44">
        <f t="shared" si="10"/>
        <v>70.63300000000001</v>
      </c>
      <c r="U33" s="46">
        <f t="shared" si="11"/>
        <v>20</v>
      </c>
      <c r="V33" s="47">
        <f>Assumptions!$C$4</f>
        <v>7.0000000000000007E-2</v>
      </c>
      <c r="W33" s="44">
        <f>IFERROR(C33*(1-Assumptions!$C$4),C33)</f>
        <v>37.590600000000002</v>
      </c>
      <c r="X33" s="44">
        <f>IFERROR((J33-C33*(1-Assumptions!$C$4))*K33,N33)</f>
        <v>6081.8799999999992</v>
      </c>
      <c r="Y33" s="44">
        <f t="shared" si="12"/>
        <v>39.279999999998836</v>
      </c>
      <c r="Z33" s="44">
        <f>IFERROR(C33*Assumptions!$C$4*K33,0)</f>
        <v>565.88000000000011</v>
      </c>
      <c r="AA33" s="48">
        <f t="shared" si="13"/>
        <v>6.5141019297377589E-2</v>
      </c>
      <c r="AB33" s="27" t="str">
        <f t="shared" si="14"/>
        <v>▲ BETTER</v>
      </c>
    </row>
    <row r="34" spans="1:28" ht="18" customHeight="1">
      <c r="A34" s="41">
        <v>8981065790</v>
      </c>
      <c r="B34" s="41" t="s">
        <v>165</v>
      </c>
      <c r="C34" s="42">
        <v>4.2300000000000004</v>
      </c>
      <c r="D34" s="42">
        <v>7.74</v>
      </c>
      <c r="E34" s="43">
        <v>4220</v>
      </c>
      <c r="F34" s="42">
        <v>32662.799999999999</v>
      </c>
      <c r="G34" s="42">
        <v>17850.599999999999</v>
      </c>
      <c r="H34" s="44">
        <f t="shared" si="0"/>
        <v>14812.2</v>
      </c>
      <c r="I34" s="45">
        <f t="shared" si="1"/>
        <v>0.45348837209302328</v>
      </c>
      <c r="J34" s="42">
        <v>4.9000000000000004</v>
      </c>
      <c r="K34" s="43">
        <v>2600</v>
      </c>
      <c r="L34" s="44">
        <f t="shared" si="2"/>
        <v>12740.000000000002</v>
      </c>
      <c r="M34" s="44">
        <f t="shared" si="3"/>
        <v>0.66999999999999993</v>
      </c>
      <c r="N34" s="44">
        <f t="shared" si="4"/>
        <v>1741.9999999999998</v>
      </c>
      <c r="O34" s="45">
        <f t="shared" si="5"/>
        <v>0.13673469387755099</v>
      </c>
      <c r="P34" s="44">
        <f t="shared" si="6"/>
        <v>-19922.799999999996</v>
      </c>
      <c r="Q34" s="44">
        <f t="shared" si="7"/>
        <v>-13070.2</v>
      </c>
      <c r="R34" s="27" t="str">
        <f t="shared" si="8"/>
        <v>▼ WORSE</v>
      </c>
      <c r="S34" s="46">
        <f t="shared" si="9"/>
        <v>22108</v>
      </c>
      <c r="T34" s="44">
        <f t="shared" si="10"/>
        <v>9.9269999999999996</v>
      </c>
      <c r="U34" s="46">
        <f t="shared" si="11"/>
        <v>19508</v>
      </c>
      <c r="V34" s="47">
        <f>Assumptions!$C$4</f>
        <v>7.0000000000000007E-2</v>
      </c>
      <c r="W34" s="44">
        <f>IFERROR(C34*(1-Assumptions!$C$4),C34)</f>
        <v>3.9339</v>
      </c>
      <c r="X34" s="44">
        <f>IFERROR((J34-C34*(1-Assumptions!$C$4))*K34,N34)</f>
        <v>2511.860000000001</v>
      </c>
      <c r="Y34" s="44">
        <f t="shared" si="12"/>
        <v>-12300.34</v>
      </c>
      <c r="Z34" s="44">
        <f>IFERROR(C34*Assumptions!$C$4*K34,0)</f>
        <v>769.86000000000024</v>
      </c>
      <c r="AA34" s="48">
        <f t="shared" si="13"/>
        <v>1.1884160756501181</v>
      </c>
      <c r="AB34" s="27" t="str">
        <f t="shared" si="14"/>
        <v>▼ WORSE</v>
      </c>
    </row>
    <row r="35" spans="1:28" ht="18" customHeight="1">
      <c r="A35" s="41">
        <v>8981454841</v>
      </c>
      <c r="B35" s="41" t="s">
        <v>171</v>
      </c>
      <c r="C35" s="42">
        <v>44.34</v>
      </c>
      <c r="D35" s="42">
        <v>81.17</v>
      </c>
      <c r="E35" s="43">
        <v>4</v>
      </c>
      <c r="F35" s="42">
        <v>324.68</v>
      </c>
      <c r="G35" s="42">
        <v>177.36</v>
      </c>
      <c r="H35" s="44">
        <f t="shared" si="0"/>
        <v>147.32</v>
      </c>
      <c r="I35" s="45">
        <f t="shared" si="1"/>
        <v>0.4537390661574473</v>
      </c>
      <c r="J35" s="42">
        <v>70</v>
      </c>
      <c r="K35" s="43">
        <v>40</v>
      </c>
      <c r="L35" s="44">
        <f t="shared" si="2"/>
        <v>2800</v>
      </c>
      <c r="M35" s="44">
        <f t="shared" si="3"/>
        <v>25.659999999999997</v>
      </c>
      <c r="N35" s="44">
        <f t="shared" si="4"/>
        <v>1026.3999999999999</v>
      </c>
      <c r="O35" s="45">
        <f t="shared" si="5"/>
        <v>0.36657142857142855</v>
      </c>
      <c r="P35" s="44">
        <f t="shared" si="6"/>
        <v>2475.3200000000002</v>
      </c>
      <c r="Q35" s="44">
        <f t="shared" si="7"/>
        <v>879.07999999999993</v>
      </c>
      <c r="R35" s="27" t="str">
        <f t="shared" si="8"/>
        <v>▲ BETTER</v>
      </c>
      <c r="S35" s="46">
        <f t="shared" si="9"/>
        <v>6</v>
      </c>
      <c r="T35" s="44">
        <f t="shared" si="10"/>
        <v>48.023000000000003</v>
      </c>
      <c r="U35" s="46">
        <f t="shared" si="11"/>
        <v>0</v>
      </c>
      <c r="V35" s="47">
        <f>Assumptions!$C$4</f>
        <v>7.0000000000000007E-2</v>
      </c>
      <c r="W35" s="44">
        <f>IFERROR(C35*(1-Assumptions!$C$4),C35)</f>
        <v>41.236200000000004</v>
      </c>
      <c r="X35" s="44">
        <f>IFERROR((J35-C35*(1-Assumptions!$C$4))*K35,N35)</f>
        <v>1150.5519999999999</v>
      </c>
      <c r="Y35" s="44">
        <f t="shared" si="12"/>
        <v>1003.232</v>
      </c>
      <c r="Z35" s="44">
        <f>IFERROR(C35*Assumptions!$C$4*K35,0)</f>
        <v>124.15200000000002</v>
      </c>
      <c r="AA35" s="48">
        <f t="shared" si="13"/>
        <v>0</v>
      </c>
      <c r="AB35" s="27" t="str">
        <f t="shared" si="14"/>
        <v>▲ BETTER</v>
      </c>
    </row>
    <row r="36" spans="1:28" ht="18" customHeight="1">
      <c r="A36" s="41">
        <v>8981455011</v>
      </c>
      <c r="B36" s="41" t="s">
        <v>171</v>
      </c>
      <c r="C36" s="42">
        <v>27.78</v>
      </c>
      <c r="D36" s="42">
        <v>50.86</v>
      </c>
      <c r="E36" s="43">
        <v>260</v>
      </c>
      <c r="F36" s="42">
        <v>13223.6</v>
      </c>
      <c r="G36" s="42">
        <v>7222.8</v>
      </c>
      <c r="H36" s="44">
        <f t="shared" si="0"/>
        <v>6000.8</v>
      </c>
      <c r="I36" s="45">
        <f t="shared" si="1"/>
        <v>0.45379473063311049</v>
      </c>
      <c r="J36" s="42">
        <v>40</v>
      </c>
      <c r="K36" s="43">
        <v>310</v>
      </c>
      <c r="L36" s="44">
        <f t="shared" si="2"/>
        <v>12400</v>
      </c>
      <c r="M36" s="44">
        <f t="shared" si="3"/>
        <v>12.219999999999999</v>
      </c>
      <c r="N36" s="44">
        <f t="shared" si="4"/>
        <v>3788.2</v>
      </c>
      <c r="O36" s="45">
        <f t="shared" si="5"/>
        <v>0.30549999999999999</v>
      </c>
      <c r="P36" s="44">
        <f t="shared" si="6"/>
        <v>-823.60000000000036</v>
      </c>
      <c r="Q36" s="44">
        <f t="shared" si="7"/>
        <v>-2212.6000000000004</v>
      </c>
      <c r="R36" s="27" t="str">
        <f t="shared" si="8"/>
        <v>▼ WORSE</v>
      </c>
      <c r="S36" s="46">
        <f t="shared" si="9"/>
        <v>492</v>
      </c>
      <c r="T36" s="44">
        <f t="shared" si="10"/>
        <v>47.137419354838713</v>
      </c>
      <c r="U36" s="46">
        <f t="shared" si="11"/>
        <v>182</v>
      </c>
      <c r="V36" s="47">
        <f>Assumptions!$C$4</f>
        <v>7.0000000000000007E-2</v>
      </c>
      <c r="W36" s="44">
        <f>IFERROR(C36*(1-Assumptions!$C$4),C36)</f>
        <v>25.8354</v>
      </c>
      <c r="X36" s="44">
        <f>IFERROR((J36-C36*(1-Assumptions!$C$4))*K36,N36)</f>
        <v>4391.0259999999998</v>
      </c>
      <c r="Y36" s="44">
        <f t="shared" si="12"/>
        <v>-1609.7740000000003</v>
      </c>
      <c r="Z36" s="44">
        <f>IFERROR(C36*Assumptions!$C$4*K36,0)</f>
        <v>602.82600000000014</v>
      </c>
      <c r="AA36" s="48">
        <f t="shared" si="13"/>
        <v>0.25692654265078163</v>
      </c>
      <c r="AB36" s="27" t="str">
        <f t="shared" si="14"/>
        <v>▼ WORSE</v>
      </c>
    </row>
    <row r="37" spans="1:28" ht="18" customHeight="1">
      <c r="A37" s="41">
        <v>8982127181</v>
      </c>
      <c r="B37" s="41" t="s">
        <v>166</v>
      </c>
      <c r="C37" s="42">
        <v>121.61</v>
      </c>
      <c r="D37" s="42">
        <v>222.62</v>
      </c>
      <c r="E37" s="43">
        <v>55</v>
      </c>
      <c r="F37" s="42">
        <v>12244.1</v>
      </c>
      <c r="G37" s="42">
        <v>6688.55</v>
      </c>
      <c r="H37" s="44">
        <f t="shared" si="0"/>
        <v>5555.55</v>
      </c>
      <c r="I37" s="45">
        <f t="shared" si="1"/>
        <v>0.45373281825532297</v>
      </c>
      <c r="J37" s="42">
        <v>145</v>
      </c>
      <c r="K37" s="43">
        <v>200</v>
      </c>
      <c r="L37" s="44">
        <f t="shared" si="2"/>
        <v>29000</v>
      </c>
      <c r="M37" s="44">
        <f t="shared" si="3"/>
        <v>23.39</v>
      </c>
      <c r="N37" s="44">
        <f t="shared" si="4"/>
        <v>4678</v>
      </c>
      <c r="O37" s="45">
        <f t="shared" si="5"/>
        <v>0.16131034482758622</v>
      </c>
      <c r="P37" s="44">
        <f t="shared" si="6"/>
        <v>16755.900000000001</v>
      </c>
      <c r="Q37" s="44">
        <f t="shared" si="7"/>
        <v>-877.55000000000018</v>
      </c>
      <c r="R37" s="27" t="str">
        <f t="shared" si="8"/>
        <v>▼ WORSE</v>
      </c>
      <c r="S37" s="46">
        <f t="shared" si="9"/>
        <v>238</v>
      </c>
      <c r="T37" s="44">
        <f t="shared" si="10"/>
        <v>149.38775000000001</v>
      </c>
      <c r="U37" s="46">
        <f t="shared" si="11"/>
        <v>38</v>
      </c>
      <c r="V37" s="47">
        <f>Assumptions!$C$4</f>
        <v>7.0000000000000007E-2</v>
      </c>
      <c r="W37" s="44">
        <f>IFERROR(C37*(1-Assumptions!$C$4),C37)</f>
        <v>113.09729999999999</v>
      </c>
      <c r="X37" s="44">
        <f>IFERROR((J37-C37*(1-Assumptions!$C$4))*K37,N37)</f>
        <v>6380.5400000000018</v>
      </c>
      <c r="Y37" s="44">
        <f t="shared" si="12"/>
        <v>824.9900000000016</v>
      </c>
      <c r="Z37" s="44">
        <f>IFERROR(C37*Assumptions!$C$4*K37,0)</f>
        <v>1702.5400000000002</v>
      </c>
      <c r="AA37" s="48">
        <f t="shared" si="13"/>
        <v>3.6080503248088092E-2</v>
      </c>
      <c r="AB37" s="27" t="str">
        <f t="shared" si="14"/>
        <v>▲ BETTER</v>
      </c>
    </row>
    <row r="38" spans="1:28" ht="18" customHeight="1">
      <c r="A38" s="41">
        <v>8982236150</v>
      </c>
      <c r="B38" s="41" t="s">
        <v>159</v>
      </c>
      <c r="C38" s="42">
        <v>19.510000000000002</v>
      </c>
      <c r="D38" s="42">
        <v>33.03</v>
      </c>
      <c r="E38" s="43">
        <v>140</v>
      </c>
      <c r="F38" s="42">
        <v>4624.2</v>
      </c>
      <c r="G38" s="42">
        <v>2731.4</v>
      </c>
      <c r="H38" s="44">
        <f t="shared" ref="H38:H58" si="15">F38-G38</f>
        <v>1892.7999999999997</v>
      </c>
      <c r="I38" s="45">
        <f t="shared" ref="I38:I58" si="16">IFERROR(H38/F38,0)</f>
        <v>0.40932485619134118</v>
      </c>
      <c r="J38" s="42">
        <v>25</v>
      </c>
      <c r="K38" s="43">
        <v>110</v>
      </c>
      <c r="L38" s="44">
        <f t="shared" ref="L38:L58" si="17">J38*K38</f>
        <v>2750</v>
      </c>
      <c r="M38" s="44">
        <f t="shared" ref="M38:M58" si="18">J38-C38</f>
        <v>5.4899999999999984</v>
      </c>
      <c r="N38" s="44">
        <f t="shared" ref="N38:N58" si="19">M38*K38</f>
        <v>603.89999999999986</v>
      </c>
      <c r="O38" s="45">
        <f t="shared" ref="O38:O58" si="20">IFERROR(N38/L38,0)</f>
        <v>0.21959999999999996</v>
      </c>
      <c r="P38" s="44">
        <f t="shared" ref="P38:P58" si="21">L38-F38</f>
        <v>-1874.1999999999998</v>
      </c>
      <c r="Q38" s="44">
        <f t="shared" ref="Q38:Q58" si="22">N38-H38</f>
        <v>-1288.8999999999999</v>
      </c>
      <c r="R38" s="27" t="str">
        <f t="shared" ref="R38:R58" si="23">IF(Q38&gt;=0,"▲ BETTER","▼ WORSE")</f>
        <v>▼ WORSE</v>
      </c>
      <c r="S38" s="46">
        <f t="shared" ref="S38:S58" si="24">IFERROR(IF(J38-C38&lt;=0,"BELOW COST",CEILING(H38/(J38-C38),1)),"N/A")</f>
        <v>345</v>
      </c>
      <c r="T38" s="44">
        <f t="shared" ref="T38:T58" si="25">IFERROR(H38/K38+C38,"N/A")</f>
        <v>36.717272727272729</v>
      </c>
      <c r="U38" s="46">
        <f t="shared" ref="U38:U58" si="26">IFERROR(MAX(0,S38-K38),0)</f>
        <v>235</v>
      </c>
      <c r="V38" s="47">
        <f>Assumptions!$C$4</f>
        <v>7.0000000000000007E-2</v>
      </c>
      <c r="W38" s="44">
        <f>IFERROR(C38*(1-Assumptions!$C$4),C38)</f>
        <v>18.144300000000001</v>
      </c>
      <c r="X38" s="44">
        <f>IFERROR((J38-C38*(1-Assumptions!$C$4))*K38,N38)</f>
        <v>754.12699999999984</v>
      </c>
      <c r="Y38" s="44">
        <f t="shared" ref="Y38:Y58" si="27">IFERROR(X38-H38,N38-H38)</f>
        <v>-1138.6729999999998</v>
      </c>
      <c r="Z38" s="44">
        <f>IFERROR(C38*Assumptions!$C$4*K38,0)</f>
        <v>150.227</v>
      </c>
      <c r="AA38" s="48">
        <f t="shared" ref="AA38:AA58" si="28">IFERROR(MAX(0,1-(J38-H38/K38)/C38),"N/A")</f>
        <v>0.60057779227435804</v>
      </c>
      <c r="AB38" s="27" t="str">
        <f t="shared" ref="AB38:AB58" si="29">IFERROR(IF(Y38&gt;=0,"▲ BETTER","▼ WORSE"),"N/A")</f>
        <v>▼ WORSE</v>
      </c>
    </row>
    <row r="39" spans="1:28" ht="18" customHeight="1">
      <c r="A39" s="41">
        <v>8982236160</v>
      </c>
      <c r="B39" s="41" t="s">
        <v>159</v>
      </c>
      <c r="C39" s="42">
        <v>19.510000000000002</v>
      </c>
      <c r="D39" s="42">
        <v>33.03</v>
      </c>
      <c r="E39" s="43">
        <v>102</v>
      </c>
      <c r="F39" s="42">
        <v>3369.06</v>
      </c>
      <c r="G39" s="42">
        <v>1990.02</v>
      </c>
      <c r="H39" s="44">
        <f t="shared" si="15"/>
        <v>1379.04</v>
      </c>
      <c r="I39" s="45">
        <f t="shared" si="16"/>
        <v>0.40932485619134118</v>
      </c>
      <c r="J39" s="42">
        <v>25</v>
      </c>
      <c r="K39" s="43">
        <v>100</v>
      </c>
      <c r="L39" s="44">
        <f t="shared" si="17"/>
        <v>2500</v>
      </c>
      <c r="M39" s="44">
        <f t="shared" si="18"/>
        <v>5.4899999999999984</v>
      </c>
      <c r="N39" s="44">
        <f t="shared" si="19"/>
        <v>548.99999999999989</v>
      </c>
      <c r="O39" s="45">
        <f t="shared" si="20"/>
        <v>0.21959999999999996</v>
      </c>
      <c r="P39" s="44">
        <f t="shared" si="21"/>
        <v>-869.06</v>
      </c>
      <c r="Q39" s="44">
        <f t="shared" si="22"/>
        <v>-830.04000000000008</v>
      </c>
      <c r="R39" s="27" t="str">
        <f t="shared" si="23"/>
        <v>▼ WORSE</v>
      </c>
      <c r="S39" s="46">
        <f t="shared" si="24"/>
        <v>252</v>
      </c>
      <c r="T39" s="44">
        <f t="shared" si="25"/>
        <v>33.300400000000003</v>
      </c>
      <c r="U39" s="46">
        <f t="shared" si="26"/>
        <v>152</v>
      </c>
      <c r="V39" s="47">
        <f>Assumptions!$C$4</f>
        <v>7.0000000000000007E-2</v>
      </c>
      <c r="W39" s="44">
        <f>IFERROR(C39*(1-Assumptions!$C$4),C39)</f>
        <v>18.144300000000001</v>
      </c>
      <c r="X39" s="44">
        <f>IFERROR((J39-C39*(1-Assumptions!$C$4))*K39,N39)</f>
        <v>685.56999999999994</v>
      </c>
      <c r="Y39" s="44">
        <f t="shared" si="27"/>
        <v>-693.47</v>
      </c>
      <c r="Z39" s="44">
        <f>IFERROR(C39*Assumptions!$C$4*K39,0)</f>
        <v>136.57000000000002</v>
      </c>
      <c r="AA39" s="48">
        <f t="shared" si="28"/>
        <v>0.42544336237826763</v>
      </c>
      <c r="AB39" s="27" t="str">
        <f t="shared" si="29"/>
        <v>▼ WORSE</v>
      </c>
    </row>
    <row r="40" spans="1:28" ht="18" customHeight="1">
      <c r="A40" s="41">
        <v>8982263230</v>
      </c>
      <c r="B40" s="41" t="s">
        <v>172</v>
      </c>
      <c r="C40" s="42">
        <v>51.54</v>
      </c>
      <c r="D40" s="42">
        <v>87.29</v>
      </c>
      <c r="E40" s="43">
        <v>115</v>
      </c>
      <c r="F40" s="42">
        <v>10038.35</v>
      </c>
      <c r="G40" s="42">
        <v>5927.1</v>
      </c>
      <c r="H40" s="44">
        <f t="shared" si="15"/>
        <v>4111.25</v>
      </c>
      <c r="I40" s="45">
        <f t="shared" si="16"/>
        <v>0.409554359033108</v>
      </c>
      <c r="J40" s="42">
        <v>78</v>
      </c>
      <c r="K40" s="43">
        <v>330</v>
      </c>
      <c r="L40" s="44">
        <f t="shared" si="17"/>
        <v>25740</v>
      </c>
      <c r="M40" s="44">
        <f t="shared" si="18"/>
        <v>26.46</v>
      </c>
      <c r="N40" s="44">
        <f t="shared" si="19"/>
        <v>8731.8000000000011</v>
      </c>
      <c r="O40" s="45">
        <f t="shared" si="20"/>
        <v>0.33923076923076928</v>
      </c>
      <c r="P40" s="44">
        <f t="shared" si="21"/>
        <v>15701.65</v>
      </c>
      <c r="Q40" s="44">
        <f t="shared" si="22"/>
        <v>4620.5500000000011</v>
      </c>
      <c r="R40" s="27" t="str">
        <f t="shared" si="23"/>
        <v>▲ BETTER</v>
      </c>
      <c r="S40" s="46">
        <f t="shared" si="24"/>
        <v>156</v>
      </c>
      <c r="T40" s="44">
        <f t="shared" si="25"/>
        <v>63.998333333333335</v>
      </c>
      <c r="U40" s="46">
        <f t="shared" si="26"/>
        <v>0</v>
      </c>
      <c r="V40" s="47">
        <f>Assumptions!$C$4</f>
        <v>7.0000000000000007E-2</v>
      </c>
      <c r="W40" s="44">
        <f>IFERROR(C40*(1-Assumptions!$C$4),C40)</f>
        <v>47.932199999999995</v>
      </c>
      <c r="X40" s="44">
        <f>IFERROR((J40-C40*(1-Assumptions!$C$4))*K40,N40)</f>
        <v>9922.3740000000016</v>
      </c>
      <c r="Y40" s="44">
        <f t="shared" si="27"/>
        <v>5811.1240000000016</v>
      </c>
      <c r="Z40" s="44">
        <f>IFERROR(C40*Assumptions!$C$4*K40,0)</f>
        <v>1190.5740000000001</v>
      </c>
      <c r="AA40" s="48">
        <f t="shared" si="28"/>
        <v>0</v>
      </c>
      <c r="AB40" s="27" t="str">
        <f t="shared" si="29"/>
        <v>▲ BETTER</v>
      </c>
    </row>
    <row r="41" spans="1:28" ht="18" customHeight="1">
      <c r="A41" s="41">
        <v>8982263280</v>
      </c>
      <c r="B41" s="41" t="s">
        <v>172</v>
      </c>
      <c r="C41" s="42">
        <v>59.52</v>
      </c>
      <c r="D41" s="42">
        <v>100.8</v>
      </c>
      <c r="E41" s="43">
        <v>60</v>
      </c>
      <c r="F41" s="42">
        <v>6048</v>
      </c>
      <c r="G41" s="42">
        <v>3571.2</v>
      </c>
      <c r="H41" s="44">
        <f t="shared" si="15"/>
        <v>2476.8000000000002</v>
      </c>
      <c r="I41" s="45">
        <f t="shared" si="16"/>
        <v>0.40952380952380957</v>
      </c>
      <c r="J41" s="42">
        <v>90</v>
      </c>
      <c r="K41" s="43">
        <v>230</v>
      </c>
      <c r="L41" s="44">
        <f t="shared" si="17"/>
        <v>20700</v>
      </c>
      <c r="M41" s="44">
        <f t="shared" si="18"/>
        <v>30.479999999999997</v>
      </c>
      <c r="N41" s="44">
        <f t="shared" si="19"/>
        <v>7010.4</v>
      </c>
      <c r="O41" s="45">
        <f t="shared" si="20"/>
        <v>0.33866666666666667</v>
      </c>
      <c r="P41" s="44">
        <f t="shared" si="21"/>
        <v>14652</v>
      </c>
      <c r="Q41" s="44">
        <f t="shared" si="22"/>
        <v>4533.5999999999995</v>
      </c>
      <c r="R41" s="27" t="str">
        <f t="shared" si="23"/>
        <v>▲ BETTER</v>
      </c>
      <c r="S41" s="46">
        <f t="shared" si="24"/>
        <v>82</v>
      </c>
      <c r="T41" s="44">
        <f t="shared" si="25"/>
        <v>70.288695652173914</v>
      </c>
      <c r="U41" s="46">
        <f t="shared" si="26"/>
        <v>0</v>
      </c>
      <c r="V41" s="47">
        <f>Assumptions!$C$4</f>
        <v>7.0000000000000007E-2</v>
      </c>
      <c r="W41" s="44">
        <f>IFERROR(C41*(1-Assumptions!$C$4),C41)</f>
        <v>55.3536</v>
      </c>
      <c r="X41" s="44">
        <f>IFERROR((J41-C41*(1-Assumptions!$C$4))*K41,N41)</f>
        <v>7968.6719999999996</v>
      </c>
      <c r="Y41" s="44">
        <f t="shared" si="27"/>
        <v>5491.8719999999994</v>
      </c>
      <c r="Z41" s="44">
        <f>IFERROR(C41*Assumptions!$C$4*K41,0)</f>
        <v>958.27200000000005</v>
      </c>
      <c r="AA41" s="48">
        <f t="shared" si="28"/>
        <v>0</v>
      </c>
      <c r="AB41" s="27" t="str">
        <f t="shared" si="29"/>
        <v>▲ BETTER</v>
      </c>
    </row>
    <row r="42" spans="1:28" ht="18" customHeight="1">
      <c r="A42" s="41">
        <v>8982447940</v>
      </c>
      <c r="B42" s="41" t="s">
        <v>173</v>
      </c>
      <c r="C42" s="42">
        <v>49.01</v>
      </c>
      <c r="D42" s="42">
        <v>76.680000000000007</v>
      </c>
      <c r="E42" s="43">
        <v>530</v>
      </c>
      <c r="F42" s="42">
        <v>40640.400000000001</v>
      </c>
      <c r="G42" s="42">
        <v>25975.3</v>
      </c>
      <c r="H42" s="44">
        <f t="shared" si="15"/>
        <v>14665.100000000002</v>
      </c>
      <c r="I42" s="45">
        <f t="shared" si="16"/>
        <v>0.36085028690662496</v>
      </c>
      <c r="J42" s="42">
        <v>65</v>
      </c>
      <c r="K42" s="43">
        <v>780</v>
      </c>
      <c r="L42" s="44">
        <f t="shared" si="17"/>
        <v>50700</v>
      </c>
      <c r="M42" s="44">
        <f t="shared" si="18"/>
        <v>15.990000000000002</v>
      </c>
      <c r="N42" s="44">
        <f t="shared" si="19"/>
        <v>12472.2</v>
      </c>
      <c r="O42" s="45">
        <f t="shared" si="20"/>
        <v>0.24600000000000002</v>
      </c>
      <c r="P42" s="44">
        <f t="shared" si="21"/>
        <v>10059.599999999999</v>
      </c>
      <c r="Q42" s="44">
        <f t="shared" si="22"/>
        <v>-2192.9000000000015</v>
      </c>
      <c r="R42" s="27" t="str">
        <f t="shared" si="23"/>
        <v>▼ WORSE</v>
      </c>
      <c r="S42" s="46">
        <f t="shared" si="24"/>
        <v>918</v>
      </c>
      <c r="T42" s="44">
        <f t="shared" si="25"/>
        <v>67.811410256410255</v>
      </c>
      <c r="U42" s="46">
        <f t="shared" si="26"/>
        <v>138</v>
      </c>
      <c r="V42" s="47">
        <f>Assumptions!$C$4</f>
        <v>7.0000000000000007E-2</v>
      </c>
      <c r="W42" s="44">
        <f>IFERROR(C42*(1-Assumptions!$C$4),C42)</f>
        <v>45.579299999999996</v>
      </c>
      <c r="X42" s="44">
        <f>IFERROR((J42-C42*(1-Assumptions!$C$4))*K42,N42)</f>
        <v>15148.146000000002</v>
      </c>
      <c r="Y42" s="44">
        <f t="shared" si="27"/>
        <v>483.04600000000028</v>
      </c>
      <c r="Z42" s="44">
        <f>IFERROR(C42*Assumptions!$C$4*K42,0)</f>
        <v>2675.9460000000004</v>
      </c>
      <c r="AA42" s="48">
        <f t="shared" si="28"/>
        <v>5.7364012577234447E-2</v>
      </c>
      <c r="AB42" s="27" t="str">
        <f t="shared" si="29"/>
        <v>▲ BETTER</v>
      </c>
    </row>
    <row r="43" spans="1:28" ht="18" customHeight="1">
      <c r="A43" s="41">
        <v>8982605971</v>
      </c>
      <c r="B43" s="41" t="s">
        <v>174</v>
      </c>
      <c r="C43" s="42">
        <v>209.83</v>
      </c>
      <c r="D43" s="42">
        <v>365.5</v>
      </c>
      <c r="E43" s="43">
        <v>21</v>
      </c>
      <c r="F43" s="42">
        <v>7675.5</v>
      </c>
      <c r="G43" s="42">
        <v>4406.43</v>
      </c>
      <c r="H43" s="44">
        <f t="shared" si="15"/>
        <v>3269.0699999999997</v>
      </c>
      <c r="I43" s="45">
        <f t="shared" si="16"/>
        <v>0.42590971272229816</v>
      </c>
      <c r="J43" s="42">
        <v>280</v>
      </c>
      <c r="K43" s="43">
        <v>30</v>
      </c>
      <c r="L43" s="44">
        <f t="shared" si="17"/>
        <v>8400</v>
      </c>
      <c r="M43" s="44">
        <f t="shared" si="18"/>
        <v>70.169999999999987</v>
      </c>
      <c r="N43" s="44">
        <f t="shared" si="19"/>
        <v>2105.0999999999995</v>
      </c>
      <c r="O43" s="45">
        <f t="shared" si="20"/>
        <v>0.25060714285714281</v>
      </c>
      <c r="P43" s="44">
        <f t="shared" si="21"/>
        <v>724.5</v>
      </c>
      <c r="Q43" s="44">
        <f t="shared" si="22"/>
        <v>-1163.9700000000003</v>
      </c>
      <c r="R43" s="27" t="str">
        <f t="shared" si="23"/>
        <v>▼ WORSE</v>
      </c>
      <c r="S43" s="46">
        <f t="shared" si="24"/>
        <v>47</v>
      </c>
      <c r="T43" s="44">
        <f t="shared" si="25"/>
        <v>318.79899999999998</v>
      </c>
      <c r="U43" s="46">
        <f t="shared" si="26"/>
        <v>17</v>
      </c>
      <c r="V43" s="47">
        <f>Assumptions!$C$4</f>
        <v>7.0000000000000007E-2</v>
      </c>
      <c r="W43" s="44">
        <f>IFERROR(C43*(1-Assumptions!$C$4),C43)</f>
        <v>195.14189999999999</v>
      </c>
      <c r="X43" s="44">
        <f>IFERROR((J43-C43*(1-Assumptions!$C$4))*K43,N43)</f>
        <v>2545.7430000000004</v>
      </c>
      <c r="Y43" s="44">
        <f t="shared" si="27"/>
        <v>-723.32699999999932</v>
      </c>
      <c r="Z43" s="44">
        <f>IFERROR(C43*Assumptions!$C$4*K43,0)</f>
        <v>440.64300000000009</v>
      </c>
      <c r="AA43" s="48">
        <f t="shared" si="28"/>
        <v>0.18490682933803559</v>
      </c>
      <c r="AB43" s="27" t="str">
        <f t="shared" si="29"/>
        <v>▼ WORSE</v>
      </c>
    </row>
    <row r="44" spans="1:28" ht="18" customHeight="1">
      <c r="A44" s="41">
        <v>8982605980</v>
      </c>
      <c r="B44" s="41" t="s">
        <v>174</v>
      </c>
      <c r="C44" s="42">
        <v>209.83</v>
      </c>
      <c r="D44" s="42">
        <v>365.5</v>
      </c>
      <c r="E44" s="43">
        <v>19</v>
      </c>
      <c r="F44" s="42">
        <v>6944.5</v>
      </c>
      <c r="G44" s="42">
        <v>3986.77</v>
      </c>
      <c r="H44" s="44">
        <f t="shared" si="15"/>
        <v>2957.73</v>
      </c>
      <c r="I44" s="45">
        <f t="shared" si="16"/>
        <v>0.42590971272229822</v>
      </c>
      <c r="J44" s="42">
        <v>280</v>
      </c>
      <c r="K44" s="43">
        <v>30</v>
      </c>
      <c r="L44" s="44">
        <f t="shared" si="17"/>
        <v>8400</v>
      </c>
      <c r="M44" s="44">
        <f t="shared" si="18"/>
        <v>70.169999999999987</v>
      </c>
      <c r="N44" s="44">
        <f t="shared" si="19"/>
        <v>2105.0999999999995</v>
      </c>
      <c r="O44" s="45">
        <f t="shared" si="20"/>
        <v>0.25060714285714281</v>
      </c>
      <c r="P44" s="44">
        <f t="shared" si="21"/>
        <v>1455.5</v>
      </c>
      <c r="Q44" s="44">
        <f t="shared" si="22"/>
        <v>-852.63000000000056</v>
      </c>
      <c r="R44" s="27" t="str">
        <f t="shared" si="23"/>
        <v>▼ WORSE</v>
      </c>
      <c r="S44" s="46">
        <f t="shared" si="24"/>
        <v>43</v>
      </c>
      <c r="T44" s="44">
        <f t="shared" si="25"/>
        <v>308.42099999999999</v>
      </c>
      <c r="U44" s="46">
        <f t="shared" si="26"/>
        <v>13</v>
      </c>
      <c r="V44" s="47">
        <f>Assumptions!$C$4</f>
        <v>7.0000000000000007E-2</v>
      </c>
      <c r="W44" s="44">
        <f>IFERROR(C44*(1-Assumptions!$C$4),C44)</f>
        <v>195.14189999999999</v>
      </c>
      <c r="X44" s="44">
        <f>IFERROR((J44-C44*(1-Assumptions!$C$4))*K44,N44)</f>
        <v>2545.7430000000004</v>
      </c>
      <c r="Y44" s="44">
        <f t="shared" si="27"/>
        <v>-411.98699999999963</v>
      </c>
      <c r="Z44" s="44">
        <f>IFERROR(C44*Assumptions!$C$4*K44,0)</f>
        <v>440.64300000000009</v>
      </c>
      <c r="AA44" s="48">
        <f t="shared" si="28"/>
        <v>0.13544774341133303</v>
      </c>
      <c r="AB44" s="27" t="str">
        <f t="shared" si="29"/>
        <v>▼ WORSE</v>
      </c>
    </row>
    <row r="45" spans="1:28" ht="18" customHeight="1">
      <c r="A45" s="41">
        <v>8982606011</v>
      </c>
      <c r="B45" s="41" t="s">
        <v>174</v>
      </c>
      <c r="C45" s="42">
        <v>118.1</v>
      </c>
      <c r="D45" s="42">
        <v>205.72</v>
      </c>
      <c r="E45" s="43">
        <v>36</v>
      </c>
      <c r="F45" s="42">
        <v>7405.92</v>
      </c>
      <c r="G45" s="42">
        <v>4251.6000000000004</v>
      </c>
      <c r="H45" s="44">
        <f t="shared" si="15"/>
        <v>3154.3199999999997</v>
      </c>
      <c r="I45" s="45">
        <f t="shared" si="16"/>
        <v>0.4259187244798755</v>
      </c>
      <c r="J45" s="42">
        <v>165</v>
      </c>
      <c r="K45" s="43">
        <v>50</v>
      </c>
      <c r="L45" s="44">
        <f t="shared" si="17"/>
        <v>8250</v>
      </c>
      <c r="M45" s="44">
        <f t="shared" si="18"/>
        <v>46.900000000000006</v>
      </c>
      <c r="N45" s="44">
        <f t="shared" si="19"/>
        <v>2345.0000000000005</v>
      </c>
      <c r="O45" s="45">
        <f t="shared" si="20"/>
        <v>0.2842424242424243</v>
      </c>
      <c r="P45" s="44">
        <f t="shared" si="21"/>
        <v>844.07999999999993</v>
      </c>
      <c r="Q45" s="44">
        <f t="shared" si="22"/>
        <v>-809.31999999999925</v>
      </c>
      <c r="R45" s="27" t="str">
        <f t="shared" si="23"/>
        <v>▼ WORSE</v>
      </c>
      <c r="S45" s="46">
        <f t="shared" si="24"/>
        <v>68</v>
      </c>
      <c r="T45" s="44">
        <f t="shared" si="25"/>
        <v>181.18639999999999</v>
      </c>
      <c r="U45" s="46">
        <f t="shared" si="26"/>
        <v>18</v>
      </c>
      <c r="V45" s="47">
        <f>Assumptions!$C$4</f>
        <v>7.0000000000000007E-2</v>
      </c>
      <c r="W45" s="44">
        <f>IFERROR(C45*(1-Assumptions!$C$4),C45)</f>
        <v>109.83299999999998</v>
      </c>
      <c r="X45" s="44">
        <f>IFERROR((J45-C45*(1-Assumptions!$C$4))*K45,N45)</f>
        <v>2758.3500000000008</v>
      </c>
      <c r="Y45" s="44">
        <f t="shared" si="27"/>
        <v>-395.96999999999889</v>
      </c>
      <c r="Z45" s="44">
        <f>IFERROR(C45*Assumptions!$C$4*K45,0)</f>
        <v>413.35000000000008</v>
      </c>
      <c r="AA45" s="48">
        <f t="shared" si="28"/>
        <v>0.13705673158340381</v>
      </c>
      <c r="AB45" s="27" t="str">
        <f t="shared" si="29"/>
        <v>▼ WORSE</v>
      </c>
    </row>
    <row r="46" spans="1:28" ht="18" customHeight="1">
      <c r="A46" s="41">
        <v>8982606020</v>
      </c>
      <c r="B46" s="41" t="s">
        <v>174</v>
      </c>
      <c r="C46" s="42">
        <v>118.1</v>
      </c>
      <c r="D46" s="42">
        <v>205.72</v>
      </c>
      <c r="E46" s="43">
        <v>33</v>
      </c>
      <c r="F46" s="42">
        <v>6788.76</v>
      </c>
      <c r="G46" s="42">
        <v>3897.3</v>
      </c>
      <c r="H46" s="44">
        <f t="shared" si="15"/>
        <v>2891.46</v>
      </c>
      <c r="I46" s="45">
        <f t="shared" si="16"/>
        <v>0.42591872447987555</v>
      </c>
      <c r="J46" s="42">
        <v>165</v>
      </c>
      <c r="K46" s="43">
        <v>45</v>
      </c>
      <c r="L46" s="44">
        <f t="shared" si="17"/>
        <v>7425</v>
      </c>
      <c r="M46" s="44">
        <f t="shared" si="18"/>
        <v>46.900000000000006</v>
      </c>
      <c r="N46" s="44">
        <f t="shared" si="19"/>
        <v>2110.5000000000005</v>
      </c>
      <c r="O46" s="45">
        <f t="shared" si="20"/>
        <v>0.2842424242424243</v>
      </c>
      <c r="P46" s="44">
        <f t="shared" si="21"/>
        <v>636.23999999999978</v>
      </c>
      <c r="Q46" s="44">
        <f t="shared" si="22"/>
        <v>-780.95999999999958</v>
      </c>
      <c r="R46" s="27" t="str">
        <f t="shared" si="23"/>
        <v>▼ WORSE</v>
      </c>
      <c r="S46" s="46">
        <f t="shared" si="24"/>
        <v>62</v>
      </c>
      <c r="T46" s="44">
        <f t="shared" si="25"/>
        <v>182.35466666666667</v>
      </c>
      <c r="U46" s="46">
        <f t="shared" si="26"/>
        <v>17</v>
      </c>
      <c r="V46" s="47">
        <f>Assumptions!$C$4</f>
        <v>7.0000000000000007E-2</v>
      </c>
      <c r="W46" s="44">
        <f>IFERROR(C46*(1-Assumptions!$C$4),C46)</f>
        <v>109.83299999999998</v>
      </c>
      <c r="X46" s="44">
        <f>IFERROR((J46-C46*(1-Assumptions!$C$4))*K46,N46)</f>
        <v>2482.5150000000008</v>
      </c>
      <c r="Y46" s="44">
        <f t="shared" si="27"/>
        <v>-408.94499999999925</v>
      </c>
      <c r="Z46" s="44">
        <f>IFERROR(C46*Assumptions!$C$4*K46,0)</f>
        <v>372.01500000000004</v>
      </c>
      <c r="AA46" s="48">
        <f t="shared" si="28"/>
        <v>0.14694891335026805</v>
      </c>
      <c r="AB46" s="27" t="str">
        <f t="shared" si="29"/>
        <v>▼ WORSE</v>
      </c>
    </row>
    <row r="47" spans="1:28" ht="18" customHeight="1">
      <c r="A47" s="41">
        <v>8982885020</v>
      </c>
      <c r="B47" s="41" t="s">
        <v>175</v>
      </c>
      <c r="C47" s="42">
        <v>16.88</v>
      </c>
      <c r="D47" s="42">
        <v>28.59</v>
      </c>
      <c r="E47" s="43">
        <v>7</v>
      </c>
      <c r="F47" s="42">
        <v>200.13</v>
      </c>
      <c r="G47" s="42">
        <v>118.16</v>
      </c>
      <c r="H47" s="44">
        <f t="shared" si="15"/>
        <v>81.97</v>
      </c>
      <c r="I47" s="45">
        <f t="shared" si="16"/>
        <v>0.40958377054914308</v>
      </c>
      <c r="J47" s="42">
        <v>22</v>
      </c>
      <c r="K47" s="43">
        <v>65</v>
      </c>
      <c r="L47" s="44">
        <f t="shared" si="17"/>
        <v>1430</v>
      </c>
      <c r="M47" s="44">
        <f t="shared" si="18"/>
        <v>5.120000000000001</v>
      </c>
      <c r="N47" s="44">
        <f t="shared" si="19"/>
        <v>332.80000000000007</v>
      </c>
      <c r="O47" s="45">
        <f t="shared" si="20"/>
        <v>0.23272727272727278</v>
      </c>
      <c r="P47" s="44">
        <f t="shared" si="21"/>
        <v>1229.8699999999999</v>
      </c>
      <c r="Q47" s="44">
        <f t="shared" si="22"/>
        <v>250.83000000000007</v>
      </c>
      <c r="R47" s="27" t="str">
        <f t="shared" si="23"/>
        <v>▲ BETTER</v>
      </c>
      <c r="S47" s="46">
        <f t="shared" si="24"/>
        <v>17</v>
      </c>
      <c r="T47" s="44">
        <f t="shared" si="25"/>
        <v>18.141076923076923</v>
      </c>
      <c r="U47" s="46">
        <f t="shared" si="26"/>
        <v>0</v>
      </c>
      <c r="V47" s="47">
        <f>Assumptions!$C$4</f>
        <v>7.0000000000000007E-2</v>
      </c>
      <c r="W47" s="44">
        <f>IFERROR(C47*(1-Assumptions!$C$4),C47)</f>
        <v>15.698399999999998</v>
      </c>
      <c r="X47" s="44">
        <f>IFERROR((J47-C47*(1-Assumptions!$C$4))*K47,N47)</f>
        <v>409.60400000000016</v>
      </c>
      <c r="Y47" s="44">
        <f t="shared" si="27"/>
        <v>327.63400000000013</v>
      </c>
      <c r="Z47" s="44">
        <f>IFERROR(C47*Assumptions!$C$4*K47,0)</f>
        <v>76.804000000000002</v>
      </c>
      <c r="AA47" s="48">
        <f t="shared" si="28"/>
        <v>0</v>
      </c>
      <c r="AB47" s="27" t="str">
        <f t="shared" si="29"/>
        <v>▲ BETTER</v>
      </c>
    </row>
    <row r="48" spans="1:28" ht="18" customHeight="1">
      <c r="A48" s="41">
        <v>8982885030</v>
      </c>
      <c r="B48" s="41" t="s">
        <v>175</v>
      </c>
      <c r="C48" s="42">
        <v>16.88</v>
      </c>
      <c r="D48" s="42">
        <v>28.59</v>
      </c>
      <c r="E48" s="43">
        <v>10</v>
      </c>
      <c r="F48" s="42">
        <v>285.89999999999998</v>
      </c>
      <c r="G48" s="42">
        <v>168.8</v>
      </c>
      <c r="H48" s="44">
        <f t="shared" si="15"/>
        <v>117.09999999999997</v>
      </c>
      <c r="I48" s="45">
        <f t="shared" si="16"/>
        <v>0.40958377054914297</v>
      </c>
      <c r="J48" s="42">
        <v>22</v>
      </c>
      <c r="K48" s="43">
        <v>60</v>
      </c>
      <c r="L48" s="44">
        <f t="shared" si="17"/>
        <v>1320</v>
      </c>
      <c r="M48" s="44">
        <f t="shared" si="18"/>
        <v>5.120000000000001</v>
      </c>
      <c r="N48" s="44">
        <f t="shared" si="19"/>
        <v>307.20000000000005</v>
      </c>
      <c r="O48" s="45">
        <f t="shared" si="20"/>
        <v>0.23272727272727275</v>
      </c>
      <c r="P48" s="44">
        <f t="shared" si="21"/>
        <v>1034.0999999999999</v>
      </c>
      <c r="Q48" s="44">
        <f t="shared" si="22"/>
        <v>190.10000000000008</v>
      </c>
      <c r="R48" s="27" t="str">
        <f t="shared" si="23"/>
        <v>▲ BETTER</v>
      </c>
      <c r="S48" s="46">
        <f t="shared" si="24"/>
        <v>23</v>
      </c>
      <c r="T48" s="44">
        <f t="shared" si="25"/>
        <v>18.831666666666663</v>
      </c>
      <c r="U48" s="46">
        <f t="shared" si="26"/>
        <v>0</v>
      </c>
      <c r="V48" s="47">
        <f>Assumptions!$C$4</f>
        <v>7.0000000000000007E-2</v>
      </c>
      <c r="W48" s="44">
        <f>IFERROR(C48*(1-Assumptions!$C$4),C48)</f>
        <v>15.698399999999998</v>
      </c>
      <c r="X48" s="44">
        <f>IFERROR((J48-C48*(1-Assumptions!$C$4))*K48,N48)</f>
        <v>378.09600000000012</v>
      </c>
      <c r="Y48" s="44">
        <f t="shared" si="27"/>
        <v>260.99600000000015</v>
      </c>
      <c r="Z48" s="44">
        <f>IFERROR(C48*Assumptions!$C$4*K48,0)</f>
        <v>70.896000000000001</v>
      </c>
      <c r="AA48" s="48">
        <f t="shared" si="28"/>
        <v>0</v>
      </c>
      <c r="AB48" s="27" t="str">
        <f t="shared" si="29"/>
        <v>▲ BETTER</v>
      </c>
    </row>
    <row r="49" spans="1:28" ht="18" customHeight="1">
      <c r="A49" s="41">
        <v>8982979331</v>
      </c>
      <c r="B49" s="41" t="s">
        <v>161</v>
      </c>
      <c r="C49" s="42">
        <v>102.7</v>
      </c>
      <c r="D49" s="42">
        <v>173.93</v>
      </c>
      <c r="E49" s="43">
        <v>138</v>
      </c>
      <c r="F49" s="42">
        <v>24002.34</v>
      </c>
      <c r="G49" s="42">
        <v>14172.6</v>
      </c>
      <c r="H49" s="44">
        <f t="shared" si="15"/>
        <v>9829.74</v>
      </c>
      <c r="I49" s="45">
        <f t="shared" si="16"/>
        <v>0.40953257057436898</v>
      </c>
      <c r="J49" s="42">
        <v>145</v>
      </c>
      <c r="K49" s="43">
        <v>130</v>
      </c>
      <c r="L49" s="44">
        <f t="shared" si="17"/>
        <v>18850</v>
      </c>
      <c r="M49" s="44">
        <f t="shared" si="18"/>
        <v>42.3</v>
      </c>
      <c r="N49" s="44">
        <f t="shared" si="19"/>
        <v>5499</v>
      </c>
      <c r="O49" s="45">
        <f t="shared" si="20"/>
        <v>0.29172413793103447</v>
      </c>
      <c r="P49" s="44">
        <f t="shared" si="21"/>
        <v>-5152.34</v>
      </c>
      <c r="Q49" s="44">
        <f t="shared" si="22"/>
        <v>-4330.74</v>
      </c>
      <c r="R49" s="27" t="str">
        <f t="shared" si="23"/>
        <v>▼ WORSE</v>
      </c>
      <c r="S49" s="46">
        <f t="shared" si="24"/>
        <v>233</v>
      </c>
      <c r="T49" s="44">
        <f t="shared" si="25"/>
        <v>178.31338461538462</v>
      </c>
      <c r="U49" s="46">
        <f t="shared" si="26"/>
        <v>103</v>
      </c>
      <c r="V49" s="47">
        <f>Assumptions!$C$4</f>
        <v>7.0000000000000007E-2</v>
      </c>
      <c r="W49" s="44">
        <f>IFERROR(C49*(1-Assumptions!$C$4),C49)</f>
        <v>95.510999999999996</v>
      </c>
      <c r="X49" s="44">
        <f>IFERROR((J49-C49*(1-Assumptions!$C$4))*K49,N49)</f>
        <v>6433.5700000000006</v>
      </c>
      <c r="Y49" s="44">
        <f t="shared" si="27"/>
        <v>-3396.1699999999992</v>
      </c>
      <c r="Z49" s="44">
        <f>IFERROR(C49*Assumptions!$C$4*K49,0)</f>
        <v>934.57000000000016</v>
      </c>
      <c r="AA49" s="48">
        <f t="shared" si="28"/>
        <v>0.32437570219459222</v>
      </c>
      <c r="AB49" s="27" t="str">
        <f t="shared" si="29"/>
        <v>▼ WORSE</v>
      </c>
    </row>
    <row r="50" spans="1:28" ht="18" customHeight="1">
      <c r="A50" s="41">
        <v>8982984040</v>
      </c>
      <c r="B50" s="41" t="s">
        <v>176</v>
      </c>
      <c r="C50" s="42">
        <v>7.84</v>
      </c>
      <c r="D50" s="42">
        <v>12.26</v>
      </c>
      <c r="E50" s="43">
        <v>4640</v>
      </c>
      <c r="F50" s="42">
        <v>56886.400000000001</v>
      </c>
      <c r="G50" s="42">
        <v>36377.599999999999</v>
      </c>
      <c r="H50" s="44">
        <f t="shared" si="15"/>
        <v>20508.800000000003</v>
      </c>
      <c r="I50" s="45">
        <f t="shared" si="16"/>
        <v>0.36052202283849921</v>
      </c>
      <c r="J50" s="42">
        <v>10</v>
      </c>
      <c r="K50" s="43">
        <v>4200</v>
      </c>
      <c r="L50" s="44">
        <f t="shared" si="17"/>
        <v>42000</v>
      </c>
      <c r="M50" s="44">
        <f t="shared" si="18"/>
        <v>2.16</v>
      </c>
      <c r="N50" s="44">
        <f t="shared" si="19"/>
        <v>9072</v>
      </c>
      <c r="O50" s="45">
        <f t="shared" si="20"/>
        <v>0.216</v>
      </c>
      <c r="P50" s="44">
        <f t="shared" si="21"/>
        <v>-14886.400000000001</v>
      </c>
      <c r="Q50" s="44">
        <f t="shared" si="22"/>
        <v>-11436.800000000003</v>
      </c>
      <c r="R50" s="27" t="str">
        <f t="shared" si="23"/>
        <v>▼ WORSE</v>
      </c>
      <c r="S50" s="46">
        <f t="shared" si="24"/>
        <v>9495</v>
      </c>
      <c r="T50" s="44">
        <f t="shared" si="25"/>
        <v>12.72304761904762</v>
      </c>
      <c r="U50" s="46">
        <f t="shared" si="26"/>
        <v>5295</v>
      </c>
      <c r="V50" s="47">
        <f>Assumptions!$C$4</f>
        <v>7.0000000000000007E-2</v>
      </c>
      <c r="W50" s="44">
        <f>IFERROR(C50*(1-Assumptions!$C$4),C50)</f>
        <v>7.291199999999999</v>
      </c>
      <c r="X50" s="44">
        <f>IFERROR((J50-C50*(1-Assumptions!$C$4))*K50,N50)</f>
        <v>11376.960000000005</v>
      </c>
      <c r="Y50" s="44">
        <f t="shared" si="27"/>
        <v>-9131.8399999999983</v>
      </c>
      <c r="Z50" s="44">
        <f>IFERROR(C50*Assumptions!$C$4*K50,0)</f>
        <v>2304.9600000000005</v>
      </c>
      <c r="AA50" s="48">
        <f t="shared" si="28"/>
        <v>0.34732750242954336</v>
      </c>
      <c r="AB50" s="27" t="str">
        <f t="shared" si="29"/>
        <v>▼ WORSE</v>
      </c>
    </row>
    <row r="51" spans="1:28" ht="18" customHeight="1">
      <c r="A51" s="41">
        <v>8982987510</v>
      </c>
      <c r="B51" s="41" t="s">
        <v>177</v>
      </c>
      <c r="C51" s="42">
        <v>29.57</v>
      </c>
      <c r="D51" s="42">
        <v>54.13</v>
      </c>
      <c r="E51" s="43">
        <v>32</v>
      </c>
      <c r="F51" s="42">
        <v>1732.16</v>
      </c>
      <c r="G51" s="42">
        <v>946.24</v>
      </c>
      <c r="H51" s="44">
        <f t="shared" si="15"/>
        <v>785.92000000000007</v>
      </c>
      <c r="I51" s="45">
        <f t="shared" si="16"/>
        <v>0.45372251985959727</v>
      </c>
      <c r="J51" s="42">
        <v>42</v>
      </c>
      <c r="K51" s="43">
        <v>100</v>
      </c>
      <c r="L51" s="44">
        <f t="shared" si="17"/>
        <v>4200</v>
      </c>
      <c r="M51" s="44">
        <f t="shared" si="18"/>
        <v>12.43</v>
      </c>
      <c r="N51" s="44">
        <f t="shared" si="19"/>
        <v>1243</v>
      </c>
      <c r="O51" s="45">
        <f t="shared" si="20"/>
        <v>0.29595238095238097</v>
      </c>
      <c r="P51" s="44">
        <f t="shared" si="21"/>
        <v>2467.84</v>
      </c>
      <c r="Q51" s="44">
        <f t="shared" si="22"/>
        <v>457.07999999999993</v>
      </c>
      <c r="R51" s="27" t="str">
        <f t="shared" si="23"/>
        <v>▲ BETTER</v>
      </c>
      <c r="S51" s="46">
        <f t="shared" si="24"/>
        <v>64</v>
      </c>
      <c r="T51" s="44">
        <f t="shared" si="25"/>
        <v>37.429200000000002</v>
      </c>
      <c r="U51" s="46">
        <f t="shared" si="26"/>
        <v>0</v>
      </c>
      <c r="V51" s="47">
        <f>Assumptions!$C$4</f>
        <v>7.0000000000000007E-2</v>
      </c>
      <c r="W51" s="44">
        <f>IFERROR(C51*(1-Assumptions!$C$4),C51)</f>
        <v>27.5001</v>
      </c>
      <c r="X51" s="44">
        <f>IFERROR((J51-C51*(1-Assumptions!$C$4))*K51,N51)</f>
        <v>1449.99</v>
      </c>
      <c r="Y51" s="44">
        <f t="shared" si="27"/>
        <v>664.06999999999994</v>
      </c>
      <c r="Z51" s="44">
        <f>IFERROR(C51*Assumptions!$C$4*K51,0)</f>
        <v>206.99</v>
      </c>
      <c r="AA51" s="48">
        <f t="shared" si="28"/>
        <v>0</v>
      </c>
      <c r="AB51" s="27" t="str">
        <f t="shared" si="29"/>
        <v>▲ BETTER</v>
      </c>
    </row>
    <row r="52" spans="1:28" ht="18" customHeight="1">
      <c r="A52" s="41">
        <v>8983034650</v>
      </c>
      <c r="B52" s="41" t="s">
        <v>178</v>
      </c>
      <c r="C52" s="42">
        <v>99.6</v>
      </c>
      <c r="D52" s="42">
        <v>182.33</v>
      </c>
      <c r="E52" s="43">
        <v>6</v>
      </c>
      <c r="F52" s="42">
        <v>1093.98</v>
      </c>
      <c r="G52" s="42">
        <v>597.6</v>
      </c>
      <c r="H52" s="49">
        <f t="shared" si="15"/>
        <v>496.38</v>
      </c>
      <c r="I52" s="50">
        <f t="shared" si="16"/>
        <v>0.45373772829484998</v>
      </c>
      <c r="J52" s="42">
        <v>135</v>
      </c>
      <c r="K52" s="43">
        <v>20</v>
      </c>
      <c r="L52" s="44">
        <f t="shared" si="17"/>
        <v>2700</v>
      </c>
      <c r="M52" s="44">
        <f t="shared" si="18"/>
        <v>35.400000000000006</v>
      </c>
      <c r="N52" s="44">
        <f t="shared" si="19"/>
        <v>708.00000000000011</v>
      </c>
      <c r="O52" s="45">
        <f t="shared" si="20"/>
        <v>0.26222222222222225</v>
      </c>
      <c r="P52" s="44">
        <f t="shared" si="21"/>
        <v>1606.02</v>
      </c>
      <c r="Q52" s="44">
        <f t="shared" si="22"/>
        <v>211.62000000000012</v>
      </c>
      <c r="R52" s="27" t="str">
        <f t="shared" si="23"/>
        <v>▲ BETTER</v>
      </c>
      <c r="S52" s="51">
        <f t="shared" si="24"/>
        <v>15</v>
      </c>
      <c r="T52" s="49">
        <f t="shared" si="25"/>
        <v>124.419</v>
      </c>
      <c r="U52" s="51">
        <f t="shared" si="26"/>
        <v>0</v>
      </c>
      <c r="V52" s="52">
        <f>Assumptions!$C$4</f>
        <v>7.0000000000000007E-2</v>
      </c>
      <c r="W52" s="49">
        <f>IFERROR(C52*(1-Assumptions!$C$4),C52)</f>
        <v>92.627999999999986</v>
      </c>
      <c r="X52" s="49">
        <f>IFERROR((J52-C52*(1-Assumptions!$C$4))*K52,N52)</f>
        <v>847.44000000000028</v>
      </c>
      <c r="Y52" s="49">
        <f t="shared" si="27"/>
        <v>351.06000000000029</v>
      </c>
      <c r="Z52" s="49">
        <f>IFERROR(C52*Assumptions!$C$4*K52,0)</f>
        <v>139.44</v>
      </c>
      <c r="AA52" s="53">
        <f t="shared" si="28"/>
        <v>0</v>
      </c>
      <c r="AB52" s="54" t="str">
        <f t="shared" si="29"/>
        <v>▲ BETTER</v>
      </c>
    </row>
    <row r="53" spans="1:28" ht="18" customHeight="1">
      <c r="A53" s="41">
        <v>8983034660</v>
      </c>
      <c r="B53" s="41" t="s">
        <v>178</v>
      </c>
      <c r="C53" s="42">
        <v>99.6</v>
      </c>
      <c r="D53" s="42">
        <v>182.33</v>
      </c>
      <c r="E53" s="43">
        <v>6</v>
      </c>
      <c r="F53" s="42">
        <v>1093.98</v>
      </c>
      <c r="G53" s="42">
        <v>597.6</v>
      </c>
      <c r="H53" s="44">
        <f t="shared" si="15"/>
        <v>496.38</v>
      </c>
      <c r="I53" s="45">
        <f t="shared" si="16"/>
        <v>0.45373772829484998</v>
      </c>
      <c r="J53" s="42">
        <v>135</v>
      </c>
      <c r="K53" s="43">
        <v>20</v>
      </c>
      <c r="L53" s="44">
        <f t="shared" si="17"/>
        <v>2700</v>
      </c>
      <c r="M53" s="44">
        <f t="shared" si="18"/>
        <v>35.400000000000006</v>
      </c>
      <c r="N53" s="44">
        <f t="shared" si="19"/>
        <v>708.00000000000011</v>
      </c>
      <c r="O53" s="45">
        <f t="shared" si="20"/>
        <v>0.26222222222222225</v>
      </c>
      <c r="P53" s="44">
        <f t="shared" si="21"/>
        <v>1606.02</v>
      </c>
      <c r="Q53" s="44">
        <f t="shared" si="22"/>
        <v>211.62000000000012</v>
      </c>
      <c r="R53" s="27" t="str">
        <f t="shared" si="23"/>
        <v>▲ BETTER</v>
      </c>
      <c r="S53" s="46">
        <f t="shared" si="24"/>
        <v>15</v>
      </c>
      <c r="T53" s="44">
        <f t="shared" si="25"/>
        <v>124.419</v>
      </c>
      <c r="U53" s="46">
        <f t="shared" si="26"/>
        <v>0</v>
      </c>
      <c r="V53" s="47">
        <f>Assumptions!$C$4</f>
        <v>7.0000000000000007E-2</v>
      </c>
      <c r="W53" s="44">
        <f>IFERROR(C53*(1-Assumptions!$C$4),C53)</f>
        <v>92.627999999999986</v>
      </c>
      <c r="X53" s="44">
        <f>IFERROR((J53-C53*(1-Assumptions!$C$4))*K53,N53)</f>
        <v>847.44000000000028</v>
      </c>
      <c r="Y53" s="44">
        <f t="shared" si="27"/>
        <v>351.06000000000029</v>
      </c>
      <c r="Z53" s="44">
        <f>IFERROR(C53*Assumptions!$C$4*K53,0)</f>
        <v>139.44</v>
      </c>
      <c r="AA53" s="48">
        <f t="shared" si="28"/>
        <v>0</v>
      </c>
      <c r="AB53" s="27" t="str">
        <f t="shared" si="29"/>
        <v>▲ BETTER</v>
      </c>
    </row>
    <row r="54" spans="1:28" ht="18" customHeight="1">
      <c r="A54" s="41">
        <v>8983034670</v>
      </c>
      <c r="B54" s="41" t="s">
        <v>179</v>
      </c>
      <c r="C54" s="42">
        <v>97.69</v>
      </c>
      <c r="D54" s="42">
        <v>178.83</v>
      </c>
      <c r="E54" s="43">
        <v>32</v>
      </c>
      <c r="F54" s="42">
        <v>5722.56</v>
      </c>
      <c r="G54" s="42">
        <v>3126.08</v>
      </c>
      <c r="H54" s="49">
        <f t="shared" si="15"/>
        <v>2596.4800000000005</v>
      </c>
      <c r="I54" s="50">
        <f t="shared" si="16"/>
        <v>0.45372700329922278</v>
      </c>
      <c r="J54" s="42">
        <v>148</v>
      </c>
      <c r="K54" s="43">
        <v>65</v>
      </c>
      <c r="L54" s="44">
        <f t="shared" si="17"/>
        <v>9620</v>
      </c>
      <c r="M54" s="44">
        <f t="shared" si="18"/>
        <v>50.31</v>
      </c>
      <c r="N54" s="44">
        <f t="shared" si="19"/>
        <v>3270.15</v>
      </c>
      <c r="O54" s="45">
        <f t="shared" si="20"/>
        <v>0.33993243243243243</v>
      </c>
      <c r="P54" s="44">
        <f t="shared" si="21"/>
        <v>3897.4399999999996</v>
      </c>
      <c r="Q54" s="44">
        <f t="shared" si="22"/>
        <v>673.66999999999962</v>
      </c>
      <c r="R54" s="27" t="str">
        <f t="shared" si="23"/>
        <v>▲ BETTER</v>
      </c>
      <c r="S54" s="51">
        <f t="shared" si="24"/>
        <v>52</v>
      </c>
      <c r="T54" s="49">
        <f t="shared" si="25"/>
        <v>137.63584615384616</v>
      </c>
      <c r="U54" s="51">
        <f t="shared" si="26"/>
        <v>0</v>
      </c>
      <c r="V54" s="52">
        <f>Assumptions!$C$4</f>
        <v>7.0000000000000007E-2</v>
      </c>
      <c r="W54" s="49">
        <f>IFERROR(C54*(1-Assumptions!$C$4),C54)</f>
        <v>90.851699999999994</v>
      </c>
      <c r="X54" s="49">
        <f>IFERROR((J54-C54*(1-Assumptions!$C$4))*K54,N54)</f>
        <v>3714.6395000000002</v>
      </c>
      <c r="Y54" s="49">
        <f t="shared" si="27"/>
        <v>1118.1594999999998</v>
      </c>
      <c r="Z54" s="49">
        <f>IFERROR(C54*Assumptions!$C$4*K54,0)</f>
        <v>444.48950000000002</v>
      </c>
      <c r="AA54" s="53">
        <f t="shared" si="28"/>
        <v>0</v>
      </c>
      <c r="AB54" s="54" t="str">
        <f t="shared" si="29"/>
        <v>▲ BETTER</v>
      </c>
    </row>
    <row r="55" spans="1:28" ht="18" customHeight="1">
      <c r="A55" s="41">
        <v>8983034680</v>
      </c>
      <c r="B55" s="41" t="s">
        <v>179</v>
      </c>
      <c r="C55" s="42">
        <v>97.69</v>
      </c>
      <c r="D55" s="42">
        <v>178.83</v>
      </c>
      <c r="E55" s="43">
        <v>55</v>
      </c>
      <c r="F55" s="42">
        <v>9835.65</v>
      </c>
      <c r="G55" s="42">
        <v>5372.95</v>
      </c>
      <c r="H55" s="44">
        <f t="shared" si="15"/>
        <v>4462.7</v>
      </c>
      <c r="I55" s="45">
        <f t="shared" si="16"/>
        <v>0.45372700329922272</v>
      </c>
      <c r="J55" s="42">
        <v>148</v>
      </c>
      <c r="K55" s="43">
        <v>50</v>
      </c>
      <c r="L55" s="44">
        <f t="shared" si="17"/>
        <v>7400</v>
      </c>
      <c r="M55" s="44">
        <f t="shared" si="18"/>
        <v>50.31</v>
      </c>
      <c r="N55" s="44">
        <f t="shared" si="19"/>
        <v>2515.5</v>
      </c>
      <c r="O55" s="45">
        <f t="shared" si="20"/>
        <v>0.33993243243243243</v>
      </c>
      <c r="P55" s="44">
        <f t="shared" si="21"/>
        <v>-2435.6499999999996</v>
      </c>
      <c r="Q55" s="44">
        <f t="shared" si="22"/>
        <v>-1947.1999999999998</v>
      </c>
      <c r="R55" s="27" t="str">
        <f t="shared" si="23"/>
        <v>▼ WORSE</v>
      </c>
      <c r="S55" s="46">
        <f t="shared" si="24"/>
        <v>89</v>
      </c>
      <c r="T55" s="44">
        <f t="shared" si="25"/>
        <v>186.94399999999999</v>
      </c>
      <c r="U55" s="46">
        <f t="shared" si="26"/>
        <v>39</v>
      </c>
      <c r="V55" s="47">
        <f>Assumptions!$C$4</f>
        <v>7.0000000000000007E-2</v>
      </c>
      <c r="W55" s="44">
        <f>IFERROR(C55*(1-Assumptions!$C$4),C55)</f>
        <v>90.851699999999994</v>
      </c>
      <c r="X55" s="44">
        <f>IFERROR((J55-C55*(1-Assumptions!$C$4))*K55,N55)</f>
        <v>2857.4150000000004</v>
      </c>
      <c r="Y55" s="44">
        <f t="shared" si="27"/>
        <v>-1605.2849999999994</v>
      </c>
      <c r="Z55" s="44">
        <f>IFERROR(C55*Assumptions!$C$4*K55,0)</f>
        <v>341.91500000000002</v>
      </c>
      <c r="AA55" s="48">
        <f t="shared" si="28"/>
        <v>0.3986487869792199</v>
      </c>
      <c r="AB55" s="27" t="str">
        <f t="shared" si="29"/>
        <v>▼ WORSE</v>
      </c>
    </row>
    <row r="56" spans="1:28" ht="18" customHeight="1">
      <c r="A56" s="41">
        <v>8983064750</v>
      </c>
      <c r="B56" s="41" t="s">
        <v>161</v>
      </c>
      <c r="C56" s="42">
        <v>102.7</v>
      </c>
      <c r="D56" s="42">
        <v>173.93</v>
      </c>
      <c r="E56" s="43">
        <v>117</v>
      </c>
      <c r="F56" s="42">
        <v>20349.810000000001</v>
      </c>
      <c r="G56" s="42">
        <v>12015.9</v>
      </c>
      <c r="H56" s="49">
        <f t="shared" si="15"/>
        <v>8333.9100000000017</v>
      </c>
      <c r="I56" s="50">
        <f t="shared" si="16"/>
        <v>0.40953257057436904</v>
      </c>
      <c r="J56" s="42">
        <v>150</v>
      </c>
      <c r="K56" s="43">
        <v>60</v>
      </c>
      <c r="L56" s="44">
        <f t="shared" si="17"/>
        <v>9000</v>
      </c>
      <c r="M56" s="44">
        <f t="shared" si="18"/>
        <v>47.3</v>
      </c>
      <c r="N56" s="44">
        <f t="shared" si="19"/>
        <v>2838</v>
      </c>
      <c r="O56" s="45">
        <f t="shared" si="20"/>
        <v>0.31533333333333335</v>
      </c>
      <c r="P56" s="44">
        <f t="shared" si="21"/>
        <v>-11349.810000000001</v>
      </c>
      <c r="Q56" s="44">
        <f t="shared" si="22"/>
        <v>-5495.9100000000017</v>
      </c>
      <c r="R56" s="27" t="str">
        <f t="shared" si="23"/>
        <v>▼ WORSE</v>
      </c>
      <c r="S56" s="51">
        <f t="shared" si="24"/>
        <v>177</v>
      </c>
      <c r="T56" s="49">
        <f t="shared" si="25"/>
        <v>241.59850000000006</v>
      </c>
      <c r="U56" s="51">
        <f t="shared" si="26"/>
        <v>117</v>
      </c>
      <c r="V56" s="52">
        <f>Assumptions!$C$4</f>
        <v>7.0000000000000007E-2</v>
      </c>
      <c r="W56" s="49">
        <f>IFERROR(C56*(1-Assumptions!$C$4),C56)</f>
        <v>95.510999999999996</v>
      </c>
      <c r="X56" s="49">
        <f>IFERROR((J56-C56*(1-Assumptions!$C$4))*K56,N56)</f>
        <v>3269.34</v>
      </c>
      <c r="Y56" s="49">
        <f t="shared" si="27"/>
        <v>-5064.5700000000015</v>
      </c>
      <c r="Z56" s="49">
        <f>IFERROR(C56*Assumptions!$C$4*K56,0)</f>
        <v>431.34000000000003</v>
      </c>
      <c r="AA56" s="53">
        <f t="shared" si="28"/>
        <v>0.89190360272638791</v>
      </c>
      <c r="AB56" s="54" t="str">
        <f t="shared" si="29"/>
        <v>▼ WORSE</v>
      </c>
    </row>
    <row r="57" spans="1:28" ht="18" customHeight="1">
      <c r="A57" s="41">
        <v>8983487480</v>
      </c>
      <c r="B57" s="41" t="s">
        <v>168</v>
      </c>
      <c r="C57" s="42">
        <v>32.83</v>
      </c>
      <c r="D57" s="42">
        <v>60.1</v>
      </c>
      <c r="E57" s="43">
        <v>328</v>
      </c>
      <c r="F57" s="42">
        <v>19712.8</v>
      </c>
      <c r="G57" s="42">
        <v>10768.24</v>
      </c>
      <c r="H57" s="44">
        <f t="shared" si="15"/>
        <v>8944.56</v>
      </c>
      <c r="I57" s="45">
        <f t="shared" si="16"/>
        <v>0.45374376039933445</v>
      </c>
      <c r="J57" s="42">
        <v>55</v>
      </c>
      <c r="K57" s="43">
        <v>350</v>
      </c>
      <c r="L57" s="44">
        <f t="shared" si="17"/>
        <v>19250</v>
      </c>
      <c r="M57" s="44">
        <f t="shared" si="18"/>
        <v>22.17</v>
      </c>
      <c r="N57" s="44">
        <f t="shared" si="19"/>
        <v>7759.5000000000009</v>
      </c>
      <c r="O57" s="45">
        <f t="shared" si="20"/>
        <v>0.40309090909090911</v>
      </c>
      <c r="P57" s="44">
        <f t="shared" si="21"/>
        <v>-462.79999999999927</v>
      </c>
      <c r="Q57" s="44">
        <f t="shared" si="22"/>
        <v>-1185.0599999999986</v>
      </c>
      <c r="R57" s="27" t="str">
        <f t="shared" si="23"/>
        <v>▼ WORSE</v>
      </c>
      <c r="S57" s="46">
        <f t="shared" si="24"/>
        <v>404</v>
      </c>
      <c r="T57" s="44">
        <f t="shared" si="25"/>
        <v>58.385885714285706</v>
      </c>
      <c r="U57" s="46">
        <f t="shared" si="26"/>
        <v>54</v>
      </c>
      <c r="V57" s="47">
        <f>Assumptions!$C$4</f>
        <v>7.0000000000000007E-2</v>
      </c>
      <c r="W57" s="44">
        <f>IFERROR(C57*(1-Assumptions!$C$4),C57)</f>
        <v>30.531899999999997</v>
      </c>
      <c r="X57" s="44">
        <f>IFERROR((J57-C57*(1-Assumptions!$C$4))*K57,N57)</f>
        <v>8563.8350000000009</v>
      </c>
      <c r="Y57" s="44">
        <f t="shared" si="27"/>
        <v>-380.72499999999854</v>
      </c>
      <c r="Z57" s="44">
        <f>IFERROR(C57*Assumptions!$C$4*K57,0)</f>
        <v>804.33500000000004</v>
      </c>
      <c r="AA57" s="48">
        <f t="shared" si="28"/>
        <v>0.10313389321613498</v>
      </c>
      <c r="AB57" s="27" t="str">
        <f t="shared" si="29"/>
        <v>▼ WORSE</v>
      </c>
    </row>
    <row r="58" spans="1:28" ht="18" customHeight="1">
      <c r="A58" s="41">
        <v>8983528481</v>
      </c>
      <c r="B58" s="41" t="s">
        <v>180</v>
      </c>
      <c r="C58" s="42">
        <v>121.42</v>
      </c>
      <c r="D58" s="42">
        <v>222.27</v>
      </c>
      <c r="E58" s="43">
        <v>630</v>
      </c>
      <c r="F58" s="42">
        <v>140030.1</v>
      </c>
      <c r="G58" s="42">
        <v>76494.600000000006</v>
      </c>
      <c r="H58" s="49">
        <f t="shared" si="15"/>
        <v>63535.5</v>
      </c>
      <c r="I58" s="50">
        <f t="shared" si="16"/>
        <v>0.4537274485985513</v>
      </c>
      <c r="J58" s="42">
        <v>205</v>
      </c>
      <c r="K58" s="43">
        <v>450</v>
      </c>
      <c r="L58" s="44">
        <f t="shared" si="17"/>
        <v>92250</v>
      </c>
      <c r="M58" s="44">
        <f t="shared" si="18"/>
        <v>83.58</v>
      </c>
      <c r="N58" s="44">
        <f t="shared" si="19"/>
        <v>37611</v>
      </c>
      <c r="O58" s="45">
        <f t="shared" si="20"/>
        <v>0.40770731707317071</v>
      </c>
      <c r="P58" s="44">
        <f t="shared" si="21"/>
        <v>-47780.100000000006</v>
      </c>
      <c r="Q58" s="44">
        <f t="shared" si="22"/>
        <v>-25924.5</v>
      </c>
      <c r="R58" s="27" t="str">
        <f t="shared" si="23"/>
        <v>▼ WORSE</v>
      </c>
      <c r="S58" s="51">
        <f t="shared" si="24"/>
        <v>761</v>
      </c>
      <c r="T58" s="49">
        <f t="shared" si="25"/>
        <v>262.61</v>
      </c>
      <c r="U58" s="51">
        <f t="shared" si="26"/>
        <v>311</v>
      </c>
      <c r="V58" s="52">
        <f>Assumptions!$C$4</f>
        <v>7.0000000000000007E-2</v>
      </c>
      <c r="W58" s="49">
        <f>IFERROR(C58*(1-Assumptions!$C$4),C58)</f>
        <v>112.92059999999999</v>
      </c>
      <c r="X58" s="49">
        <f>IFERROR((J58-C58*(1-Assumptions!$C$4))*K58,N58)</f>
        <v>41435.730000000003</v>
      </c>
      <c r="Y58" s="49">
        <f t="shared" si="27"/>
        <v>-22099.769999999997</v>
      </c>
      <c r="Z58" s="49">
        <f>IFERROR(C58*Assumptions!$C$4*K58,0)</f>
        <v>3824.7300000000005</v>
      </c>
      <c r="AA58" s="53">
        <f t="shared" si="28"/>
        <v>0.47446878603195519</v>
      </c>
      <c r="AB58" s="54" t="str">
        <f t="shared" si="29"/>
        <v>▼ WORSE</v>
      </c>
    </row>
    <row r="60" spans="1:28" ht="21.75" customHeight="1">
      <c r="A60" s="55" t="s">
        <v>181</v>
      </c>
      <c r="B60" s="56" t="s">
        <v>182</v>
      </c>
      <c r="C60" s="57"/>
      <c r="D60" s="57"/>
      <c r="E60" s="58">
        <f>SUM(E6:E58)</f>
        <v>17395</v>
      </c>
      <c r="F60" s="59">
        <f>SUM(F6:F58)</f>
        <v>768615.47000000009</v>
      </c>
      <c r="G60" s="59">
        <f>SUM(G6:G58)</f>
        <v>447499.92999999982</v>
      </c>
      <c r="H60" s="59">
        <f>SUM(H6:H58)</f>
        <v>321115.54000000004</v>
      </c>
      <c r="I60" s="60">
        <f>IFERROR(H60/F60,0)</f>
        <v>0.41778438313243943</v>
      </c>
      <c r="J60" s="61"/>
      <c r="K60" s="62">
        <f>SUM(K6:K58)</f>
        <v>18110</v>
      </c>
      <c r="L60" s="63">
        <f>SUM(L6:L58)</f>
        <v>728880</v>
      </c>
      <c r="M60" s="61"/>
      <c r="N60" s="63">
        <f>SUM(N6:N58)</f>
        <v>198386.75</v>
      </c>
      <c r="O60" s="64">
        <f>IFERROR(N60/L60,0)</f>
        <v>0.27218026286905939</v>
      </c>
      <c r="P60" s="65">
        <f>SUM(P6:P58)</f>
        <v>-39735.470000000016</v>
      </c>
      <c r="Q60" s="65">
        <f>SUM(Q6:Q58)</f>
        <v>-122728.79000000001</v>
      </c>
      <c r="R60" s="66" t="str">
        <f>IF(Q60&gt;=0,"▲ BETTER","▼ WORSE")</f>
        <v>▼ WORSE</v>
      </c>
      <c r="S60" s="67"/>
      <c r="T60" s="67"/>
      <c r="U60" s="67"/>
      <c r="V60" s="68"/>
      <c r="W60" s="68"/>
      <c r="X60" s="69">
        <f>SUM(X6:X58)</f>
        <v>235521.2775</v>
      </c>
      <c r="Y60" s="69">
        <f>SUM(Y6:Y58)</f>
        <v>-85594.262499999983</v>
      </c>
      <c r="Z60" s="69">
        <f>SUM(Z6:Z58)</f>
        <v>37134.527500000004</v>
      </c>
      <c r="AA60" s="68"/>
      <c r="AB60" s="70" t="str">
        <f>IF(Y60&gt;=0,"▲ BETTER","▼ WORSE")</f>
        <v>▼ WORSE</v>
      </c>
    </row>
    <row r="62" spans="1:28" ht="18" customHeight="1">
      <c r="A62" s="164" t="s">
        <v>183</v>
      </c>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row>
    <row r="63" spans="1:28" ht="27.75" customHeight="1">
      <c r="A63" s="71" t="s">
        <v>184</v>
      </c>
      <c r="B63" s="165" t="s">
        <v>185</v>
      </c>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row>
    <row r="64" spans="1:28" ht="27.75" customHeight="1">
      <c r="A64" s="71" t="s">
        <v>186</v>
      </c>
      <c r="B64" s="165" t="s">
        <v>187</v>
      </c>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row>
    <row r="65" spans="1:28" ht="27.75" customHeight="1">
      <c r="A65" s="71" t="s">
        <v>188</v>
      </c>
      <c r="B65" s="165" t="s">
        <v>189</v>
      </c>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c r="AB65" s="165"/>
    </row>
    <row r="66" spans="1:28" ht="27.75" customHeight="1">
      <c r="A66" s="71" t="s">
        <v>190</v>
      </c>
      <c r="B66" s="165" t="s">
        <v>191</v>
      </c>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row>
  </sheetData>
  <mergeCells count="14">
    <mergeCell ref="A1:AB1"/>
    <mergeCell ref="A2:N2"/>
    <mergeCell ref="O2:AB2"/>
    <mergeCell ref="A4:B4"/>
    <mergeCell ref="C4:I4"/>
    <mergeCell ref="J4:O4"/>
    <mergeCell ref="P4:R4"/>
    <mergeCell ref="S4:U4"/>
    <mergeCell ref="V4:AB4"/>
    <mergeCell ref="A62:AB62"/>
    <mergeCell ref="B63:AB63"/>
    <mergeCell ref="B64:AB64"/>
    <mergeCell ref="B65:AB65"/>
    <mergeCell ref="B66:AB66"/>
  </mergeCells>
  <conditionalFormatting sqref="P6:Q58">
    <cfRule type="cellIs" dxfId="8" priority="2" operator="greaterThanOrEqual">
      <formula>0</formula>
    </cfRule>
    <cfRule type="cellIs" dxfId="7" priority="3" operator="lessThan">
      <formula>0</formula>
    </cfRule>
  </conditionalFormatting>
  <conditionalFormatting sqref="R6:R58">
    <cfRule type="expression" dxfId="6" priority="6">
      <formula>Q6&gt;=0</formula>
    </cfRule>
    <cfRule type="expression" dxfId="5" priority="7">
      <formula>Q6&lt;0</formula>
    </cfRule>
  </conditionalFormatting>
  <conditionalFormatting sqref="X6:Y58">
    <cfRule type="cellIs" dxfId="4" priority="4" operator="greaterThanOrEqual">
      <formula>0</formula>
    </cfRule>
    <cfRule type="cellIs" dxfId="3" priority="5" operator="lessThan">
      <formula>0</formula>
    </cfRule>
  </conditionalFormatting>
  <conditionalFormatting sqref="AA6:AA58">
    <cfRule type="cellIs" dxfId="2" priority="10" operator="greaterThan">
      <formula>0.3</formula>
    </cfRule>
  </conditionalFormatting>
  <conditionalFormatting sqref="AB6:AB58">
    <cfRule type="expression" dxfId="1" priority="8">
      <formula>Y6&gt;=0</formula>
    </cfRule>
    <cfRule type="expression" dxfId="0" priority="9">
      <formula>Y6&lt;0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0E1E"/>
  </sheetPr>
  <dimension ref="A1:L64"/>
  <sheetViews>
    <sheetView zoomScaleNormal="100" workbookViewId="0">
      <selection activeCell="C9" sqref="C9"/>
    </sheetView>
  </sheetViews>
  <sheetFormatPr defaultColWidth="8.7109375" defaultRowHeight="15"/>
  <cols>
    <col min="1" max="1" width="14" customWidth="1"/>
    <col min="2" max="2" width="38" customWidth="1"/>
    <col min="3" max="4" width="16" customWidth="1"/>
    <col min="5" max="5" width="14" customWidth="1"/>
    <col min="6" max="6" width="10" customWidth="1"/>
    <col min="7" max="7" width="14" customWidth="1"/>
    <col min="8" max="9" width="18" customWidth="1"/>
    <col min="10" max="10" width="16" customWidth="1"/>
    <col min="11" max="11" width="14" customWidth="1"/>
    <col min="12" max="12" width="18" customWidth="1"/>
  </cols>
  <sheetData>
    <row r="1" spans="1:12" ht="30" customHeight="1">
      <c r="A1" s="174" t="s">
        <v>192</v>
      </c>
      <c r="B1" s="174"/>
      <c r="C1" s="174"/>
      <c r="D1" s="174"/>
      <c r="E1" s="174"/>
      <c r="F1" s="174"/>
      <c r="G1" s="174"/>
      <c r="H1" s="174"/>
      <c r="I1" s="174"/>
      <c r="J1" s="174"/>
      <c r="K1" s="174"/>
      <c r="L1" s="174"/>
    </row>
    <row r="2" spans="1:12" ht="18" customHeight="1">
      <c r="A2" s="175" t="str">
        <f>Assumptions!B9 &amp; "  |  Market: " &amp; Assumptions!B10 &amp; "  |  Ref: " &amp; Assumptions!B11</f>
        <v>Distributor  |  Market: [Market]  |  Ref: SPA Distributor</v>
      </c>
      <c r="B2" s="175"/>
      <c r="C2" s="175"/>
      <c r="D2" s="175"/>
      <c r="E2" s="175"/>
      <c r="F2" s="175"/>
      <c r="G2" s="175"/>
      <c r="H2" s="175"/>
      <c r="I2" s="175"/>
      <c r="J2" s="175"/>
      <c r="K2" s="175"/>
      <c r="L2" s="175"/>
    </row>
    <row r="3" spans="1:12" ht="6" customHeight="1"/>
    <row r="4" spans="1:12" ht="37.5" customHeight="1">
      <c r="A4" s="72" t="s">
        <v>108</v>
      </c>
      <c r="B4" s="72" t="s">
        <v>109</v>
      </c>
      <c r="C4" s="72" t="s">
        <v>193</v>
      </c>
      <c r="D4" s="72" t="s">
        <v>194</v>
      </c>
      <c r="E4" s="72" t="s">
        <v>195</v>
      </c>
      <c r="F4" s="72" t="s">
        <v>196</v>
      </c>
      <c r="G4" s="72" t="s">
        <v>197</v>
      </c>
      <c r="H4" s="72" t="s">
        <v>198</v>
      </c>
      <c r="I4" s="72" t="s">
        <v>199</v>
      </c>
      <c r="J4" s="72" t="s">
        <v>200</v>
      </c>
      <c r="K4" s="73" t="s">
        <v>201</v>
      </c>
      <c r="L4" s="73" t="s">
        <v>202</v>
      </c>
    </row>
    <row r="5" spans="1:12" ht="18" customHeight="1">
      <c r="A5" s="74">
        <f>'SPA Optimizer'!A6</f>
        <v>1443803030</v>
      </c>
      <c r="B5" s="74" t="str">
        <f>'SPA Optimizer'!B6</f>
        <v>LINK; DRAG</v>
      </c>
      <c r="C5" s="75">
        <f>'SPA Optimizer'!D6</f>
        <v>131.66</v>
      </c>
      <c r="D5" s="76">
        <f>'SPA Optimizer'!J6</f>
        <v>110</v>
      </c>
      <c r="E5" s="75">
        <f>'SPA Optimizer'!D6-'SPA Optimizer'!J6</f>
        <v>21.659999999999997</v>
      </c>
      <c r="F5" s="77">
        <f>IFERROR(IF('SPA Optimizer'!D6&gt;0,('SPA Optimizer'!D6-'SPA Optimizer'!J6)/'SPA Optimizer'!D6,0),0)</f>
        <v>0.16451465897007442</v>
      </c>
      <c r="G5" s="78">
        <f>'SPA Optimizer'!K6</f>
        <v>60</v>
      </c>
      <c r="H5" s="79">
        <f>'SPA Optimizer'!L6</f>
        <v>6600</v>
      </c>
      <c r="I5" s="80">
        <f>IFERROR('SPA Optimizer'!D6*'SPA Optimizer'!K6-'SPA Optimizer'!L6,0)</f>
        <v>1299.5999999999995</v>
      </c>
      <c r="J5" s="81">
        <f>IFERROR(IF('SPA Optimizer'!E6&gt;0,('SPA Optimizer'!K6-'SPA Optimizer'!E6)/'SPA Optimizer'!E6,0),0)</f>
        <v>-0.11764705882352941</v>
      </c>
      <c r="K5" s="79">
        <f>IFERROR(('SPA Optimizer'!D6-'SPA Optimizer'!J6)*'SPA Optimizer'!K6,0)</f>
        <v>1299.5999999999999</v>
      </c>
      <c r="L5" s="82" t="str">
        <f>IF('SPA Optimizer'!R6="▲ BETTER","✔ Viable",IF(AND('SPA Optimizer'!AB6="▲ BETTER",'SPA Optimizer'!AA6&lt;=1),"✔ w/ IML support",IF(OR('SPA Optimizer'!AA6&gt;1,'SPA Optimizer'!O6&lt;0),"✖ Not feasible","⚠ Review")))</f>
        <v>⚠ Review</v>
      </c>
    </row>
    <row r="6" spans="1:12" ht="18" customHeight="1">
      <c r="A6" s="83">
        <f>'SPA Optimizer'!A7</f>
        <v>1443803050</v>
      </c>
      <c r="B6" s="83" t="str">
        <f>'SPA Optimizer'!B7</f>
        <v>LINK; DRAG</v>
      </c>
      <c r="C6" s="84">
        <f>'SPA Optimizer'!D7</f>
        <v>137.41</v>
      </c>
      <c r="D6" s="85">
        <f>'SPA Optimizer'!J7</f>
        <v>110</v>
      </c>
      <c r="E6" s="84">
        <f>'SPA Optimizer'!D7-'SPA Optimizer'!J7</f>
        <v>27.409999999999997</v>
      </c>
      <c r="F6" s="86">
        <f>IFERROR(IF('SPA Optimizer'!D7&gt;0,('SPA Optimizer'!D7-'SPA Optimizer'!J7)/'SPA Optimizer'!D7,0),0)</f>
        <v>0.19947602066807363</v>
      </c>
      <c r="G6" s="87">
        <f>'SPA Optimizer'!K7</f>
        <v>55</v>
      </c>
      <c r="H6" s="88">
        <f>'SPA Optimizer'!L7</f>
        <v>6050</v>
      </c>
      <c r="I6" s="89">
        <f>IFERROR('SPA Optimizer'!D7*'SPA Optimizer'!K7-'SPA Optimizer'!L7,0)</f>
        <v>1507.5500000000002</v>
      </c>
      <c r="J6" s="90">
        <f>IFERROR(IF('SPA Optimizer'!E7&gt;0,('SPA Optimizer'!K7-'SPA Optimizer'!E7)/'SPA Optimizer'!E7,0),0)</f>
        <v>0.25</v>
      </c>
      <c r="K6" s="88">
        <f>IFERROR(('SPA Optimizer'!D7-'SPA Optimizer'!J7)*'SPA Optimizer'!K7,0)</f>
        <v>1507.5499999999997</v>
      </c>
      <c r="L6" s="91" t="str">
        <f>IF('SPA Optimizer'!R7="▲ BETTER","✔ Viable",IF(AND('SPA Optimizer'!AB7="▲ BETTER",'SPA Optimizer'!AA7&lt;=1),"✔ w/ IML support",IF(OR('SPA Optimizer'!AA7&gt;1,'SPA Optimizer'!O7&lt;0),"✖ Not feasible","⚠ Review")))</f>
        <v>⚠ Review</v>
      </c>
    </row>
    <row r="7" spans="1:12" ht="18" customHeight="1">
      <c r="A7" s="74">
        <f>'SPA Optimizer'!A8</f>
        <v>1476010870</v>
      </c>
      <c r="B7" s="74" t="str">
        <f>'SPA Optimizer'!B8</f>
        <v>EXPANDER</v>
      </c>
      <c r="C7" s="75">
        <f>'SPA Optimizer'!D8</f>
        <v>252.56</v>
      </c>
      <c r="D7" s="76">
        <f>'SPA Optimizer'!J8</f>
        <v>200</v>
      </c>
      <c r="E7" s="75">
        <f>'SPA Optimizer'!D8-'SPA Optimizer'!J8</f>
        <v>52.56</v>
      </c>
      <c r="F7" s="77">
        <f>IFERROR(IF('SPA Optimizer'!D8&gt;0,('SPA Optimizer'!D8-'SPA Optimizer'!J8)/'SPA Optimizer'!D8,0),0)</f>
        <v>0.20810896420652519</v>
      </c>
      <c r="G7" s="78">
        <f>'SPA Optimizer'!K8</f>
        <v>90</v>
      </c>
      <c r="H7" s="79">
        <f>'SPA Optimizer'!L8</f>
        <v>18000</v>
      </c>
      <c r="I7" s="80">
        <f>IFERROR('SPA Optimizer'!D8*'SPA Optimizer'!K8-'SPA Optimizer'!L8,0)</f>
        <v>4730.4000000000015</v>
      </c>
      <c r="J7" s="81">
        <f>IFERROR(IF('SPA Optimizer'!E8&gt;0,('SPA Optimizer'!K8-'SPA Optimizer'!E8)/'SPA Optimizer'!E8,0),0)</f>
        <v>0.83673469387755106</v>
      </c>
      <c r="K7" s="79">
        <f>IFERROR(('SPA Optimizer'!D8-'SPA Optimizer'!J8)*'SPA Optimizer'!K8,0)</f>
        <v>4730.4000000000005</v>
      </c>
      <c r="L7" s="82" t="str">
        <f>IF('SPA Optimizer'!R8="▲ BETTER","✔ Viable",IF(AND('SPA Optimizer'!AB8="▲ BETTER",'SPA Optimizer'!AA8&lt;=1),"✔ w/ IML support",IF(OR('SPA Optimizer'!AA8&gt;1,'SPA Optimizer'!O8&lt;0),"✖ Not feasible","⚠ Review")))</f>
        <v>✔ w/ IML support</v>
      </c>
    </row>
    <row r="8" spans="1:12" ht="18" customHeight="1">
      <c r="A8" s="83">
        <f>'SPA Optimizer'!A9</f>
        <v>1476012180</v>
      </c>
      <c r="B8" s="83" t="str">
        <f>'SPA Optimizer'!B9</f>
        <v>CYLINDER; WHEEL,RR BRK</v>
      </c>
      <c r="C8" s="84">
        <f>'SPA Optimizer'!D9</f>
        <v>193.68</v>
      </c>
      <c r="D8" s="85">
        <f>'SPA Optimizer'!J9</f>
        <v>150</v>
      </c>
      <c r="E8" s="84">
        <f>'SPA Optimizer'!D9-'SPA Optimizer'!J9</f>
        <v>43.680000000000007</v>
      </c>
      <c r="F8" s="86">
        <f>IFERROR(IF('SPA Optimizer'!D9&gt;0,('SPA Optimizer'!D9-'SPA Optimizer'!J9)/'SPA Optimizer'!D9,0),0)</f>
        <v>0.22552664188351923</v>
      </c>
      <c r="G8" s="87">
        <f>'SPA Optimizer'!K9</f>
        <v>80</v>
      </c>
      <c r="H8" s="88">
        <f>'SPA Optimizer'!L9</f>
        <v>12000</v>
      </c>
      <c r="I8" s="89">
        <f>IFERROR('SPA Optimizer'!D9*'SPA Optimizer'!K9-'SPA Optimizer'!L9,0)</f>
        <v>3494.4000000000015</v>
      </c>
      <c r="J8" s="90">
        <f>IFERROR(IF('SPA Optimizer'!E9&gt;0,('SPA Optimizer'!K9-'SPA Optimizer'!E9)/'SPA Optimizer'!E9,0),0)</f>
        <v>3.896103896103896E-2</v>
      </c>
      <c r="K8" s="88">
        <f>IFERROR(('SPA Optimizer'!D9-'SPA Optimizer'!J9)*'SPA Optimizer'!K9,0)</f>
        <v>3494.4000000000005</v>
      </c>
      <c r="L8" s="91" t="str">
        <f>IF('SPA Optimizer'!R9="▲ BETTER","✔ Viable",IF(AND('SPA Optimizer'!AB9="▲ BETTER",'SPA Optimizer'!AA9&lt;=1),"✔ w/ IML support",IF(OR('SPA Optimizer'!AA9&gt;1,'SPA Optimizer'!O9&lt;0),"✖ Not feasible","⚠ Review")))</f>
        <v>⚠ Review</v>
      </c>
    </row>
    <row r="9" spans="1:12" ht="18" customHeight="1">
      <c r="A9" s="74">
        <f>'SPA Optimizer'!A10</f>
        <v>1476012190</v>
      </c>
      <c r="B9" s="74" t="str">
        <f>'SPA Optimizer'!B10</f>
        <v>CYLINDER; WHEEL,RR BRK</v>
      </c>
      <c r="C9" s="75">
        <f>'SPA Optimizer'!D10</f>
        <v>193.68</v>
      </c>
      <c r="D9" s="76">
        <f>'SPA Optimizer'!J10</f>
        <v>150</v>
      </c>
      <c r="E9" s="75">
        <f>'SPA Optimizer'!D10-'SPA Optimizer'!J10</f>
        <v>43.680000000000007</v>
      </c>
      <c r="F9" s="77">
        <f>IFERROR(IF('SPA Optimizer'!D10&gt;0,('SPA Optimizer'!D10-'SPA Optimizer'!J10)/'SPA Optimizer'!D10,0),0)</f>
        <v>0.22552664188351923</v>
      </c>
      <c r="G9" s="78">
        <f>'SPA Optimizer'!K10</f>
        <v>70</v>
      </c>
      <c r="H9" s="79">
        <f>'SPA Optimizer'!L10</f>
        <v>10500</v>
      </c>
      <c r="I9" s="80">
        <f>IFERROR('SPA Optimizer'!D10*'SPA Optimizer'!K10-'SPA Optimizer'!L10,0)</f>
        <v>3057.6000000000004</v>
      </c>
      <c r="J9" s="81">
        <f>IFERROR(IF('SPA Optimizer'!E10&gt;0,('SPA Optimizer'!K10-'SPA Optimizer'!E10)/'SPA Optimizer'!E10,0),0)</f>
        <v>-0.30693069306930693</v>
      </c>
      <c r="K9" s="79">
        <f>IFERROR(('SPA Optimizer'!D10-'SPA Optimizer'!J10)*'SPA Optimizer'!K10,0)</f>
        <v>3057.6000000000004</v>
      </c>
      <c r="L9" s="82" t="str">
        <f>IF('SPA Optimizer'!R10="▲ BETTER","✔ Viable",IF(AND('SPA Optimizer'!AB10="▲ BETTER",'SPA Optimizer'!AA10&lt;=1),"✔ w/ IML support",IF(OR('SPA Optimizer'!AA10&gt;1,'SPA Optimizer'!O10&lt;0),"✖ Not feasible","⚠ Review")))</f>
        <v>⚠ Review</v>
      </c>
    </row>
    <row r="10" spans="1:12" ht="18" customHeight="1">
      <c r="A10" s="83">
        <f>'SPA Optimizer'!A11</f>
        <v>1876101141</v>
      </c>
      <c r="B10" s="83" t="str">
        <f>'SPA Optimizer'!B11</f>
        <v>FILTER; ACL,INNER</v>
      </c>
      <c r="C10" s="84">
        <f>'SPA Optimizer'!D11</f>
        <v>14.8</v>
      </c>
      <c r="D10" s="85">
        <f>'SPA Optimizer'!J11</f>
        <v>12</v>
      </c>
      <c r="E10" s="84">
        <f>'SPA Optimizer'!D11-'SPA Optimizer'!J11</f>
        <v>2.8000000000000007</v>
      </c>
      <c r="F10" s="86">
        <f>IFERROR(IF('SPA Optimizer'!D11&gt;0,('SPA Optimizer'!D11-'SPA Optimizer'!J11)/'SPA Optimizer'!D11,0),0)</f>
        <v>0.18918918918918923</v>
      </c>
      <c r="G10" s="87">
        <f>'SPA Optimizer'!K11</f>
        <v>1200</v>
      </c>
      <c r="H10" s="88">
        <f>'SPA Optimizer'!L11</f>
        <v>14400</v>
      </c>
      <c r="I10" s="89">
        <f>IFERROR('SPA Optimizer'!D11*'SPA Optimizer'!K11-'SPA Optimizer'!L11,0)</f>
        <v>3360</v>
      </c>
      <c r="J10" s="90">
        <f>IFERROR(IF('SPA Optimizer'!E11&gt;0,('SPA Optimizer'!K11-'SPA Optimizer'!E11)/'SPA Optimizer'!E11,0),0)</f>
        <v>0.34831460674157305</v>
      </c>
      <c r="K10" s="88">
        <f>IFERROR(('SPA Optimizer'!D11-'SPA Optimizer'!J11)*'SPA Optimizer'!K11,0)</f>
        <v>3360.0000000000009</v>
      </c>
      <c r="L10" s="91" t="str">
        <f>IF('SPA Optimizer'!R11="▲ BETTER","✔ Viable",IF(AND('SPA Optimizer'!AB11="▲ BETTER",'SPA Optimizer'!AA11&lt;=1),"✔ w/ IML support",IF(OR('SPA Optimizer'!AA11&gt;1,'SPA Optimizer'!O11&lt;0),"✖ Not feasible","⚠ Review")))</f>
        <v>⚠ Review</v>
      </c>
    </row>
    <row r="11" spans="1:12" ht="18" customHeight="1">
      <c r="A11" s="74">
        <f>'SPA Optimizer'!A12</f>
        <v>5876100891</v>
      </c>
      <c r="B11" s="74" t="str">
        <f>'SPA Optimizer'!B12</f>
        <v>PUMP ASM; WATER</v>
      </c>
      <c r="C11" s="75">
        <f>'SPA Optimizer'!D12</f>
        <v>41.66</v>
      </c>
      <c r="D11" s="76">
        <f>'SPA Optimizer'!J12</f>
        <v>50</v>
      </c>
      <c r="E11" s="75">
        <f>'SPA Optimizer'!D12-'SPA Optimizer'!J12</f>
        <v>-8.3400000000000034</v>
      </c>
      <c r="F11" s="77">
        <f>IFERROR(IF('SPA Optimizer'!D12&gt;0,('SPA Optimizer'!D12-'SPA Optimizer'!J12)/'SPA Optimizer'!D12,0),0)</f>
        <v>-0.20019203072491609</v>
      </c>
      <c r="G11" s="78">
        <f>'SPA Optimizer'!K12</f>
        <v>35</v>
      </c>
      <c r="H11" s="79">
        <f>'SPA Optimizer'!L12</f>
        <v>1750</v>
      </c>
      <c r="I11" s="80">
        <f>IFERROR('SPA Optimizer'!D12*'SPA Optimizer'!K12-'SPA Optimizer'!L12,0)</f>
        <v>-291.90000000000009</v>
      </c>
      <c r="J11" s="81">
        <f>IFERROR(IF('SPA Optimizer'!E12&gt;0,('SPA Optimizer'!K12-'SPA Optimizer'!E12)/'SPA Optimizer'!E12,0),0)</f>
        <v>-0.18604651162790697</v>
      </c>
      <c r="K11" s="79">
        <f>IFERROR(('SPA Optimizer'!D12-'SPA Optimizer'!J12)*'SPA Optimizer'!K12,0)</f>
        <v>-291.90000000000009</v>
      </c>
      <c r="L11" s="82" t="str">
        <f>IF('SPA Optimizer'!R12="▲ BETTER","✔ Viable",IF(AND('SPA Optimizer'!AB12="▲ BETTER",'SPA Optimizer'!AA12&lt;=1),"✔ w/ IML support",IF(OR('SPA Optimizer'!AA12&gt;1,'SPA Optimizer'!O12&lt;0),"✖ Not feasible","⚠ Review")))</f>
        <v>✔ Viable</v>
      </c>
    </row>
    <row r="12" spans="1:12" ht="18" customHeight="1">
      <c r="A12" s="83">
        <f>'SPA Optimizer'!A13</f>
        <v>5876102200</v>
      </c>
      <c r="B12" s="83" t="str">
        <f>'SPA Optimizer'!B13</f>
        <v>ELEMENT KIT;FUEL FILTER</v>
      </c>
      <c r="C12" s="84">
        <f>'SPA Optimizer'!D13</f>
        <v>17.46</v>
      </c>
      <c r="D12" s="85">
        <f>'SPA Optimizer'!J13</f>
        <v>14</v>
      </c>
      <c r="E12" s="84">
        <f>'SPA Optimizer'!D13-'SPA Optimizer'!J13</f>
        <v>3.4600000000000009</v>
      </c>
      <c r="F12" s="86">
        <f>IFERROR(IF('SPA Optimizer'!D13&gt;0,('SPA Optimizer'!D13-'SPA Optimizer'!J13)/'SPA Optimizer'!D13,0),0)</f>
        <v>0.19816723940435285</v>
      </c>
      <c r="G12" s="87">
        <f>'SPA Optimizer'!K13</f>
        <v>2300</v>
      </c>
      <c r="H12" s="88">
        <f>'SPA Optimizer'!L13</f>
        <v>32200</v>
      </c>
      <c r="I12" s="89">
        <f>IFERROR('SPA Optimizer'!D13*'SPA Optimizer'!K13-'SPA Optimizer'!L13,0)</f>
        <v>7958</v>
      </c>
      <c r="J12" s="90">
        <f>IFERROR(IF('SPA Optimizer'!E13&gt;0,('SPA Optimizer'!K13-'SPA Optimizer'!E13)/'SPA Optimizer'!E13,0),0)</f>
        <v>0.12800392349190781</v>
      </c>
      <c r="K12" s="88">
        <f>IFERROR(('SPA Optimizer'!D13-'SPA Optimizer'!J13)*'SPA Optimizer'!K13,0)</f>
        <v>7958.0000000000018</v>
      </c>
      <c r="L12" s="91" t="str">
        <f>IF('SPA Optimizer'!R13="▲ BETTER","✔ Viable",IF(AND('SPA Optimizer'!AB13="▲ BETTER",'SPA Optimizer'!AA13&lt;=1),"✔ w/ IML support",IF(OR('SPA Optimizer'!AA13&gt;1,'SPA Optimizer'!O13&lt;0),"✖ Not feasible","⚠ Review")))</f>
        <v>⚠ Review</v>
      </c>
    </row>
    <row r="13" spans="1:12" ht="18" customHeight="1">
      <c r="A13" s="74">
        <f>'SPA Optimizer'!A14</f>
        <v>5876102320</v>
      </c>
      <c r="B13" s="74" t="str">
        <f>'SPA Optimizer'!B14</f>
        <v>CLUTCH KIT</v>
      </c>
      <c r="C13" s="75">
        <f>'SPA Optimizer'!D14</f>
        <v>167.52</v>
      </c>
      <c r="D13" s="76">
        <f>'SPA Optimizer'!J14</f>
        <v>120</v>
      </c>
      <c r="E13" s="75">
        <f>'SPA Optimizer'!D14-'SPA Optimizer'!J14</f>
        <v>47.52000000000001</v>
      </c>
      <c r="F13" s="77">
        <f>IFERROR(IF('SPA Optimizer'!D14&gt;0,('SPA Optimizer'!D14-'SPA Optimizer'!J14)/'SPA Optimizer'!D14,0),0)</f>
        <v>0.28366762177650434</v>
      </c>
      <c r="G13" s="78">
        <f>'SPA Optimizer'!K14</f>
        <v>400</v>
      </c>
      <c r="H13" s="79">
        <f>'SPA Optimizer'!L14</f>
        <v>48000</v>
      </c>
      <c r="I13" s="80">
        <f>IFERROR('SPA Optimizer'!D14*'SPA Optimizer'!K14-'SPA Optimizer'!L14,0)</f>
        <v>19008</v>
      </c>
      <c r="J13" s="81">
        <f>IFERROR(IF('SPA Optimizer'!E14&gt;0,('SPA Optimizer'!K14-'SPA Optimizer'!E14)/'SPA Optimizer'!E14,0),0)</f>
        <v>0.23076923076923078</v>
      </c>
      <c r="K13" s="79">
        <f>IFERROR(('SPA Optimizer'!D14-'SPA Optimizer'!J14)*'SPA Optimizer'!K14,0)</f>
        <v>19008.000000000004</v>
      </c>
      <c r="L13" s="82" t="str">
        <f>IF('SPA Optimizer'!R14="▲ BETTER","✔ Viable",IF(AND('SPA Optimizer'!AB14="▲ BETTER",'SPA Optimizer'!AA14&lt;=1),"✔ w/ IML support",IF(OR('SPA Optimizer'!AA14&gt;1,'SPA Optimizer'!O14&lt;0),"✖ Not feasible","⚠ Review")))</f>
        <v>⚠ Review</v>
      </c>
    </row>
    <row r="14" spans="1:12" ht="18" customHeight="1">
      <c r="A14" s="83">
        <f>'SPA Optimizer'!A15</f>
        <v>5876102820</v>
      </c>
      <c r="B14" s="83" t="str">
        <f>'SPA Optimizer'!B15</f>
        <v>STARTER ASM</v>
      </c>
      <c r="C14" s="84">
        <f>'SPA Optimizer'!D15</f>
        <v>148.01</v>
      </c>
      <c r="D14" s="85">
        <f>'SPA Optimizer'!J15</f>
        <v>135</v>
      </c>
      <c r="E14" s="84">
        <f>'SPA Optimizer'!D15-'SPA Optimizer'!J15</f>
        <v>13.009999999999991</v>
      </c>
      <c r="F14" s="86">
        <f>IFERROR(IF('SPA Optimizer'!D15&gt;0,('SPA Optimizer'!D15-'SPA Optimizer'!J15)/'SPA Optimizer'!D15,0),0)</f>
        <v>8.7899466252280192E-2</v>
      </c>
      <c r="G14" s="87">
        <f>'SPA Optimizer'!K15</f>
        <v>45</v>
      </c>
      <c r="H14" s="88">
        <f>'SPA Optimizer'!L15</f>
        <v>6075</v>
      </c>
      <c r="I14" s="89">
        <f>IFERROR('SPA Optimizer'!D15*'SPA Optimizer'!K15-'SPA Optimizer'!L15,0)</f>
        <v>585.44999999999982</v>
      </c>
      <c r="J14" s="90">
        <f>IFERROR(IF('SPA Optimizer'!E15&gt;0,('SPA Optimizer'!K15-'SPA Optimizer'!E15)/'SPA Optimizer'!E15,0),0)</f>
        <v>3.5</v>
      </c>
      <c r="K14" s="88">
        <f>IFERROR(('SPA Optimizer'!D15-'SPA Optimizer'!J15)*'SPA Optimizer'!K15,0)</f>
        <v>585.44999999999959</v>
      </c>
      <c r="L14" s="91" t="str">
        <f>IF('SPA Optimizer'!R15="▲ BETTER","✔ Viable",IF(AND('SPA Optimizer'!AB15="▲ BETTER",'SPA Optimizer'!AA15&lt;=1),"✔ w/ IML support",IF(OR('SPA Optimizer'!AA15&gt;1,'SPA Optimizer'!O15&lt;0),"✖ Not feasible","⚠ Review")))</f>
        <v>✔ Viable</v>
      </c>
    </row>
    <row r="15" spans="1:12" ht="18" customHeight="1">
      <c r="A15" s="74">
        <f>'SPA Optimizer'!A16</f>
        <v>5876102850</v>
      </c>
      <c r="B15" s="74" t="str">
        <f>'SPA Optimizer'!B16</f>
        <v>ABSORBER ASM; SHOCK,FRT</v>
      </c>
      <c r="C15" s="75">
        <f>'SPA Optimizer'!D16</f>
        <v>17.88</v>
      </c>
      <c r="D15" s="76">
        <f>'SPA Optimizer'!J16</f>
        <v>12</v>
      </c>
      <c r="E15" s="75">
        <f>'SPA Optimizer'!D16-'SPA Optimizer'!J16</f>
        <v>5.879999999999999</v>
      </c>
      <c r="F15" s="77">
        <f>IFERROR(IF('SPA Optimizer'!D16&gt;0,('SPA Optimizer'!D16-'SPA Optimizer'!J16)/'SPA Optimizer'!D16,0),0)</f>
        <v>0.32885906040268453</v>
      </c>
      <c r="G15" s="78">
        <f>'SPA Optimizer'!K16</f>
        <v>300</v>
      </c>
      <c r="H15" s="79">
        <f>'SPA Optimizer'!L16</f>
        <v>3600</v>
      </c>
      <c r="I15" s="80">
        <f>IFERROR('SPA Optimizer'!D16*'SPA Optimizer'!K16-'SPA Optimizer'!L16,0)</f>
        <v>1764</v>
      </c>
      <c r="J15" s="81">
        <f>IFERROR(IF('SPA Optimizer'!E16&gt;0,('SPA Optimizer'!K16-'SPA Optimizer'!E16)/'SPA Optimizer'!E16,0),0)</f>
        <v>0.15384615384615385</v>
      </c>
      <c r="K15" s="79">
        <f>IFERROR(('SPA Optimizer'!D16-'SPA Optimizer'!J16)*'SPA Optimizer'!K16,0)</f>
        <v>1763.9999999999998</v>
      </c>
      <c r="L15" s="82" t="str">
        <f>IF('SPA Optimizer'!R16="▲ BETTER","✔ Viable",IF(AND('SPA Optimizer'!AB16="▲ BETTER",'SPA Optimizer'!AA16&lt;=1),"✔ w/ IML support",IF(OR('SPA Optimizer'!AA16&gt;1,'SPA Optimizer'!O16&lt;0),"✖ Not feasible","⚠ Review")))</f>
        <v>⚠ Review</v>
      </c>
    </row>
    <row r="16" spans="1:12" ht="18" customHeight="1">
      <c r="A16" s="83">
        <f>'SPA Optimizer'!A17</f>
        <v>5878323991</v>
      </c>
      <c r="B16" s="83" t="str">
        <f>'SPA Optimizer'!B17</f>
        <v>KING PIN KIT</v>
      </c>
      <c r="C16" s="84">
        <f>'SPA Optimizer'!D17</f>
        <v>62.55</v>
      </c>
      <c r="D16" s="85">
        <f>'SPA Optimizer'!J17</f>
        <v>50</v>
      </c>
      <c r="E16" s="84">
        <f>'SPA Optimizer'!D17-'SPA Optimizer'!J17</f>
        <v>12.549999999999997</v>
      </c>
      <c r="F16" s="86">
        <f>IFERROR(IF('SPA Optimizer'!D17&gt;0,('SPA Optimizer'!D17-'SPA Optimizer'!J17)/'SPA Optimizer'!D17,0),0)</f>
        <v>0.20063948840927254</v>
      </c>
      <c r="G16" s="87">
        <f>'SPA Optimizer'!K17</f>
        <v>270</v>
      </c>
      <c r="H16" s="88">
        <f>'SPA Optimizer'!L17</f>
        <v>13500</v>
      </c>
      <c r="I16" s="89">
        <f>IFERROR('SPA Optimizer'!D17*'SPA Optimizer'!K17-'SPA Optimizer'!L17,0)</f>
        <v>3388.5</v>
      </c>
      <c r="J16" s="90">
        <f>IFERROR(IF('SPA Optimizer'!E17&gt;0,('SPA Optimizer'!K17-'SPA Optimizer'!E17)/'SPA Optimizer'!E17,0),0)</f>
        <v>2.8571428571428572</v>
      </c>
      <c r="K16" s="88">
        <f>IFERROR(('SPA Optimizer'!D17-'SPA Optimizer'!J17)*'SPA Optimizer'!K17,0)</f>
        <v>3388.4999999999991</v>
      </c>
      <c r="L16" s="91" t="str">
        <f>IF('SPA Optimizer'!R17="▲ BETTER","✔ Viable",IF(AND('SPA Optimizer'!AB17="▲ BETTER",'SPA Optimizer'!AA17&lt;=1),"✔ w/ IML support",IF(OR('SPA Optimizer'!AA17&gt;1,'SPA Optimizer'!O17&lt;0),"✖ Not feasible","⚠ Review")))</f>
        <v>✔ Viable</v>
      </c>
    </row>
    <row r="17" spans="1:12" ht="18" customHeight="1">
      <c r="A17" s="92">
        <f>'SPA Optimizer'!A18</f>
        <v>7551827563</v>
      </c>
      <c r="B17" s="92" t="str">
        <f>'SPA Optimizer'!B18</f>
        <v>BUMPER ASM; FRT</v>
      </c>
      <c r="C17" s="93">
        <f>'SPA Optimizer'!D18</f>
        <v>218.21</v>
      </c>
      <c r="D17" s="94">
        <f>'SPA Optimizer'!J18</f>
        <v>199</v>
      </c>
      <c r="E17" s="93">
        <f>'SPA Optimizer'!D18-'SPA Optimizer'!J18</f>
        <v>19.210000000000008</v>
      </c>
      <c r="F17" s="95">
        <f>IFERROR(IF('SPA Optimizer'!D18&gt;0,('SPA Optimizer'!D18-'SPA Optimizer'!J18)/'SPA Optimizer'!D18,0),0)</f>
        <v>8.8034462215297218E-2</v>
      </c>
      <c r="G17" s="96">
        <f>'SPA Optimizer'!K18</f>
        <v>20</v>
      </c>
      <c r="H17" s="97">
        <f>'SPA Optimizer'!L18</f>
        <v>3980</v>
      </c>
      <c r="I17" s="98">
        <f>IFERROR('SPA Optimizer'!D18*'SPA Optimizer'!K18-'SPA Optimizer'!L18,0)</f>
        <v>384.19999999999982</v>
      </c>
      <c r="J17" s="99">
        <f>IFERROR(IF('SPA Optimizer'!E18&gt;0,('SPA Optimizer'!K18-'SPA Optimizer'!E18)/'SPA Optimizer'!E18,0),0)</f>
        <v>0</v>
      </c>
      <c r="K17" s="97">
        <f>IFERROR(('SPA Optimizer'!D18-'SPA Optimizer'!J18)*'SPA Optimizer'!K18,0)</f>
        <v>384.20000000000016</v>
      </c>
      <c r="L17" s="100" t="str">
        <f>IF('SPA Optimizer'!R18="▲ BETTER","✔ Viable",IF(AND('SPA Optimizer'!AB18="▲ BETTER",'SPA Optimizer'!AA18&lt;=1),"✔ w/ IML support",IF(OR('SPA Optimizer'!AA18&gt;1,'SPA Optimizer'!O18&lt;0),"✖ Not feasible","⚠ Review")))</f>
        <v>⚠ Review</v>
      </c>
    </row>
    <row r="18" spans="1:12" ht="18" customHeight="1">
      <c r="A18" s="92">
        <f>'SPA Optimizer'!A19</f>
        <v>7552536820</v>
      </c>
      <c r="B18" s="92" t="str">
        <f>'SPA Optimizer'!B19</f>
        <v>SENSOR; SHORT RANGE RADAR</v>
      </c>
      <c r="C18" s="93">
        <f>'SPA Optimizer'!D19</f>
        <v>277.82</v>
      </c>
      <c r="D18" s="94">
        <f>'SPA Optimizer'!J19</f>
        <v>250</v>
      </c>
      <c r="E18" s="93">
        <f>'SPA Optimizer'!D19-'SPA Optimizer'!J19</f>
        <v>27.819999999999993</v>
      </c>
      <c r="F18" s="95">
        <f>IFERROR(IF('SPA Optimizer'!D19&gt;0,('SPA Optimizer'!D19-'SPA Optimizer'!J19)/'SPA Optimizer'!D19,0),0)</f>
        <v>0.10013677920956013</v>
      </c>
      <c r="G18" s="96">
        <f>'SPA Optimizer'!K19</f>
        <v>50</v>
      </c>
      <c r="H18" s="97">
        <f>'SPA Optimizer'!L19</f>
        <v>12500</v>
      </c>
      <c r="I18" s="98">
        <f>IFERROR('SPA Optimizer'!D19*'SPA Optimizer'!K19-'SPA Optimizer'!L19,0)</f>
        <v>1391</v>
      </c>
      <c r="J18" s="99">
        <f>IFERROR(IF('SPA Optimizer'!E19&gt;0,('SPA Optimizer'!K19-'SPA Optimizer'!E19)/'SPA Optimizer'!E19,0),0)</f>
        <v>0.25</v>
      </c>
      <c r="K18" s="97">
        <f>IFERROR(('SPA Optimizer'!D19-'SPA Optimizer'!J19)*'SPA Optimizer'!K19,0)</f>
        <v>1390.9999999999995</v>
      </c>
      <c r="L18" s="100" t="str">
        <f>IF('SPA Optimizer'!R19="▲ BETTER","✔ Viable",IF(AND('SPA Optimizer'!AB19="▲ BETTER",'SPA Optimizer'!AA19&lt;=1),"✔ w/ IML support",IF(OR('SPA Optimizer'!AA19&gt;1,'SPA Optimizer'!O19&lt;0),"✖ Not feasible","⚠ Review")))</f>
        <v>✔ w/ IML support</v>
      </c>
    </row>
    <row r="19" spans="1:12" ht="18" customHeight="1">
      <c r="A19" s="92">
        <f>'SPA Optimizer'!A20</f>
        <v>8972785830</v>
      </c>
      <c r="B19" s="92" t="str">
        <f>'SPA Optimizer'!B20</f>
        <v>LAMP ASM; RR COMB</v>
      </c>
      <c r="C19" s="93">
        <f>'SPA Optimizer'!D20</f>
        <v>381.87</v>
      </c>
      <c r="D19" s="94">
        <f>'SPA Optimizer'!J20</f>
        <v>250</v>
      </c>
      <c r="E19" s="93">
        <f>'SPA Optimizer'!D20-'SPA Optimizer'!J20</f>
        <v>131.87</v>
      </c>
      <c r="F19" s="95">
        <f>IFERROR(IF('SPA Optimizer'!D20&gt;0,('SPA Optimizer'!D20-'SPA Optimizer'!J20)/'SPA Optimizer'!D20,0),0)</f>
        <v>0.34532694372430411</v>
      </c>
      <c r="G19" s="96">
        <f>'SPA Optimizer'!K20</f>
        <v>50</v>
      </c>
      <c r="H19" s="97">
        <f>'SPA Optimizer'!L20</f>
        <v>12500</v>
      </c>
      <c r="I19" s="98">
        <f>IFERROR('SPA Optimizer'!D20*'SPA Optimizer'!K20-'SPA Optimizer'!L20,0)</f>
        <v>6593.5</v>
      </c>
      <c r="J19" s="99">
        <f>IFERROR(IF('SPA Optimizer'!E20&gt;0,('SPA Optimizer'!K20-'SPA Optimizer'!E20)/'SPA Optimizer'!E20,0),0)</f>
        <v>0</v>
      </c>
      <c r="K19" s="97">
        <f>IFERROR(('SPA Optimizer'!D20-'SPA Optimizer'!J20)*'SPA Optimizer'!K20,0)</f>
        <v>6593.5</v>
      </c>
      <c r="L19" s="100" t="str">
        <f>IF('SPA Optimizer'!R20="▲ BETTER","✔ Viable",IF(AND('SPA Optimizer'!AB20="▲ BETTER",'SPA Optimizer'!AA20&lt;=1),"✔ w/ IML support",IF(OR('SPA Optimizer'!AA20&gt;1,'SPA Optimizer'!O20&lt;0),"✖ Not feasible","⚠ Review")))</f>
        <v>⚠ Review</v>
      </c>
    </row>
    <row r="20" spans="1:12" ht="18" customHeight="1">
      <c r="A20" s="92">
        <f>'SPA Optimizer'!A21</f>
        <v>8973871590</v>
      </c>
      <c r="B20" s="92" t="str">
        <f>'SPA Optimizer'!B21</f>
        <v>ROTOR; SENSOR</v>
      </c>
      <c r="C20" s="93">
        <f>'SPA Optimizer'!D21</f>
        <v>44.16</v>
      </c>
      <c r="D20" s="94">
        <f>'SPA Optimizer'!J21</f>
        <v>35</v>
      </c>
      <c r="E20" s="93">
        <f>'SPA Optimizer'!D21-'SPA Optimizer'!J21</f>
        <v>9.1599999999999966</v>
      </c>
      <c r="F20" s="95">
        <f>IFERROR(IF('SPA Optimizer'!D21&gt;0,('SPA Optimizer'!D21-'SPA Optimizer'!J21)/'SPA Optimizer'!D21,0),0)</f>
        <v>0.20742753623188401</v>
      </c>
      <c r="G20" s="96">
        <f>'SPA Optimizer'!K21</f>
        <v>110</v>
      </c>
      <c r="H20" s="97">
        <f>'SPA Optimizer'!L21</f>
        <v>3850</v>
      </c>
      <c r="I20" s="98">
        <f>IFERROR('SPA Optimizer'!D21*'SPA Optimizer'!K21-'SPA Optimizer'!L21,0)</f>
        <v>1007.5999999999995</v>
      </c>
      <c r="J20" s="99">
        <f>IFERROR(IF('SPA Optimizer'!E21&gt;0,('SPA Optimizer'!K21-'SPA Optimizer'!E21)/'SPA Optimizer'!E21,0),0)</f>
        <v>3.4</v>
      </c>
      <c r="K20" s="97">
        <f>IFERROR(('SPA Optimizer'!D21-'SPA Optimizer'!J21)*'SPA Optimizer'!K21,0)</f>
        <v>1007.5999999999997</v>
      </c>
      <c r="L20" s="100" t="str">
        <f>IF('SPA Optimizer'!R21="▲ BETTER","✔ Viable",IF(AND('SPA Optimizer'!AB21="▲ BETTER",'SPA Optimizer'!AA21&lt;=1),"✔ w/ IML support",IF(OR('SPA Optimizer'!AA21&gt;1,'SPA Optimizer'!O21&lt;0),"✖ Not feasible","⚠ Review")))</f>
        <v>✔ Viable</v>
      </c>
    </row>
    <row r="21" spans="1:12" ht="18" customHeight="1">
      <c r="A21" s="92">
        <f>'SPA Optimizer'!A22</f>
        <v>8976097887</v>
      </c>
      <c r="B21" s="92" t="str">
        <f>'SPA Optimizer'!B22</f>
        <v>NOZZLE ASM; INJ</v>
      </c>
      <c r="C21" s="93">
        <f>'SPA Optimizer'!D22</f>
        <v>164.44</v>
      </c>
      <c r="D21" s="94">
        <f>'SPA Optimizer'!J22</f>
        <v>150</v>
      </c>
      <c r="E21" s="93">
        <f>'SPA Optimizer'!D22-'SPA Optimizer'!J22</f>
        <v>14.439999999999998</v>
      </c>
      <c r="F21" s="95">
        <f>IFERROR(IF('SPA Optimizer'!D22&gt;0,('SPA Optimizer'!D22-'SPA Optimizer'!J22)/'SPA Optimizer'!D22,0),0)</f>
        <v>8.7813184140111883E-2</v>
      </c>
      <c r="G21" s="96">
        <f>'SPA Optimizer'!K22</f>
        <v>70</v>
      </c>
      <c r="H21" s="97">
        <f>'SPA Optimizer'!L22</f>
        <v>10500</v>
      </c>
      <c r="I21" s="98">
        <f>IFERROR('SPA Optimizer'!D22*'SPA Optimizer'!K22-'SPA Optimizer'!L22,0)</f>
        <v>1010.7999999999993</v>
      </c>
      <c r="J21" s="99">
        <f>IFERROR(IF('SPA Optimizer'!E22&gt;0,('SPA Optimizer'!K22-'SPA Optimizer'!E22)/'SPA Optimizer'!E22,0),0)</f>
        <v>2.5</v>
      </c>
      <c r="K21" s="97">
        <f>IFERROR(('SPA Optimizer'!D22-'SPA Optimizer'!J22)*'SPA Optimizer'!K22,0)</f>
        <v>1010.7999999999998</v>
      </c>
      <c r="L21" s="100" t="str">
        <f>IF('SPA Optimizer'!R22="▲ BETTER","✔ Viable",IF(AND('SPA Optimizer'!AB22="▲ BETTER",'SPA Optimizer'!AA22&lt;=1),"✔ w/ IML support",IF(OR('SPA Optimizer'!AA22&gt;1,'SPA Optimizer'!O22&lt;0),"✖ Not feasible","⚠ Review")))</f>
        <v>✔ Viable</v>
      </c>
    </row>
    <row r="22" spans="1:12" ht="18" customHeight="1">
      <c r="A22" s="92">
        <f>'SPA Optimizer'!A23</f>
        <v>8978416290</v>
      </c>
      <c r="B22" s="92" t="str">
        <f>'SPA Optimizer'!B23</f>
        <v>PLATE; STEP</v>
      </c>
      <c r="C22" s="93">
        <f>'SPA Optimizer'!D23</f>
        <v>73</v>
      </c>
      <c r="D22" s="94">
        <f>'SPA Optimizer'!J23</f>
        <v>250</v>
      </c>
      <c r="E22" s="93">
        <f>'SPA Optimizer'!D23-'SPA Optimizer'!J23</f>
        <v>-177</v>
      </c>
      <c r="F22" s="95">
        <f>IFERROR(IF('SPA Optimizer'!D23&gt;0,('SPA Optimizer'!D23-'SPA Optimizer'!J23)/'SPA Optimizer'!D23,0),0)</f>
        <v>-2.4246575342465753</v>
      </c>
      <c r="G22" s="96">
        <f>'SPA Optimizer'!K23</f>
        <v>50</v>
      </c>
      <c r="H22" s="97">
        <f>'SPA Optimizer'!L23</f>
        <v>12500</v>
      </c>
      <c r="I22" s="98">
        <f>IFERROR('SPA Optimizer'!D23*'SPA Optimizer'!K23-'SPA Optimizer'!L23,0)</f>
        <v>-8850</v>
      </c>
      <c r="J22" s="99">
        <f>IFERROR(IF('SPA Optimizer'!E23&gt;0,('SPA Optimizer'!K23-'SPA Optimizer'!E23)/'SPA Optimizer'!E23,0),0)</f>
        <v>0.35135135135135137</v>
      </c>
      <c r="K22" s="97">
        <f>IFERROR(('SPA Optimizer'!D23-'SPA Optimizer'!J23)*'SPA Optimizer'!K23,0)</f>
        <v>-8850</v>
      </c>
      <c r="L22" s="100" t="str">
        <f>IF('SPA Optimizer'!R23="▲ BETTER","✔ Viable",IF(AND('SPA Optimizer'!AB23="▲ BETTER",'SPA Optimizer'!AA23&lt;=1),"✔ w/ IML support",IF(OR('SPA Optimizer'!AA23&gt;1,'SPA Optimizer'!O23&lt;0),"✖ Not feasible","⚠ Review")))</f>
        <v>✔ Viable</v>
      </c>
    </row>
    <row r="23" spans="1:12" ht="18" customHeight="1">
      <c r="A23" s="92">
        <f>'SPA Optimizer'!A24</f>
        <v>8978757421</v>
      </c>
      <c r="B23" s="92" t="str">
        <f>'SPA Optimizer'!B24</f>
        <v>LAMP ASM; HEAD</v>
      </c>
      <c r="C23" s="93">
        <f>'SPA Optimizer'!D24</f>
        <v>427.97</v>
      </c>
      <c r="D23" s="94">
        <f>'SPA Optimizer'!J24</f>
        <v>300</v>
      </c>
      <c r="E23" s="93">
        <f>'SPA Optimizer'!D24-'SPA Optimizer'!J24</f>
        <v>127.97000000000003</v>
      </c>
      <c r="F23" s="95">
        <f>IFERROR(IF('SPA Optimizer'!D24&gt;0,('SPA Optimizer'!D24-'SPA Optimizer'!J24)/'SPA Optimizer'!D24,0),0)</f>
        <v>0.2990162861882843</v>
      </c>
      <c r="G23" s="96">
        <f>'SPA Optimizer'!K24</f>
        <v>40</v>
      </c>
      <c r="H23" s="97">
        <f>'SPA Optimizer'!L24</f>
        <v>12000</v>
      </c>
      <c r="I23" s="98">
        <f>IFERROR('SPA Optimizer'!D24*'SPA Optimizer'!K24-'SPA Optimizer'!L24,0)</f>
        <v>5118.8000000000029</v>
      </c>
      <c r="J23" s="99">
        <f>IFERROR(IF('SPA Optimizer'!E24&gt;0,('SPA Optimizer'!K24-'SPA Optimizer'!E24)/'SPA Optimizer'!E24,0),0)</f>
        <v>-2.4390243902439025E-2</v>
      </c>
      <c r="K23" s="97">
        <f>IFERROR(('SPA Optimizer'!D24-'SPA Optimizer'!J24)*'SPA Optimizer'!K24,0)</f>
        <v>5118.8000000000011</v>
      </c>
      <c r="L23" s="100" t="str">
        <f>IF('SPA Optimizer'!R24="▲ BETTER","✔ Viable",IF(AND('SPA Optimizer'!AB24="▲ BETTER",'SPA Optimizer'!AA24&lt;=1),"✔ w/ IML support",IF(OR('SPA Optimizer'!AA24&gt;1,'SPA Optimizer'!O24&lt;0),"✖ Not feasible","⚠ Review")))</f>
        <v>⚠ Review</v>
      </c>
    </row>
    <row r="24" spans="1:12" ht="18" customHeight="1">
      <c r="A24" s="92">
        <f>'SPA Optimizer'!A25</f>
        <v>8978757431</v>
      </c>
      <c r="B24" s="92" t="str">
        <f>'SPA Optimizer'!B25</f>
        <v>LAMP ASM; HEAD</v>
      </c>
      <c r="C24" s="93">
        <f>'SPA Optimizer'!D25</f>
        <v>427.97</v>
      </c>
      <c r="D24" s="94">
        <f>'SPA Optimizer'!J25</f>
        <v>300</v>
      </c>
      <c r="E24" s="93">
        <f>'SPA Optimizer'!D25-'SPA Optimizer'!J25</f>
        <v>127.97000000000003</v>
      </c>
      <c r="F24" s="95">
        <f>IFERROR(IF('SPA Optimizer'!D25&gt;0,('SPA Optimizer'!D25-'SPA Optimizer'!J25)/'SPA Optimizer'!D25,0),0)</f>
        <v>0.2990162861882843</v>
      </c>
      <c r="G24" s="96">
        <f>'SPA Optimizer'!K25</f>
        <v>40</v>
      </c>
      <c r="H24" s="97">
        <f>'SPA Optimizer'!L25</f>
        <v>12000</v>
      </c>
      <c r="I24" s="98">
        <f>IFERROR('SPA Optimizer'!D25*'SPA Optimizer'!K25-'SPA Optimizer'!L25,0)</f>
        <v>5118.8000000000029</v>
      </c>
      <c r="J24" s="99">
        <f>IFERROR(IF('SPA Optimizer'!E25&gt;0,('SPA Optimizer'!K25-'SPA Optimizer'!E25)/'SPA Optimizer'!E25,0),0)</f>
        <v>0</v>
      </c>
      <c r="K24" s="97">
        <f>IFERROR(('SPA Optimizer'!D25-'SPA Optimizer'!J25)*'SPA Optimizer'!K25,0)</f>
        <v>5118.8000000000011</v>
      </c>
      <c r="L24" s="100" t="str">
        <f>IF('SPA Optimizer'!R25="▲ BETTER","✔ Viable",IF(AND('SPA Optimizer'!AB25="▲ BETTER",'SPA Optimizer'!AA25&lt;=1),"✔ w/ IML support",IF(OR('SPA Optimizer'!AA25&gt;1,'SPA Optimizer'!O25&lt;0),"✖ Not feasible","⚠ Review")))</f>
        <v>⚠ Review</v>
      </c>
    </row>
    <row r="25" spans="1:12" ht="18" customHeight="1">
      <c r="A25" s="92">
        <f>'SPA Optimizer'!A26</f>
        <v>8978862230</v>
      </c>
      <c r="B25" s="92" t="str">
        <f>'SPA Optimizer'!B26</f>
        <v>BUMPER; FRT,LWR</v>
      </c>
      <c r="C25" s="93">
        <f>'SPA Optimizer'!D26</f>
        <v>37.81</v>
      </c>
      <c r="D25" s="94">
        <f>'SPA Optimizer'!J26</f>
        <v>30</v>
      </c>
      <c r="E25" s="93">
        <f>'SPA Optimizer'!D26-'SPA Optimizer'!J26</f>
        <v>7.8100000000000023</v>
      </c>
      <c r="F25" s="95">
        <f>IFERROR(IF('SPA Optimizer'!D26&gt;0,('SPA Optimizer'!D26-'SPA Optimizer'!J26)/'SPA Optimizer'!D26,0),0)</f>
        <v>0.20655911134620475</v>
      </c>
      <c r="G25" s="96">
        <f>'SPA Optimizer'!K26</f>
        <v>20</v>
      </c>
      <c r="H25" s="97">
        <f>'SPA Optimizer'!L26</f>
        <v>600</v>
      </c>
      <c r="I25" s="98">
        <f>IFERROR('SPA Optimizer'!D26*'SPA Optimizer'!K26-'SPA Optimizer'!L26,0)</f>
        <v>156.20000000000005</v>
      </c>
      <c r="J25" s="99">
        <f>IFERROR(IF('SPA Optimizer'!E26&gt;0,('SPA Optimizer'!K26-'SPA Optimizer'!E26)/'SPA Optimizer'!E26,0),0)</f>
        <v>-0.5</v>
      </c>
      <c r="K25" s="97">
        <f>IFERROR(('SPA Optimizer'!D26-'SPA Optimizer'!J26)*'SPA Optimizer'!K26,0)</f>
        <v>156.20000000000005</v>
      </c>
      <c r="L25" s="100" t="str">
        <f>IF('SPA Optimizer'!R26="▲ BETTER","✔ Viable",IF(AND('SPA Optimizer'!AB26="▲ BETTER",'SPA Optimizer'!AA26&lt;=1),"✔ w/ IML support",IF(OR('SPA Optimizer'!AA26&gt;1,'SPA Optimizer'!O26&lt;0),"✖ Not feasible","⚠ Review")))</f>
        <v>✖ Not feasible</v>
      </c>
    </row>
    <row r="26" spans="1:12" ht="18" customHeight="1">
      <c r="A26" s="92">
        <f>'SPA Optimizer'!A27</f>
        <v>8980023462</v>
      </c>
      <c r="B26" s="92" t="str">
        <f>'SPA Optimizer'!B27</f>
        <v>ELEMENT KIT; PCV</v>
      </c>
      <c r="C26" s="93">
        <f>'SPA Optimizer'!D27</f>
        <v>11.25</v>
      </c>
      <c r="D26" s="94">
        <f>'SPA Optimizer'!J27</f>
        <v>5</v>
      </c>
      <c r="E26" s="93">
        <f>'SPA Optimizer'!D27-'SPA Optimizer'!J27</f>
        <v>6.25</v>
      </c>
      <c r="F26" s="95">
        <f>IFERROR(IF('SPA Optimizer'!D27&gt;0,('SPA Optimizer'!D27-'SPA Optimizer'!J27)/'SPA Optimizer'!D27,0),0)</f>
        <v>0.55555555555555558</v>
      </c>
      <c r="G26" s="96">
        <f>'SPA Optimizer'!K27</f>
        <v>1200</v>
      </c>
      <c r="H26" s="97">
        <f>'SPA Optimizer'!L27</f>
        <v>6000</v>
      </c>
      <c r="I26" s="98">
        <f>IFERROR('SPA Optimizer'!D27*'SPA Optimizer'!K27-'SPA Optimizer'!L27,0)</f>
        <v>7500</v>
      </c>
      <c r="J26" s="99">
        <f>IFERROR(IF('SPA Optimizer'!E27&gt;0,('SPA Optimizer'!K27-'SPA Optimizer'!E27)/'SPA Optimizer'!E27,0),0)</f>
        <v>1</v>
      </c>
      <c r="K26" s="97">
        <f>IFERROR(('SPA Optimizer'!D27-'SPA Optimizer'!J27)*'SPA Optimizer'!K27,0)</f>
        <v>7500</v>
      </c>
      <c r="L26" s="100" t="str">
        <f>IF('SPA Optimizer'!R27="▲ BETTER","✔ Viable",IF(AND('SPA Optimizer'!AB27="▲ BETTER",'SPA Optimizer'!AA27&lt;=1),"✔ w/ IML support",IF(OR('SPA Optimizer'!AA27&gt;1,'SPA Optimizer'!O27&lt;0),"✖ Not feasible","⚠ Review")))</f>
        <v>✖ Not feasible</v>
      </c>
    </row>
    <row r="27" spans="1:12" ht="18" customHeight="1">
      <c r="A27" s="92">
        <f>'SPA Optimizer'!A28</f>
        <v>8980067942</v>
      </c>
      <c r="B27" s="92" t="str">
        <f>'SPA Optimizer'!B28</f>
        <v>LINK; DRAG</v>
      </c>
      <c r="C27" s="93">
        <f>'SPA Optimizer'!D28</f>
        <v>57.58</v>
      </c>
      <c r="D27" s="94">
        <f>'SPA Optimizer'!J28</f>
        <v>40</v>
      </c>
      <c r="E27" s="93">
        <f>'SPA Optimizer'!D28-'SPA Optimizer'!J28</f>
        <v>17.579999999999998</v>
      </c>
      <c r="F27" s="95">
        <f>IFERROR(IF('SPA Optimizer'!D28&gt;0,('SPA Optimizer'!D28-'SPA Optimizer'!J28)/'SPA Optimizer'!D28,0),0)</f>
        <v>0.30531434525877038</v>
      </c>
      <c r="G27" s="96">
        <f>'SPA Optimizer'!K28</f>
        <v>460</v>
      </c>
      <c r="H27" s="97">
        <f>'SPA Optimizer'!L28</f>
        <v>18400</v>
      </c>
      <c r="I27" s="98">
        <f>IFERROR('SPA Optimizer'!D28*'SPA Optimizer'!K28-'SPA Optimizer'!L28,0)</f>
        <v>8086.7999999999993</v>
      </c>
      <c r="J27" s="99">
        <f>IFERROR(IF('SPA Optimizer'!E28&gt;0,('SPA Optimizer'!K28-'SPA Optimizer'!E28)/'SPA Optimizer'!E28,0),0)</f>
        <v>0.21052631578947367</v>
      </c>
      <c r="K27" s="97">
        <f>IFERROR(('SPA Optimizer'!D28-'SPA Optimizer'!J28)*'SPA Optimizer'!K28,0)</f>
        <v>8086.7999999999993</v>
      </c>
      <c r="L27" s="100" t="str">
        <f>IF('SPA Optimizer'!R28="▲ BETTER","✔ Viable",IF(AND('SPA Optimizer'!AB28="▲ BETTER",'SPA Optimizer'!AA28&lt;=1),"✔ w/ IML support",IF(OR('SPA Optimizer'!AA28&gt;1,'SPA Optimizer'!O28&lt;0),"✖ Not feasible","⚠ Review")))</f>
        <v>⚠ Review</v>
      </c>
    </row>
    <row r="28" spans="1:12" ht="18" customHeight="1">
      <c r="A28" s="92">
        <f>'SPA Optimizer'!A29</f>
        <v>8980252486</v>
      </c>
      <c r="B28" s="92" t="str">
        <f>'SPA Optimizer'!B29</f>
        <v>COOLER ASM; EGR</v>
      </c>
      <c r="C28" s="93">
        <f>'SPA Optimizer'!D29</f>
        <v>222.62</v>
      </c>
      <c r="D28" s="94">
        <f>'SPA Optimizer'!J29</f>
        <v>145</v>
      </c>
      <c r="E28" s="93">
        <f>'SPA Optimizer'!D29-'SPA Optimizer'!J29</f>
        <v>77.62</v>
      </c>
      <c r="F28" s="95">
        <f>IFERROR(IF('SPA Optimizer'!D29&gt;0,('SPA Optimizer'!D29-'SPA Optimizer'!J29)/'SPA Optimizer'!D29,0),0)</f>
        <v>0.34866588806037196</v>
      </c>
      <c r="G28" s="96">
        <f>'SPA Optimizer'!K29</f>
        <v>200</v>
      </c>
      <c r="H28" s="97">
        <f>'SPA Optimizer'!L29</f>
        <v>29000</v>
      </c>
      <c r="I28" s="98">
        <f>IFERROR('SPA Optimizer'!D29*'SPA Optimizer'!K29-'SPA Optimizer'!L29,0)</f>
        <v>15524</v>
      </c>
      <c r="J28" s="99">
        <f>IFERROR(IF('SPA Optimizer'!E29&gt;0,('SPA Optimizer'!K29-'SPA Optimizer'!E29)/'SPA Optimizer'!E29,0),0)</f>
        <v>0.37931034482758619</v>
      </c>
      <c r="K28" s="97">
        <f>IFERROR(('SPA Optimizer'!D29-'SPA Optimizer'!J29)*'SPA Optimizer'!K29,0)</f>
        <v>15524</v>
      </c>
      <c r="L28" s="100" t="str">
        <f>IF('SPA Optimizer'!R29="▲ BETTER","✔ Viable",IF(AND('SPA Optimizer'!AB29="▲ BETTER",'SPA Optimizer'!AA29&lt;=1),"✔ w/ IML support",IF(OR('SPA Optimizer'!AA29&gt;1,'SPA Optimizer'!O29&lt;0),"✖ Not feasible","⚠ Review")))</f>
        <v>⚠ Review</v>
      </c>
    </row>
    <row r="29" spans="1:12" ht="18" customHeight="1">
      <c r="A29" s="92">
        <f>'SPA Optimizer'!A30</f>
        <v>8980253080</v>
      </c>
      <c r="B29" s="92" t="str">
        <f>'SPA Optimizer'!B30</f>
        <v>CYLINDER ASM; CLUTCH MASTER</v>
      </c>
      <c r="C29" s="93">
        <f>'SPA Optimizer'!D30</f>
        <v>32.26</v>
      </c>
      <c r="D29" s="94">
        <f>'SPA Optimizer'!J30</f>
        <v>25</v>
      </c>
      <c r="E29" s="93">
        <f>'SPA Optimizer'!D30-'SPA Optimizer'!J30</f>
        <v>7.259999999999998</v>
      </c>
      <c r="F29" s="95">
        <f>IFERROR(IF('SPA Optimizer'!D30&gt;0,('SPA Optimizer'!D30-'SPA Optimizer'!J30)/'SPA Optimizer'!D30,0),0)</f>
        <v>0.22504649721016734</v>
      </c>
      <c r="G29" s="96">
        <f>'SPA Optimizer'!K30</f>
        <v>50</v>
      </c>
      <c r="H29" s="97">
        <f>'SPA Optimizer'!L30</f>
        <v>1250</v>
      </c>
      <c r="I29" s="98">
        <f>IFERROR('SPA Optimizer'!D30*'SPA Optimizer'!K30-'SPA Optimizer'!L30,0)</f>
        <v>363</v>
      </c>
      <c r="J29" s="99">
        <f>IFERROR(IF('SPA Optimizer'!E30&gt;0,('SPA Optimizer'!K30-'SPA Optimizer'!E30)/'SPA Optimizer'!E30,0),0)</f>
        <v>4</v>
      </c>
      <c r="K29" s="97">
        <f>IFERROR(('SPA Optimizer'!D30-'SPA Optimizer'!J30)*'SPA Optimizer'!K30,0)</f>
        <v>362.99999999999989</v>
      </c>
      <c r="L29" s="100" t="str">
        <f>IF('SPA Optimizer'!R30="▲ BETTER","✔ Viable",IF(AND('SPA Optimizer'!AB30="▲ BETTER",'SPA Optimizer'!AA30&lt;=1),"✔ w/ IML support",IF(OR('SPA Optimizer'!AA30&gt;1,'SPA Optimizer'!O30&lt;0),"✖ Not feasible","⚠ Review")))</f>
        <v>✔ Viable</v>
      </c>
    </row>
    <row r="30" spans="1:12" ht="18" customHeight="1">
      <c r="A30" s="92">
        <f>'SPA Optimizer'!A31</f>
        <v>8980435960</v>
      </c>
      <c r="B30" s="92" t="str">
        <f>'SPA Optimizer'!B31</f>
        <v>CHAMBER; POWER</v>
      </c>
      <c r="C30" s="93">
        <f>'SPA Optimizer'!D31</f>
        <v>36.96</v>
      </c>
      <c r="D30" s="94">
        <f>'SPA Optimizer'!J31</f>
        <v>26</v>
      </c>
      <c r="E30" s="93">
        <f>'SPA Optimizer'!D31-'SPA Optimizer'!J31</f>
        <v>10.96</v>
      </c>
      <c r="F30" s="95">
        <f>IFERROR(IF('SPA Optimizer'!D31&gt;0,('SPA Optimizer'!D31-'SPA Optimizer'!J31)/'SPA Optimizer'!D31,0),0)</f>
        <v>0.29653679653679654</v>
      </c>
      <c r="G30" s="96">
        <f>'SPA Optimizer'!K31</f>
        <v>100</v>
      </c>
      <c r="H30" s="97">
        <f>'SPA Optimizer'!L31</f>
        <v>2600</v>
      </c>
      <c r="I30" s="98">
        <f>IFERROR('SPA Optimizer'!D31*'SPA Optimizer'!K31-'SPA Optimizer'!L31,0)</f>
        <v>1096</v>
      </c>
      <c r="J30" s="99">
        <f>IFERROR(IF('SPA Optimizer'!E31&gt;0,('SPA Optimizer'!K31-'SPA Optimizer'!E31)/'SPA Optimizer'!E31,0),0)</f>
        <v>0.17647058823529413</v>
      </c>
      <c r="K30" s="97">
        <f>IFERROR(('SPA Optimizer'!D31-'SPA Optimizer'!J31)*'SPA Optimizer'!K31,0)</f>
        <v>1096</v>
      </c>
      <c r="L30" s="100" t="str">
        <f>IF('SPA Optimizer'!R31="▲ BETTER","✔ Viable",IF(AND('SPA Optimizer'!AB31="▲ BETTER",'SPA Optimizer'!AA31&lt;=1),"✔ w/ IML support",IF(OR('SPA Optimizer'!AA31&gt;1,'SPA Optimizer'!O31&lt;0),"✖ Not feasible","⚠ Review")))</f>
        <v>⚠ Review</v>
      </c>
    </row>
    <row r="31" spans="1:12" ht="18" customHeight="1">
      <c r="A31" s="92">
        <f>'SPA Optimizer'!A32</f>
        <v>8980896771</v>
      </c>
      <c r="B31" s="92" t="str">
        <f>'SPA Optimizer'!B32</f>
        <v>CYLINDER; SLAVE,CLU</v>
      </c>
      <c r="C31" s="93">
        <f>'SPA Optimizer'!D32</f>
        <v>25.27</v>
      </c>
      <c r="D31" s="94">
        <f>'SPA Optimizer'!J32</f>
        <v>20</v>
      </c>
      <c r="E31" s="93">
        <f>'SPA Optimizer'!D32-'SPA Optimizer'!J32</f>
        <v>5.27</v>
      </c>
      <c r="F31" s="95">
        <f>IFERROR(IF('SPA Optimizer'!D32&gt;0,('SPA Optimizer'!D32-'SPA Optimizer'!J32)/'SPA Optimizer'!D32,0),0)</f>
        <v>0.20854768500197862</v>
      </c>
      <c r="G31" s="96">
        <f>'SPA Optimizer'!K32</f>
        <v>120</v>
      </c>
      <c r="H31" s="97">
        <f>'SPA Optimizer'!L32</f>
        <v>2400</v>
      </c>
      <c r="I31" s="98">
        <f>IFERROR('SPA Optimizer'!D32*'SPA Optimizer'!K32-'SPA Optimizer'!L32,0)</f>
        <v>632.40000000000009</v>
      </c>
      <c r="J31" s="99">
        <f>IFERROR(IF('SPA Optimizer'!E32&gt;0,('SPA Optimizer'!K32-'SPA Optimizer'!E32)/'SPA Optimizer'!E32,0),0)</f>
        <v>9.0909090909090912E-2</v>
      </c>
      <c r="K31" s="97">
        <f>IFERROR(('SPA Optimizer'!D32-'SPA Optimizer'!J32)*'SPA Optimizer'!K32,0)</f>
        <v>632.4</v>
      </c>
      <c r="L31" s="100" t="str">
        <f>IF('SPA Optimizer'!R32="▲ BETTER","✔ Viable",IF(AND('SPA Optimizer'!AB32="▲ BETTER",'SPA Optimizer'!AA32&lt;=1),"✔ w/ IML support",IF(OR('SPA Optimizer'!AA32&gt;1,'SPA Optimizer'!O32&lt;0),"✖ Not feasible","⚠ Review")))</f>
        <v>⚠ Review</v>
      </c>
    </row>
    <row r="32" spans="1:12" ht="18" customHeight="1">
      <c r="A32" s="92">
        <f>'SPA Optimizer'!A33</f>
        <v>8980982575</v>
      </c>
      <c r="B32" s="92" t="str">
        <f>'SPA Optimizer'!B33</f>
        <v>VALVE; EGR</v>
      </c>
      <c r="C32" s="93">
        <f>'SPA Optimizer'!D33</f>
        <v>73.989999999999995</v>
      </c>
      <c r="D32" s="94">
        <f>'SPA Optimizer'!J33</f>
        <v>68</v>
      </c>
      <c r="E32" s="93">
        <f>'SPA Optimizer'!D33-'SPA Optimizer'!J33</f>
        <v>5.9899999999999949</v>
      </c>
      <c r="F32" s="95">
        <f>IFERROR(IF('SPA Optimizer'!D33&gt;0,('SPA Optimizer'!D33-'SPA Optimizer'!J33)/'SPA Optimizer'!D33,0),0)</f>
        <v>8.0956886065684491E-2</v>
      </c>
      <c r="G32" s="96">
        <f>'SPA Optimizer'!K33</f>
        <v>200</v>
      </c>
      <c r="H32" s="97">
        <f>'SPA Optimizer'!L33</f>
        <v>13600</v>
      </c>
      <c r="I32" s="98">
        <f>IFERROR('SPA Optimizer'!D33*'SPA Optimizer'!K33-'SPA Optimizer'!L33,0)</f>
        <v>1197.9999999999982</v>
      </c>
      <c r="J32" s="99">
        <f>IFERROR(IF('SPA Optimizer'!E33&gt;0,('SPA Optimizer'!K33-'SPA Optimizer'!E33)/'SPA Optimizer'!E33,0),0)</f>
        <v>0.1111111111111111</v>
      </c>
      <c r="K32" s="97">
        <f>IFERROR(('SPA Optimizer'!D33-'SPA Optimizer'!J33)*'SPA Optimizer'!K33,0)</f>
        <v>1197.9999999999991</v>
      </c>
      <c r="L32" s="100" t="str">
        <f>IF('SPA Optimizer'!R33="▲ BETTER","✔ Viable",IF(AND('SPA Optimizer'!AB33="▲ BETTER",'SPA Optimizer'!AA33&lt;=1),"✔ w/ IML support",IF(OR('SPA Optimizer'!AA33&gt;1,'SPA Optimizer'!O33&lt;0),"✖ Not feasible","⚠ Review")))</f>
        <v>✔ w/ IML support</v>
      </c>
    </row>
    <row r="33" spans="1:12" ht="18" customHeight="1">
      <c r="A33" s="92">
        <f>'SPA Optimizer'!A34</f>
        <v>8981065790</v>
      </c>
      <c r="B33" s="92" t="str">
        <f>'SPA Optimizer'!B34</f>
        <v>ELEMENT KIT; PCV</v>
      </c>
      <c r="C33" s="93">
        <f>'SPA Optimizer'!D34</f>
        <v>7.74</v>
      </c>
      <c r="D33" s="94">
        <f>'SPA Optimizer'!J34</f>
        <v>4.9000000000000004</v>
      </c>
      <c r="E33" s="93">
        <f>'SPA Optimizer'!D34-'SPA Optimizer'!J34</f>
        <v>2.84</v>
      </c>
      <c r="F33" s="95">
        <f>IFERROR(IF('SPA Optimizer'!D34&gt;0,('SPA Optimizer'!D34-'SPA Optimizer'!J34)/'SPA Optimizer'!D34,0),0)</f>
        <v>0.36692506459948315</v>
      </c>
      <c r="G33" s="96">
        <f>'SPA Optimizer'!K34</f>
        <v>2600</v>
      </c>
      <c r="H33" s="97">
        <f>'SPA Optimizer'!L34</f>
        <v>12740.000000000002</v>
      </c>
      <c r="I33" s="98">
        <f>IFERROR('SPA Optimizer'!D34*'SPA Optimizer'!K34-'SPA Optimizer'!L34,0)</f>
        <v>7383.9999999999982</v>
      </c>
      <c r="J33" s="99">
        <f>IFERROR(IF('SPA Optimizer'!E34&gt;0,('SPA Optimizer'!K34-'SPA Optimizer'!E34)/'SPA Optimizer'!E34,0),0)</f>
        <v>-0.38388625592417064</v>
      </c>
      <c r="K33" s="97">
        <f>IFERROR(('SPA Optimizer'!D34-'SPA Optimizer'!J34)*'SPA Optimizer'!K34,0)</f>
        <v>7384</v>
      </c>
      <c r="L33" s="100" t="str">
        <f>IF('SPA Optimizer'!R34="▲ BETTER","✔ Viable",IF(AND('SPA Optimizer'!AB34="▲ BETTER",'SPA Optimizer'!AA34&lt;=1),"✔ w/ IML support",IF(OR('SPA Optimizer'!AA34&gt;1,'SPA Optimizer'!O34&lt;0),"✖ Not feasible","⚠ Review")))</f>
        <v>✖ Not feasible</v>
      </c>
    </row>
    <row r="34" spans="1:12" ht="18" customHeight="1">
      <c r="A34" s="92">
        <f>'SPA Optimizer'!A35</f>
        <v>8981454841</v>
      </c>
      <c r="B34" s="92" t="str">
        <f>'SPA Optimizer'!B35</f>
        <v>OVERHAUL KIT; SUPPLY PUMP</v>
      </c>
      <c r="C34" s="93">
        <f>'SPA Optimizer'!D35</f>
        <v>81.17</v>
      </c>
      <c r="D34" s="94">
        <f>'SPA Optimizer'!J35</f>
        <v>70</v>
      </c>
      <c r="E34" s="93">
        <f>'SPA Optimizer'!D35-'SPA Optimizer'!J35</f>
        <v>11.170000000000002</v>
      </c>
      <c r="F34" s="95">
        <f>IFERROR(IF('SPA Optimizer'!D35&gt;0,('SPA Optimizer'!D35-'SPA Optimizer'!J35)/'SPA Optimizer'!D35,0),0)</f>
        <v>0.13761241838117533</v>
      </c>
      <c r="G34" s="96">
        <f>'SPA Optimizer'!K35</f>
        <v>40</v>
      </c>
      <c r="H34" s="97">
        <f>'SPA Optimizer'!L35</f>
        <v>2800</v>
      </c>
      <c r="I34" s="98">
        <f>IFERROR('SPA Optimizer'!D35*'SPA Optimizer'!K35-'SPA Optimizer'!L35,0)</f>
        <v>446.80000000000018</v>
      </c>
      <c r="J34" s="99">
        <f>IFERROR(IF('SPA Optimizer'!E35&gt;0,('SPA Optimizer'!K35-'SPA Optimizer'!E35)/'SPA Optimizer'!E35,0),0)</f>
        <v>9</v>
      </c>
      <c r="K34" s="97">
        <f>IFERROR(('SPA Optimizer'!D35-'SPA Optimizer'!J35)*'SPA Optimizer'!K35,0)</f>
        <v>446.80000000000007</v>
      </c>
      <c r="L34" s="100" t="str">
        <f>IF('SPA Optimizer'!R35="▲ BETTER","✔ Viable",IF(AND('SPA Optimizer'!AB35="▲ BETTER",'SPA Optimizer'!AA35&lt;=1),"✔ w/ IML support",IF(OR('SPA Optimizer'!AA35&gt;1,'SPA Optimizer'!O35&lt;0),"✖ Not feasible","⚠ Review")))</f>
        <v>✔ Viable</v>
      </c>
    </row>
    <row r="35" spans="1:12" ht="18" customHeight="1">
      <c r="A35" s="92">
        <f>'SPA Optimizer'!A36</f>
        <v>8981455011</v>
      </c>
      <c r="B35" s="92" t="str">
        <f>'SPA Optimizer'!B36</f>
        <v>OVERHAUL KIT; SUPPLY PUMP</v>
      </c>
      <c r="C35" s="93">
        <f>'SPA Optimizer'!D36</f>
        <v>50.86</v>
      </c>
      <c r="D35" s="94">
        <f>'SPA Optimizer'!J36</f>
        <v>40</v>
      </c>
      <c r="E35" s="93">
        <f>'SPA Optimizer'!D36-'SPA Optimizer'!J36</f>
        <v>10.86</v>
      </c>
      <c r="F35" s="95">
        <f>IFERROR(IF('SPA Optimizer'!D36&gt;0,('SPA Optimizer'!D36-'SPA Optimizer'!J36)/'SPA Optimizer'!D36,0),0)</f>
        <v>0.21352732992528509</v>
      </c>
      <c r="G35" s="96">
        <f>'SPA Optimizer'!K36</f>
        <v>310</v>
      </c>
      <c r="H35" s="97">
        <f>'SPA Optimizer'!L36</f>
        <v>12400</v>
      </c>
      <c r="I35" s="98">
        <f>IFERROR('SPA Optimizer'!D36*'SPA Optimizer'!K36-'SPA Optimizer'!L36,0)</f>
        <v>3366.6000000000004</v>
      </c>
      <c r="J35" s="99">
        <f>IFERROR(IF('SPA Optimizer'!E36&gt;0,('SPA Optimizer'!K36-'SPA Optimizer'!E36)/'SPA Optimizer'!E36,0),0)</f>
        <v>0.19230769230769232</v>
      </c>
      <c r="K35" s="97">
        <f>IFERROR(('SPA Optimizer'!D36-'SPA Optimizer'!J36)*'SPA Optimizer'!K36,0)</f>
        <v>3366.6</v>
      </c>
      <c r="L35" s="100" t="str">
        <f>IF('SPA Optimizer'!R36="▲ BETTER","✔ Viable",IF(AND('SPA Optimizer'!AB36="▲ BETTER",'SPA Optimizer'!AA36&lt;=1),"✔ w/ IML support",IF(OR('SPA Optimizer'!AA36&gt;1,'SPA Optimizer'!O36&lt;0),"✖ Not feasible","⚠ Review")))</f>
        <v>⚠ Review</v>
      </c>
    </row>
    <row r="36" spans="1:12" ht="18" customHeight="1">
      <c r="A36" s="92">
        <f>'SPA Optimizer'!A37</f>
        <v>8982127181</v>
      </c>
      <c r="B36" s="92" t="str">
        <f>'SPA Optimizer'!B37</f>
        <v>COOLER ASM; EGR</v>
      </c>
      <c r="C36" s="93">
        <f>'SPA Optimizer'!D37</f>
        <v>222.62</v>
      </c>
      <c r="D36" s="94">
        <f>'SPA Optimizer'!J37</f>
        <v>145</v>
      </c>
      <c r="E36" s="93">
        <f>'SPA Optimizer'!D37-'SPA Optimizer'!J37</f>
        <v>77.62</v>
      </c>
      <c r="F36" s="95">
        <f>IFERROR(IF('SPA Optimizer'!D37&gt;0,('SPA Optimizer'!D37-'SPA Optimizer'!J37)/'SPA Optimizer'!D37,0),0)</f>
        <v>0.34866588806037196</v>
      </c>
      <c r="G36" s="96">
        <f>'SPA Optimizer'!K37</f>
        <v>200</v>
      </c>
      <c r="H36" s="97">
        <f>'SPA Optimizer'!L37</f>
        <v>29000</v>
      </c>
      <c r="I36" s="98">
        <f>IFERROR('SPA Optimizer'!D37*'SPA Optimizer'!K37-'SPA Optimizer'!L37,0)</f>
        <v>15524</v>
      </c>
      <c r="J36" s="99">
        <f>IFERROR(IF('SPA Optimizer'!E37&gt;0,('SPA Optimizer'!K37-'SPA Optimizer'!E37)/'SPA Optimizer'!E37,0),0)</f>
        <v>2.6363636363636362</v>
      </c>
      <c r="K36" s="97">
        <f>IFERROR(('SPA Optimizer'!D37-'SPA Optimizer'!J37)*'SPA Optimizer'!K37,0)</f>
        <v>15524</v>
      </c>
      <c r="L36" s="100" t="str">
        <f>IF('SPA Optimizer'!R37="▲ BETTER","✔ Viable",IF(AND('SPA Optimizer'!AB37="▲ BETTER",'SPA Optimizer'!AA37&lt;=1),"✔ w/ IML support",IF(OR('SPA Optimizer'!AA37&gt;1,'SPA Optimizer'!O37&lt;0),"✖ Not feasible","⚠ Review")))</f>
        <v>✔ w/ IML support</v>
      </c>
    </row>
    <row r="37" spans="1:12" ht="18" customHeight="1">
      <c r="A37" s="92">
        <f>'SPA Optimizer'!A38</f>
        <v>8982236150</v>
      </c>
      <c r="B37" s="92" t="str">
        <f>'SPA Optimizer'!B38</f>
        <v>LAMP ASM; RR COMB</v>
      </c>
      <c r="C37" s="93">
        <f>'SPA Optimizer'!D38</f>
        <v>33.03</v>
      </c>
      <c r="D37" s="94">
        <f>'SPA Optimizer'!J38</f>
        <v>25</v>
      </c>
      <c r="E37" s="93">
        <f>'SPA Optimizer'!D38-'SPA Optimizer'!J38</f>
        <v>8.0300000000000011</v>
      </c>
      <c r="F37" s="95">
        <f>IFERROR(IF('SPA Optimizer'!D38&gt;0,('SPA Optimizer'!D38-'SPA Optimizer'!J38)/'SPA Optimizer'!D38,0),0)</f>
        <v>0.24311232213139572</v>
      </c>
      <c r="G37" s="96">
        <f>'SPA Optimizer'!K38</f>
        <v>110</v>
      </c>
      <c r="H37" s="97">
        <f>'SPA Optimizer'!L38</f>
        <v>2750</v>
      </c>
      <c r="I37" s="98">
        <f>IFERROR('SPA Optimizer'!D38*'SPA Optimizer'!K38-'SPA Optimizer'!L38,0)</f>
        <v>883.30000000000018</v>
      </c>
      <c r="J37" s="99">
        <f>IFERROR(IF('SPA Optimizer'!E38&gt;0,('SPA Optimizer'!K38-'SPA Optimizer'!E38)/'SPA Optimizer'!E38,0),0)</f>
        <v>-0.21428571428571427</v>
      </c>
      <c r="K37" s="97">
        <f>IFERROR(('SPA Optimizer'!D38-'SPA Optimizer'!J38)*'SPA Optimizer'!K38,0)</f>
        <v>883.30000000000018</v>
      </c>
      <c r="L37" s="100" t="str">
        <f>IF('SPA Optimizer'!R38="▲ BETTER","✔ Viable",IF(AND('SPA Optimizer'!AB38="▲ BETTER",'SPA Optimizer'!AA38&lt;=1),"✔ w/ IML support",IF(OR('SPA Optimizer'!AA38&gt;1,'SPA Optimizer'!O38&lt;0),"✖ Not feasible","⚠ Review")))</f>
        <v>⚠ Review</v>
      </c>
    </row>
    <row r="38" spans="1:12" ht="18" customHeight="1">
      <c r="A38" s="92">
        <f>'SPA Optimizer'!A39</f>
        <v>8982236160</v>
      </c>
      <c r="B38" s="92" t="str">
        <f>'SPA Optimizer'!B39</f>
        <v>LAMP ASM; RR COMB</v>
      </c>
      <c r="C38" s="93">
        <f>'SPA Optimizer'!D39</f>
        <v>33.03</v>
      </c>
      <c r="D38" s="94">
        <f>'SPA Optimizer'!J39</f>
        <v>25</v>
      </c>
      <c r="E38" s="93">
        <f>'SPA Optimizer'!D39-'SPA Optimizer'!J39</f>
        <v>8.0300000000000011</v>
      </c>
      <c r="F38" s="95">
        <f>IFERROR(IF('SPA Optimizer'!D39&gt;0,('SPA Optimizer'!D39-'SPA Optimizer'!J39)/'SPA Optimizer'!D39,0),0)</f>
        <v>0.24311232213139572</v>
      </c>
      <c r="G38" s="96">
        <f>'SPA Optimizer'!K39</f>
        <v>100</v>
      </c>
      <c r="H38" s="97">
        <f>'SPA Optimizer'!L39</f>
        <v>2500</v>
      </c>
      <c r="I38" s="98">
        <f>IFERROR('SPA Optimizer'!D39*'SPA Optimizer'!K39-'SPA Optimizer'!L39,0)</f>
        <v>803</v>
      </c>
      <c r="J38" s="99">
        <f>IFERROR(IF('SPA Optimizer'!E39&gt;0,('SPA Optimizer'!K39-'SPA Optimizer'!E39)/'SPA Optimizer'!E39,0),0)</f>
        <v>-1.9607843137254902E-2</v>
      </c>
      <c r="K38" s="97">
        <f>IFERROR(('SPA Optimizer'!D39-'SPA Optimizer'!J39)*'SPA Optimizer'!K39,0)</f>
        <v>803.00000000000011</v>
      </c>
      <c r="L38" s="100" t="str">
        <f>IF('SPA Optimizer'!R39="▲ BETTER","✔ Viable",IF(AND('SPA Optimizer'!AB39="▲ BETTER",'SPA Optimizer'!AA39&lt;=1),"✔ w/ IML support",IF(OR('SPA Optimizer'!AA39&gt;1,'SPA Optimizer'!O39&lt;0),"✖ Not feasible","⚠ Review")))</f>
        <v>⚠ Review</v>
      </c>
    </row>
    <row r="39" spans="1:12" ht="18" customHeight="1">
      <c r="A39" s="92">
        <f>'SPA Optimizer'!A40</f>
        <v>8982263230</v>
      </c>
      <c r="B39" s="92" t="str">
        <f>'SPA Optimizer'!B40</f>
        <v>REPAIR KIT; AIR DRYER</v>
      </c>
      <c r="C39" s="93">
        <f>'SPA Optimizer'!D40</f>
        <v>87.29</v>
      </c>
      <c r="D39" s="94">
        <f>'SPA Optimizer'!J40</f>
        <v>78</v>
      </c>
      <c r="E39" s="93">
        <f>'SPA Optimizer'!D40-'SPA Optimizer'!J40</f>
        <v>9.2900000000000063</v>
      </c>
      <c r="F39" s="95">
        <f>IFERROR(IF('SPA Optimizer'!D40&gt;0,('SPA Optimizer'!D40-'SPA Optimizer'!J40)/'SPA Optimizer'!D40,0),0)</f>
        <v>0.10642685301867345</v>
      </c>
      <c r="G39" s="96">
        <f>'SPA Optimizer'!K40</f>
        <v>330</v>
      </c>
      <c r="H39" s="97">
        <f>'SPA Optimizer'!L40</f>
        <v>25740</v>
      </c>
      <c r="I39" s="98">
        <f>IFERROR('SPA Optimizer'!D40*'SPA Optimizer'!K40-'SPA Optimizer'!L40,0)</f>
        <v>3065.7000000000007</v>
      </c>
      <c r="J39" s="99">
        <f>IFERROR(IF('SPA Optimizer'!E40&gt;0,('SPA Optimizer'!K40-'SPA Optimizer'!E40)/'SPA Optimizer'!E40,0),0)</f>
        <v>1.8695652173913044</v>
      </c>
      <c r="K39" s="97">
        <f>IFERROR(('SPA Optimizer'!D40-'SPA Optimizer'!J40)*'SPA Optimizer'!K40,0)</f>
        <v>3065.7000000000021</v>
      </c>
      <c r="L39" s="100" t="str">
        <f>IF('SPA Optimizer'!R40="▲ BETTER","✔ Viable",IF(AND('SPA Optimizer'!AB40="▲ BETTER",'SPA Optimizer'!AA40&lt;=1),"✔ w/ IML support",IF(OR('SPA Optimizer'!AA40&gt;1,'SPA Optimizer'!O40&lt;0),"✖ Not feasible","⚠ Review")))</f>
        <v>✔ Viable</v>
      </c>
    </row>
    <row r="40" spans="1:12" ht="18" customHeight="1">
      <c r="A40" s="92">
        <f>'SPA Optimizer'!A41</f>
        <v>8982263280</v>
      </c>
      <c r="B40" s="92" t="str">
        <f>'SPA Optimizer'!B41</f>
        <v>REPAIR KIT; AIR DRYER</v>
      </c>
      <c r="C40" s="93">
        <f>'SPA Optimizer'!D41</f>
        <v>100.8</v>
      </c>
      <c r="D40" s="94">
        <f>'SPA Optimizer'!J41</f>
        <v>90</v>
      </c>
      <c r="E40" s="93">
        <f>'SPA Optimizer'!D41-'SPA Optimizer'!J41</f>
        <v>10.799999999999997</v>
      </c>
      <c r="F40" s="95">
        <f>IFERROR(IF('SPA Optimizer'!D41&gt;0,('SPA Optimizer'!D41-'SPA Optimizer'!J41)/'SPA Optimizer'!D41,0),0)</f>
        <v>0.10714285714285712</v>
      </c>
      <c r="G40" s="96">
        <f>'SPA Optimizer'!K41</f>
        <v>230</v>
      </c>
      <c r="H40" s="97">
        <f>'SPA Optimizer'!L41</f>
        <v>20700</v>
      </c>
      <c r="I40" s="98">
        <f>IFERROR('SPA Optimizer'!D41*'SPA Optimizer'!K41-'SPA Optimizer'!L41,0)</f>
        <v>2484</v>
      </c>
      <c r="J40" s="99">
        <f>IFERROR(IF('SPA Optimizer'!E41&gt;0,('SPA Optimizer'!K41-'SPA Optimizer'!E41)/'SPA Optimizer'!E41,0),0)</f>
        <v>2.8333333333333335</v>
      </c>
      <c r="K40" s="97">
        <f>IFERROR(('SPA Optimizer'!D41-'SPA Optimizer'!J41)*'SPA Optimizer'!K41,0)</f>
        <v>2483.9999999999995</v>
      </c>
      <c r="L40" s="100" t="str">
        <f>IF('SPA Optimizer'!R41="▲ BETTER","✔ Viable",IF(AND('SPA Optimizer'!AB41="▲ BETTER",'SPA Optimizer'!AA41&lt;=1),"✔ w/ IML support",IF(OR('SPA Optimizer'!AA41&gt;1,'SPA Optimizer'!O41&lt;0),"✖ Not feasible","⚠ Review")))</f>
        <v>✔ Viable</v>
      </c>
    </row>
    <row r="41" spans="1:12" ht="18" customHeight="1">
      <c r="A41" s="92">
        <f>'SPA Optimizer'!A42</f>
        <v>8982447940</v>
      </c>
      <c r="B41" s="92" t="str">
        <f>'SPA Optimizer'!B42</f>
        <v>PAD KIT; CALIPER,DISC BRK,FRT</v>
      </c>
      <c r="C41" s="93">
        <f>'SPA Optimizer'!D42</f>
        <v>76.680000000000007</v>
      </c>
      <c r="D41" s="94">
        <f>'SPA Optimizer'!J42</f>
        <v>65</v>
      </c>
      <c r="E41" s="93">
        <f>'SPA Optimizer'!D42-'SPA Optimizer'!J42</f>
        <v>11.680000000000007</v>
      </c>
      <c r="F41" s="95">
        <f>IFERROR(IF('SPA Optimizer'!D42&gt;0,('SPA Optimizer'!D42-'SPA Optimizer'!J42)/'SPA Optimizer'!D42,0),0)</f>
        <v>0.15232133541992704</v>
      </c>
      <c r="G41" s="96">
        <f>'SPA Optimizer'!K42</f>
        <v>780</v>
      </c>
      <c r="H41" s="97">
        <f>'SPA Optimizer'!L42</f>
        <v>50700</v>
      </c>
      <c r="I41" s="98">
        <f>IFERROR('SPA Optimizer'!D42*'SPA Optimizer'!K42-'SPA Optimizer'!L42,0)</f>
        <v>9110.4000000000087</v>
      </c>
      <c r="J41" s="99">
        <f>IFERROR(IF('SPA Optimizer'!E42&gt;0,('SPA Optimizer'!K42-'SPA Optimizer'!E42)/'SPA Optimizer'!E42,0),0)</f>
        <v>0.47169811320754718</v>
      </c>
      <c r="K41" s="97">
        <f>IFERROR(('SPA Optimizer'!D42-'SPA Optimizer'!J42)*'SPA Optimizer'!K42,0)</f>
        <v>9110.4000000000051</v>
      </c>
      <c r="L41" s="100" t="str">
        <f>IF('SPA Optimizer'!R42="▲ BETTER","✔ Viable",IF(AND('SPA Optimizer'!AB42="▲ BETTER",'SPA Optimizer'!AA42&lt;=1),"✔ w/ IML support",IF(OR('SPA Optimizer'!AA42&gt;1,'SPA Optimizer'!O42&lt;0),"✖ Not feasible","⚠ Review")))</f>
        <v>✔ w/ IML support</v>
      </c>
    </row>
    <row r="42" spans="1:12" ht="18" customHeight="1">
      <c r="A42" s="92">
        <f>'SPA Optimizer'!A43</f>
        <v>8982605971</v>
      </c>
      <c r="B42" s="92" t="str">
        <f>'SPA Optimizer'!B43</f>
        <v>DOOR ASM; FRT,WO/TRIM</v>
      </c>
      <c r="C42" s="93">
        <f>'SPA Optimizer'!D43</f>
        <v>365.5</v>
      </c>
      <c r="D42" s="94">
        <f>'SPA Optimizer'!J43</f>
        <v>280</v>
      </c>
      <c r="E42" s="93">
        <f>'SPA Optimizer'!D43-'SPA Optimizer'!J43</f>
        <v>85.5</v>
      </c>
      <c r="F42" s="95">
        <f>IFERROR(IF('SPA Optimizer'!D43&gt;0,('SPA Optimizer'!D43-'SPA Optimizer'!J43)/'SPA Optimizer'!D43,0),0)</f>
        <v>0.23392612859097128</v>
      </c>
      <c r="G42" s="96">
        <f>'SPA Optimizer'!K43</f>
        <v>30</v>
      </c>
      <c r="H42" s="97">
        <f>'SPA Optimizer'!L43</f>
        <v>8400</v>
      </c>
      <c r="I42" s="98">
        <f>IFERROR('SPA Optimizer'!D43*'SPA Optimizer'!K43-'SPA Optimizer'!L43,0)</f>
        <v>2565</v>
      </c>
      <c r="J42" s="99">
        <f>IFERROR(IF('SPA Optimizer'!E43&gt;0,('SPA Optimizer'!K43-'SPA Optimizer'!E43)/'SPA Optimizer'!E43,0),0)</f>
        <v>0.42857142857142855</v>
      </c>
      <c r="K42" s="97">
        <f>IFERROR(('SPA Optimizer'!D43-'SPA Optimizer'!J43)*'SPA Optimizer'!K43,0)</f>
        <v>2565</v>
      </c>
      <c r="L42" s="100" t="str">
        <f>IF('SPA Optimizer'!R43="▲ BETTER","✔ Viable",IF(AND('SPA Optimizer'!AB43="▲ BETTER",'SPA Optimizer'!AA43&lt;=1),"✔ w/ IML support",IF(OR('SPA Optimizer'!AA43&gt;1,'SPA Optimizer'!O43&lt;0),"✖ Not feasible","⚠ Review")))</f>
        <v>⚠ Review</v>
      </c>
    </row>
    <row r="43" spans="1:12" ht="18" customHeight="1">
      <c r="A43" s="92">
        <f>'SPA Optimizer'!A44</f>
        <v>8982605980</v>
      </c>
      <c r="B43" s="92" t="str">
        <f>'SPA Optimizer'!B44</f>
        <v>DOOR ASM; FRT,WO/TRIM</v>
      </c>
      <c r="C43" s="93">
        <f>'SPA Optimizer'!D44</f>
        <v>365.5</v>
      </c>
      <c r="D43" s="94">
        <f>'SPA Optimizer'!J44</f>
        <v>280</v>
      </c>
      <c r="E43" s="93">
        <f>'SPA Optimizer'!D44-'SPA Optimizer'!J44</f>
        <v>85.5</v>
      </c>
      <c r="F43" s="95">
        <f>IFERROR(IF('SPA Optimizer'!D44&gt;0,('SPA Optimizer'!D44-'SPA Optimizer'!J44)/'SPA Optimizer'!D44,0),0)</f>
        <v>0.23392612859097128</v>
      </c>
      <c r="G43" s="96">
        <f>'SPA Optimizer'!K44</f>
        <v>30</v>
      </c>
      <c r="H43" s="97">
        <f>'SPA Optimizer'!L44</f>
        <v>8400</v>
      </c>
      <c r="I43" s="98">
        <f>IFERROR('SPA Optimizer'!D44*'SPA Optimizer'!K44-'SPA Optimizer'!L44,0)</f>
        <v>2565</v>
      </c>
      <c r="J43" s="99">
        <f>IFERROR(IF('SPA Optimizer'!E44&gt;0,('SPA Optimizer'!K44-'SPA Optimizer'!E44)/'SPA Optimizer'!E44,0),0)</f>
        <v>0.57894736842105265</v>
      </c>
      <c r="K43" s="97">
        <f>IFERROR(('SPA Optimizer'!D44-'SPA Optimizer'!J44)*'SPA Optimizer'!K44,0)</f>
        <v>2565</v>
      </c>
      <c r="L43" s="100" t="str">
        <f>IF('SPA Optimizer'!R44="▲ BETTER","✔ Viable",IF(AND('SPA Optimizer'!AB44="▲ BETTER",'SPA Optimizer'!AA44&lt;=1),"✔ w/ IML support",IF(OR('SPA Optimizer'!AA44&gt;1,'SPA Optimizer'!O44&lt;0),"✖ Not feasible","⚠ Review")))</f>
        <v>⚠ Review</v>
      </c>
    </row>
    <row r="44" spans="1:12" ht="18" customHeight="1">
      <c r="A44" s="92">
        <f>'SPA Optimizer'!A45</f>
        <v>8982606011</v>
      </c>
      <c r="B44" s="92" t="str">
        <f>'SPA Optimizer'!B45</f>
        <v>DOOR ASM; FRT,WO/TRIM</v>
      </c>
      <c r="C44" s="93">
        <f>'SPA Optimizer'!D45</f>
        <v>205.72</v>
      </c>
      <c r="D44" s="94">
        <f>'SPA Optimizer'!J45</f>
        <v>165</v>
      </c>
      <c r="E44" s="93">
        <f>'SPA Optimizer'!D45-'SPA Optimizer'!J45</f>
        <v>40.72</v>
      </c>
      <c r="F44" s="95">
        <f>IFERROR(IF('SPA Optimizer'!D45&gt;0,('SPA Optimizer'!D45-'SPA Optimizer'!J45)/'SPA Optimizer'!D45,0),0)</f>
        <v>0.19793894614038499</v>
      </c>
      <c r="G44" s="96">
        <f>'SPA Optimizer'!K45</f>
        <v>50</v>
      </c>
      <c r="H44" s="97">
        <f>'SPA Optimizer'!L45</f>
        <v>8250</v>
      </c>
      <c r="I44" s="98">
        <f>IFERROR('SPA Optimizer'!D45*'SPA Optimizer'!K45-'SPA Optimizer'!L45,0)</f>
        <v>2036</v>
      </c>
      <c r="J44" s="99">
        <f>IFERROR(IF('SPA Optimizer'!E45&gt;0,('SPA Optimizer'!K45-'SPA Optimizer'!E45)/'SPA Optimizer'!E45,0),0)</f>
        <v>0.3888888888888889</v>
      </c>
      <c r="K44" s="97">
        <f>IFERROR(('SPA Optimizer'!D45-'SPA Optimizer'!J45)*'SPA Optimizer'!K45,0)</f>
        <v>2036</v>
      </c>
      <c r="L44" s="100" t="str">
        <f>IF('SPA Optimizer'!R45="▲ BETTER","✔ Viable",IF(AND('SPA Optimizer'!AB45="▲ BETTER",'SPA Optimizer'!AA45&lt;=1),"✔ w/ IML support",IF(OR('SPA Optimizer'!AA45&gt;1,'SPA Optimizer'!O45&lt;0),"✖ Not feasible","⚠ Review")))</f>
        <v>⚠ Review</v>
      </c>
    </row>
    <row r="45" spans="1:12" ht="18" customHeight="1">
      <c r="A45" s="92">
        <f>'SPA Optimizer'!A46</f>
        <v>8982606020</v>
      </c>
      <c r="B45" s="92" t="str">
        <f>'SPA Optimizer'!B46</f>
        <v>DOOR ASM; FRT,WO/TRIM</v>
      </c>
      <c r="C45" s="93">
        <f>'SPA Optimizer'!D46</f>
        <v>205.72</v>
      </c>
      <c r="D45" s="94">
        <f>'SPA Optimizer'!J46</f>
        <v>165</v>
      </c>
      <c r="E45" s="93">
        <f>'SPA Optimizer'!D46-'SPA Optimizer'!J46</f>
        <v>40.72</v>
      </c>
      <c r="F45" s="95">
        <f>IFERROR(IF('SPA Optimizer'!D46&gt;0,('SPA Optimizer'!D46-'SPA Optimizer'!J46)/'SPA Optimizer'!D46,0),0)</f>
        <v>0.19793894614038499</v>
      </c>
      <c r="G45" s="96">
        <f>'SPA Optimizer'!K46</f>
        <v>45</v>
      </c>
      <c r="H45" s="97">
        <f>'SPA Optimizer'!L46</f>
        <v>7425</v>
      </c>
      <c r="I45" s="98">
        <f>IFERROR('SPA Optimizer'!D46*'SPA Optimizer'!K46-'SPA Optimizer'!L46,0)</f>
        <v>1832.3999999999996</v>
      </c>
      <c r="J45" s="99">
        <f>IFERROR(IF('SPA Optimizer'!E46&gt;0,('SPA Optimizer'!K46-'SPA Optimizer'!E46)/'SPA Optimizer'!E46,0),0)</f>
        <v>0.36363636363636365</v>
      </c>
      <c r="K45" s="97">
        <f>IFERROR(('SPA Optimizer'!D46-'SPA Optimizer'!J46)*'SPA Optimizer'!K46,0)</f>
        <v>1832.3999999999999</v>
      </c>
      <c r="L45" s="100" t="str">
        <f>IF('SPA Optimizer'!R46="▲ BETTER","✔ Viable",IF(AND('SPA Optimizer'!AB46="▲ BETTER",'SPA Optimizer'!AA46&lt;=1),"✔ w/ IML support",IF(OR('SPA Optimizer'!AA46&gt;1,'SPA Optimizer'!O46&lt;0),"✖ Not feasible","⚠ Review")))</f>
        <v>⚠ Review</v>
      </c>
    </row>
    <row r="46" spans="1:12" ht="18" customHeight="1">
      <c r="A46" s="92">
        <f>'SPA Optimizer'!A47</f>
        <v>8982885020</v>
      </c>
      <c r="B46" s="92" t="str">
        <f>'SPA Optimizer'!B47</f>
        <v>GASKET; CYL HD</v>
      </c>
      <c r="C46" s="93">
        <f>'SPA Optimizer'!D47</f>
        <v>28.59</v>
      </c>
      <c r="D46" s="94">
        <f>'SPA Optimizer'!J47</f>
        <v>22</v>
      </c>
      <c r="E46" s="93">
        <f>'SPA Optimizer'!D47-'SPA Optimizer'!J47</f>
        <v>6.59</v>
      </c>
      <c r="F46" s="95">
        <f>IFERROR(IF('SPA Optimizer'!D47&gt;0,('SPA Optimizer'!D47-'SPA Optimizer'!J47)/'SPA Optimizer'!D47,0),0)</f>
        <v>0.23050017488632388</v>
      </c>
      <c r="G46" s="96">
        <f>'SPA Optimizer'!K47</f>
        <v>65</v>
      </c>
      <c r="H46" s="97">
        <f>'SPA Optimizer'!L47</f>
        <v>1430</v>
      </c>
      <c r="I46" s="98">
        <f>IFERROR('SPA Optimizer'!D47*'SPA Optimizer'!K47-'SPA Optimizer'!L47,0)</f>
        <v>428.34999999999991</v>
      </c>
      <c r="J46" s="99">
        <f>IFERROR(IF('SPA Optimizer'!E47&gt;0,('SPA Optimizer'!K47-'SPA Optimizer'!E47)/'SPA Optimizer'!E47,0),0)</f>
        <v>8.2857142857142865</v>
      </c>
      <c r="K46" s="97">
        <f>IFERROR(('SPA Optimizer'!D47-'SPA Optimizer'!J47)*'SPA Optimizer'!K47,0)</f>
        <v>428.34999999999997</v>
      </c>
      <c r="L46" s="100" t="str">
        <f>IF('SPA Optimizer'!R47="▲ BETTER","✔ Viable",IF(AND('SPA Optimizer'!AB47="▲ BETTER",'SPA Optimizer'!AA47&lt;=1),"✔ w/ IML support",IF(OR('SPA Optimizer'!AA47&gt;1,'SPA Optimizer'!O47&lt;0),"✖ Not feasible","⚠ Review")))</f>
        <v>✔ Viable</v>
      </c>
    </row>
    <row r="47" spans="1:12" ht="18" customHeight="1">
      <c r="A47" s="92">
        <f>'SPA Optimizer'!A48</f>
        <v>8982885030</v>
      </c>
      <c r="B47" s="92" t="str">
        <f>'SPA Optimizer'!B48</f>
        <v>GASKET; CYL HD</v>
      </c>
      <c r="C47" s="93">
        <f>'SPA Optimizer'!D48</f>
        <v>28.59</v>
      </c>
      <c r="D47" s="94">
        <f>'SPA Optimizer'!J48</f>
        <v>22</v>
      </c>
      <c r="E47" s="93">
        <f>'SPA Optimizer'!D48-'SPA Optimizer'!J48</f>
        <v>6.59</v>
      </c>
      <c r="F47" s="95">
        <f>IFERROR(IF('SPA Optimizer'!D48&gt;0,('SPA Optimizer'!D48-'SPA Optimizer'!J48)/'SPA Optimizer'!D48,0),0)</f>
        <v>0.23050017488632388</v>
      </c>
      <c r="G47" s="96">
        <f>'SPA Optimizer'!K48</f>
        <v>60</v>
      </c>
      <c r="H47" s="97">
        <f>'SPA Optimizer'!L48</f>
        <v>1320</v>
      </c>
      <c r="I47" s="98">
        <f>IFERROR('SPA Optimizer'!D48*'SPA Optimizer'!K48-'SPA Optimizer'!L48,0)</f>
        <v>395.40000000000009</v>
      </c>
      <c r="J47" s="99">
        <f>IFERROR(IF('SPA Optimizer'!E48&gt;0,('SPA Optimizer'!K48-'SPA Optimizer'!E48)/'SPA Optimizer'!E48,0),0)</f>
        <v>5</v>
      </c>
      <c r="K47" s="97">
        <f>IFERROR(('SPA Optimizer'!D48-'SPA Optimizer'!J48)*'SPA Optimizer'!K48,0)</f>
        <v>395.4</v>
      </c>
      <c r="L47" s="100" t="str">
        <f>IF('SPA Optimizer'!R48="▲ BETTER","✔ Viable",IF(AND('SPA Optimizer'!AB48="▲ BETTER",'SPA Optimizer'!AA48&lt;=1),"✔ w/ IML support",IF(OR('SPA Optimizer'!AA48&gt;1,'SPA Optimizer'!O48&lt;0),"✖ Not feasible","⚠ Review")))</f>
        <v>✔ Viable</v>
      </c>
    </row>
    <row r="48" spans="1:12" ht="18" customHeight="1">
      <c r="A48" s="92">
        <f>'SPA Optimizer'!A49</f>
        <v>8982979331</v>
      </c>
      <c r="B48" s="92" t="str">
        <f>'SPA Optimizer'!B49</f>
        <v>NOZZLE ASM; INJ</v>
      </c>
      <c r="C48" s="93">
        <f>'SPA Optimizer'!D49</f>
        <v>173.93</v>
      </c>
      <c r="D48" s="94">
        <f>'SPA Optimizer'!J49</f>
        <v>145</v>
      </c>
      <c r="E48" s="93">
        <f>'SPA Optimizer'!D49-'SPA Optimizer'!J49</f>
        <v>28.930000000000007</v>
      </c>
      <c r="F48" s="95">
        <f>IFERROR(IF('SPA Optimizer'!D49&gt;0,('SPA Optimizer'!D49-'SPA Optimizer'!J49)/'SPA Optimizer'!D49,0),0)</f>
        <v>0.1663312826999368</v>
      </c>
      <c r="G48" s="96">
        <f>'SPA Optimizer'!K49</f>
        <v>130</v>
      </c>
      <c r="H48" s="97">
        <f>'SPA Optimizer'!L49</f>
        <v>18850</v>
      </c>
      <c r="I48" s="98">
        <f>IFERROR('SPA Optimizer'!D49*'SPA Optimizer'!K49-'SPA Optimizer'!L49,0)</f>
        <v>3760.9000000000015</v>
      </c>
      <c r="J48" s="99">
        <f>IFERROR(IF('SPA Optimizer'!E49&gt;0,('SPA Optimizer'!K49-'SPA Optimizer'!E49)/'SPA Optimizer'!E49,0),0)</f>
        <v>-5.7971014492753624E-2</v>
      </c>
      <c r="K48" s="97">
        <f>IFERROR(('SPA Optimizer'!D49-'SPA Optimizer'!J49)*'SPA Optimizer'!K49,0)</f>
        <v>3760.900000000001</v>
      </c>
      <c r="L48" s="100" t="str">
        <f>IF('SPA Optimizer'!R49="▲ BETTER","✔ Viable",IF(AND('SPA Optimizer'!AB49="▲ BETTER",'SPA Optimizer'!AA49&lt;=1),"✔ w/ IML support",IF(OR('SPA Optimizer'!AA49&gt;1,'SPA Optimizer'!O49&lt;0),"✖ Not feasible","⚠ Review")))</f>
        <v>⚠ Review</v>
      </c>
    </row>
    <row r="49" spans="1:12" ht="18" customHeight="1">
      <c r="A49" s="92">
        <f>'SPA Optimizer'!A50</f>
        <v>8982984040</v>
      </c>
      <c r="B49" s="92" t="str">
        <f>'SPA Optimizer'!B50</f>
        <v>ELEMENT; OIL FILTER</v>
      </c>
      <c r="C49" s="93">
        <f>'SPA Optimizer'!D50</f>
        <v>12.26</v>
      </c>
      <c r="D49" s="94">
        <f>'SPA Optimizer'!J50</f>
        <v>10</v>
      </c>
      <c r="E49" s="93">
        <f>'SPA Optimizer'!D50-'SPA Optimizer'!J50</f>
        <v>2.2599999999999998</v>
      </c>
      <c r="F49" s="95">
        <f>IFERROR(IF('SPA Optimizer'!D50&gt;0,('SPA Optimizer'!D50-'SPA Optimizer'!J50)/'SPA Optimizer'!D50,0),0)</f>
        <v>0.18433931484502444</v>
      </c>
      <c r="G49" s="96">
        <f>'SPA Optimizer'!K50</f>
        <v>4200</v>
      </c>
      <c r="H49" s="97">
        <f>'SPA Optimizer'!L50</f>
        <v>42000</v>
      </c>
      <c r="I49" s="98">
        <f>IFERROR('SPA Optimizer'!D50*'SPA Optimizer'!K50-'SPA Optimizer'!L50,0)</f>
        <v>9492</v>
      </c>
      <c r="J49" s="99">
        <f>IFERROR(IF('SPA Optimizer'!E50&gt;0,('SPA Optimizer'!K50-'SPA Optimizer'!E50)/'SPA Optimizer'!E50,0),0)</f>
        <v>-9.4827586206896547E-2</v>
      </c>
      <c r="K49" s="97">
        <f>IFERROR(('SPA Optimizer'!D50-'SPA Optimizer'!J50)*'SPA Optimizer'!K50,0)</f>
        <v>9492</v>
      </c>
      <c r="L49" s="100" t="str">
        <f>IF('SPA Optimizer'!R50="▲ BETTER","✔ Viable",IF(AND('SPA Optimizer'!AB50="▲ BETTER",'SPA Optimizer'!AA50&lt;=1),"✔ w/ IML support",IF(OR('SPA Optimizer'!AA50&gt;1,'SPA Optimizer'!O50&lt;0),"✖ Not feasible","⚠ Review")))</f>
        <v>⚠ Review</v>
      </c>
    </row>
    <row r="50" spans="1:12" ht="18" customHeight="1">
      <c r="A50" s="92">
        <f>'SPA Optimizer'!A51</f>
        <v>8982987510</v>
      </c>
      <c r="B50" s="92" t="str">
        <f>'SPA Optimizer'!B51</f>
        <v>SWITCH; POWER WINDOW</v>
      </c>
      <c r="C50" s="93">
        <f>'SPA Optimizer'!D51</f>
        <v>54.13</v>
      </c>
      <c r="D50" s="94">
        <f>'SPA Optimizer'!J51</f>
        <v>42</v>
      </c>
      <c r="E50" s="93">
        <f>'SPA Optimizer'!D51-'SPA Optimizer'!J51</f>
        <v>12.130000000000003</v>
      </c>
      <c r="F50" s="95">
        <f>IFERROR(IF('SPA Optimizer'!D51&gt;0,('SPA Optimizer'!D51-'SPA Optimizer'!J51)/'SPA Optimizer'!D51,0),0)</f>
        <v>0.22409015333456497</v>
      </c>
      <c r="G50" s="96">
        <f>'SPA Optimizer'!K51</f>
        <v>100</v>
      </c>
      <c r="H50" s="97">
        <f>'SPA Optimizer'!L51</f>
        <v>4200</v>
      </c>
      <c r="I50" s="98">
        <f>IFERROR('SPA Optimizer'!D51*'SPA Optimizer'!K51-'SPA Optimizer'!L51,0)</f>
        <v>1213</v>
      </c>
      <c r="J50" s="99">
        <f>IFERROR(IF('SPA Optimizer'!E51&gt;0,('SPA Optimizer'!K51-'SPA Optimizer'!E51)/'SPA Optimizer'!E51,0),0)</f>
        <v>2.125</v>
      </c>
      <c r="K50" s="97">
        <f>IFERROR(('SPA Optimizer'!D51-'SPA Optimizer'!J51)*'SPA Optimizer'!K51,0)</f>
        <v>1213.0000000000002</v>
      </c>
      <c r="L50" s="100" t="str">
        <f>IF('SPA Optimizer'!R51="▲ BETTER","✔ Viable",IF(AND('SPA Optimizer'!AB51="▲ BETTER",'SPA Optimizer'!AA51&lt;=1),"✔ w/ IML support",IF(OR('SPA Optimizer'!AA51&gt;1,'SPA Optimizer'!O51&lt;0),"✖ Not feasible","⚠ Review")))</f>
        <v>✔ Viable</v>
      </c>
    </row>
    <row r="51" spans="1:12" ht="18" customHeight="1">
      <c r="A51" s="92">
        <f>'SPA Optimizer'!A52</f>
        <v>8983034650</v>
      </c>
      <c r="B51" s="92" t="str">
        <f>'SPA Optimizer'!B52</f>
        <v>CALIPER; FRT DISC BRK</v>
      </c>
      <c r="C51" s="93">
        <f>'SPA Optimizer'!D52</f>
        <v>182.33</v>
      </c>
      <c r="D51" s="94">
        <f>'SPA Optimizer'!J52</f>
        <v>135</v>
      </c>
      <c r="E51" s="93">
        <f>'SPA Optimizer'!D52-'SPA Optimizer'!J52</f>
        <v>47.330000000000013</v>
      </c>
      <c r="F51" s="95">
        <f>IFERROR(IF('SPA Optimizer'!D52&gt;0,('SPA Optimizer'!D52-'SPA Optimizer'!J52)/'SPA Optimizer'!D52,0),0)</f>
        <v>0.2595842702791642</v>
      </c>
      <c r="G51" s="96">
        <f>'SPA Optimizer'!K52</f>
        <v>20</v>
      </c>
      <c r="H51" s="97">
        <f>'SPA Optimizer'!L52</f>
        <v>2700</v>
      </c>
      <c r="I51" s="98">
        <f>IFERROR('SPA Optimizer'!D52*'SPA Optimizer'!K52-'SPA Optimizer'!L52,0)</f>
        <v>946.60000000000036</v>
      </c>
      <c r="J51" s="99">
        <f>IFERROR(IF('SPA Optimizer'!E52&gt;0,('SPA Optimizer'!K52-'SPA Optimizer'!E52)/'SPA Optimizer'!E52,0),0)</f>
        <v>2.3333333333333335</v>
      </c>
      <c r="K51" s="97">
        <f>IFERROR(('SPA Optimizer'!D52-'SPA Optimizer'!J52)*'SPA Optimizer'!K52,0)</f>
        <v>946.60000000000025</v>
      </c>
      <c r="L51" s="100" t="str">
        <f>IF('SPA Optimizer'!R52="▲ BETTER","✔ Viable",IF(AND('SPA Optimizer'!AB52="▲ BETTER",'SPA Optimizer'!AA52&lt;=1),"✔ w/ IML support",IF(OR('SPA Optimizer'!AA52&gt;1,'SPA Optimizer'!O52&lt;0),"✖ Not feasible","⚠ Review")))</f>
        <v>✔ Viable</v>
      </c>
    </row>
    <row r="52" spans="1:12" ht="18" customHeight="1">
      <c r="A52" s="92">
        <f>'SPA Optimizer'!A53</f>
        <v>8983034660</v>
      </c>
      <c r="B52" s="92" t="str">
        <f>'SPA Optimizer'!B53</f>
        <v>CALIPER; FRT DISC BRK</v>
      </c>
      <c r="C52" s="93">
        <f>'SPA Optimizer'!D53</f>
        <v>182.33</v>
      </c>
      <c r="D52" s="94">
        <f>'SPA Optimizer'!J53</f>
        <v>135</v>
      </c>
      <c r="E52" s="93">
        <f>'SPA Optimizer'!D53-'SPA Optimizer'!J53</f>
        <v>47.330000000000013</v>
      </c>
      <c r="F52" s="95">
        <f>IFERROR(IF('SPA Optimizer'!D53&gt;0,('SPA Optimizer'!D53-'SPA Optimizer'!J53)/'SPA Optimizer'!D53,0),0)</f>
        <v>0.2595842702791642</v>
      </c>
      <c r="G52" s="96">
        <f>'SPA Optimizer'!K53</f>
        <v>20</v>
      </c>
      <c r="H52" s="97">
        <f>'SPA Optimizer'!L53</f>
        <v>2700</v>
      </c>
      <c r="I52" s="98">
        <f>IFERROR('SPA Optimizer'!D53*'SPA Optimizer'!K53-'SPA Optimizer'!L53,0)</f>
        <v>946.60000000000036</v>
      </c>
      <c r="J52" s="99">
        <f>IFERROR(IF('SPA Optimizer'!E53&gt;0,('SPA Optimizer'!K53-'SPA Optimizer'!E53)/'SPA Optimizer'!E53,0),0)</f>
        <v>2.3333333333333335</v>
      </c>
      <c r="K52" s="97">
        <f>IFERROR(('SPA Optimizer'!D53-'SPA Optimizer'!J53)*'SPA Optimizer'!K53,0)</f>
        <v>946.60000000000025</v>
      </c>
      <c r="L52" s="100" t="str">
        <f>IF('SPA Optimizer'!R53="▲ BETTER","✔ Viable",IF(AND('SPA Optimizer'!AB53="▲ BETTER",'SPA Optimizer'!AA53&lt;=1),"✔ w/ IML support",IF(OR('SPA Optimizer'!AA53&gt;1,'SPA Optimizer'!O53&lt;0),"✖ Not feasible","⚠ Review")))</f>
        <v>✔ Viable</v>
      </c>
    </row>
    <row r="53" spans="1:12" ht="18" customHeight="1">
      <c r="A53" s="92">
        <f>'SPA Optimizer'!A54</f>
        <v>8983034670</v>
      </c>
      <c r="B53" s="92" t="str">
        <f>'SPA Optimizer'!B54</f>
        <v>CALIPER; RR DISC BRK</v>
      </c>
      <c r="C53" s="93">
        <f>'SPA Optimizer'!D54</f>
        <v>178.83</v>
      </c>
      <c r="D53" s="94">
        <f>'SPA Optimizer'!J54</f>
        <v>148</v>
      </c>
      <c r="E53" s="93">
        <f>'SPA Optimizer'!D54-'SPA Optimizer'!J54</f>
        <v>30.830000000000013</v>
      </c>
      <c r="F53" s="95">
        <f>IFERROR(IF('SPA Optimizer'!D54&gt;0,('SPA Optimizer'!D54-'SPA Optimizer'!J54)/'SPA Optimizer'!D54,0),0)</f>
        <v>0.17239836716434609</v>
      </c>
      <c r="G53" s="96">
        <f>'SPA Optimizer'!K54</f>
        <v>65</v>
      </c>
      <c r="H53" s="97">
        <f>'SPA Optimizer'!L54</f>
        <v>9620</v>
      </c>
      <c r="I53" s="98">
        <f>IFERROR('SPA Optimizer'!D54*'SPA Optimizer'!K54-'SPA Optimizer'!L54,0)</f>
        <v>2003.9500000000007</v>
      </c>
      <c r="J53" s="99">
        <f>IFERROR(IF('SPA Optimizer'!E54&gt;0,('SPA Optimizer'!K54-'SPA Optimizer'!E54)/'SPA Optimizer'!E54,0),0)</f>
        <v>1.03125</v>
      </c>
      <c r="K53" s="97">
        <f>IFERROR(('SPA Optimizer'!D54-'SPA Optimizer'!J54)*'SPA Optimizer'!K54,0)</f>
        <v>2003.9500000000007</v>
      </c>
      <c r="L53" s="100" t="str">
        <f>IF('SPA Optimizer'!R54="▲ BETTER","✔ Viable",IF(AND('SPA Optimizer'!AB54="▲ BETTER",'SPA Optimizer'!AA54&lt;=1),"✔ w/ IML support",IF(OR('SPA Optimizer'!AA54&gt;1,'SPA Optimizer'!O54&lt;0),"✖ Not feasible","⚠ Review")))</f>
        <v>✔ Viable</v>
      </c>
    </row>
    <row r="54" spans="1:12" ht="18" customHeight="1">
      <c r="A54" s="92">
        <f>'SPA Optimizer'!A55</f>
        <v>8983034680</v>
      </c>
      <c r="B54" s="92" t="str">
        <f>'SPA Optimizer'!B55</f>
        <v>CALIPER; RR DISC BRK</v>
      </c>
      <c r="C54" s="93">
        <f>'SPA Optimizer'!D55</f>
        <v>178.83</v>
      </c>
      <c r="D54" s="94">
        <f>'SPA Optimizer'!J55</f>
        <v>148</v>
      </c>
      <c r="E54" s="93">
        <f>'SPA Optimizer'!D55-'SPA Optimizer'!J55</f>
        <v>30.830000000000013</v>
      </c>
      <c r="F54" s="95">
        <f>IFERROR(IF('SPA Optimizer'!D55&gt;0,('SPA Optimizer'!D55-'SPA Optimizer'!J55)/'SPA Optimizer'!D55,0),0)</f>
        <v>0.17239836716434609</v>
      </c>
      <c r="G54" s="96">
        <f>'SPA Optimizer'!K55</f>
        <v>50</v>
      </c>
      <c r="H54" s="97">
        <f>'SPA Optimizer'!L55</f>
        <v>7400</v>
      </c>
      <c r="I54" s="98">
        <f>IFERROR('SPA Optimizer'!D55*'SPA Optimizer'!K55-'SPA Optimizer'!L55,0)</f>
        <v>1541.5</v>
      </c>
      <c r="J54" s="99">
        <f>IFERROR(IF('SPA Optimizer'!E55&gt;0,('SPA Optimizer'!K55-'SPA Optimizer'!E55)/'SPA Optimizer'!E55,0),0)</f>
        <v>-9.0909090909090912E-2</v>
      </c>
      <c r="K54" s="97">
        <f>IFERROR(('SPA Optimizer'!D55-'SPA Optimizer'!J55)*'SPA Optimizer'!K55,0)</f>
        <v>1541.5000000000007</v>
      </c>
      <c r="L54" s="100" t="str">
        <f>IF('SPA Optimizer'!R55="▲ BETTER","✔ Viable",IF(AND('SPA Optimizer'!AB55="▲ BETTER",'SPA Optimizer'!AA55&lt;=1),"✔ w/ IML support",IF(OR('SPA Optimizer'!AA55&gt;1,'SPA Optimizer'!O55&lt;0),"✖ Not feasible","⚠ Review")))</f>
        <v>⚠ Review</v>
      </c>
    </row>
    <row r="55" spans="1:12" ht="18" customHeight="1">
      <c r="A55" s="92">
        <f>'SPA Optimizer'!A56</f>
        <v>8983064750</v>
      </c>
      <c r="B55" s="92" t="str">
        <f>'SPA Optimizer'!B56</f>
        <v>NOZZLE ASM; INJ</v>
      </c>
      <c r="C55" s="93">
        <f>'SPA Optimizer'!D56</f>
        <v>173.93</v>
      </c>
      <c r="D55" s="94">
        <f>'SPA Optimizer'!J56</f>
        <v>150</v>
      </c>
      <c r="E55" s="93">
        <f>'SPA Optimizer'!D56-'SPA Optimizer'!J56</f>
        <v>23.930000000000007</v>
      </c>
      <c r="F55" s="95">
        <f>IFERROR(IF('SPA Optimizer'!D56&gt;0,('SPA Optimizer'!D56-'SPA Optimizer'!J56)/'SPA Optimizer'!D56,0),0)</f>
        <v>0.13758408555165874</v>
      </c>
      <c r="G55" s="96">
        <f>'SPA Optimizer'!K56</f>
        <v>60</v>
      </c>
      <c r="H55" s="97">
        <f>'SPA Optimizer'!L56</f>
        <v>9000</v>
      </c>
      <c r="I55" s="98">
        <f>IFERROR('SPA Optimizer'!D56*'SPA Optimizer'!K56-'SPA Optimizer'!L56,0)</f>
        <v>1435.8000000000011</v>
      </c>
      <c r="J55" s="99">
        <f>IFERROR(IF('SPA Optimizer'!E56&gt;0,('SPA Optimizer'!K56-'SPA Optimizer'!E56)/'SPA Optimizer'!E56,0),0)</f>
        <v>-0.48717948717948717</v>
      </c>
      <c r="K55" s="97">
        <f>IFERROR(('SPA Optimizer'!D56-'SPA Optimizer'!J56)*'SPA Optimizer'!K56,0)</f>
        <v>1435.8000000000004</v>
      </c>
      <c r="L55" s="100" t="str">
        <f>IF('SPA Optimizer'!R56="▲ BETTER","✔ Viable",IF(AND('SPA Optimizer'!AB56="▲ BETTER",'SPA Optimizer'!AA56&lt;=1),"✔ w/ IML support",IF(OR('SPA Optimizer'!AA56&gt;1,'SPA Optimizer'!O56&lt;0),"✖ Not feasible","⚠ Review")))</f>
        <v>⚠ Review</v>
      </c>
    </row>
    <row r="56" spans="1:12" ht="18" customHeight="1">
      <c r="A56" s="92">
        <f>'SPA Optimizer'!A57</f>
        <v>8983487480</v>
      </c>
      <c r="B56" s="92" t="str">
        <f>'SPA Optimizer'!B57</f>
        <v>CHAMBER; POWER</v>
      </c>
      <c r="C56" s="93">
        <f>'SPA Optimizer'!D57</f>
        <v>60.1</v>
      </c>
      <c r="D56" s="94">
        <f>'SPA Optimizer'!J57</f>
        <v>55</v>
      </c>
      <c r="E56" s="93">
        <f>'SPA Optimizer'!D57-'SPA Optimizer'!J57</f>
        <v>5.1000000000000014</v>
      </c>
      <c r="F56" s="95">
        <f>IFERROR(IF('SPA Optimizer'!D57&gt;0,('SPA Optimizer'!D57-'SPA Optimizer'!J57)/'SPA Optimizer'!D57,0),0)</f>
        <v>8.4858569051580721E-2</v>
      </c>
      <c r="G56" s="96">
        <f>'SPA Optimizer'!K57</f>
        <v>350</v>
      </c>
      <c r="H56" s="97">
        <f>'SPA Optimizer'!L57</f>
        <v>19250</v>
      </c>
      <c r="I56" s="98">
        <f>IFERROR('SPA Optimizer'!D57*'SPA Optimizer'!K57-'SPA Optimizer'!L57,0)</f>
        <v>1785</v>
      </c>
      <c r="J56" s="99">
        <f>IFERROR(IF('SPA Optimizer'!E57&gt;0,('SPA Optimizer'!K57-'SPA Optimizer'!E57)/'SPA Optimizer'!E57,0),0)</f>
        <v>6.7073170731707321E-2</v>
      </c>
      <c r="K56" s="97">
        <f>IFERROR(('SPA Optimizer'!D57-'SPA Optimizer'!J57)*'SPA Optimizer'!K57,0)</f>
        <v>1785.0000000000005</v>
      </c>
      <c r="L56" s="100" t="str">
        <f>IF('SPA Optimizer'!R57="▲ BETTER","✔ Viable",IF(AND('SPA Optimizer'!AB57="▲ BETTER",'SPA Optimizer'!AA57&lt;=1),"✔ w/ IML support",IF(OR('SPA Optimizer'!AA57&gt;1,'SPA Optimizer'!O57&lt;0),"✖ Not feasible","⚠ Review")))</f>
        <v>⚠ Review</v>
      </c>
    </row>
    <row r="57" spans="1:12" ht="18" customHeight="1">
      <c r="A57" s="92">
        <f>'SPA Optimizer'!A58</f>
        <v>8983528481</v>
      </c>
      <c r="B57" s="92" t="str">
        <f>'SPA Optimizer'!B58</f>
        <v>SENSOR; NOX</v>
      </c>
      <c r="C57" s="93">
        <f>'SPA Optimizer'!D58</f>
        <v>222.27</v>
      </c>
      <c r="D57" s="94">
        <f>'SPA Optimizer'!J58</f>
        <v>205</v>
      </c>
      <c r="E57" s="93">
        <f>'SPA Optimizer'!D58-'SPA Optimizer'!J58</f>
        <v>17.27000000000001</v>
      </c>
      <c r="F57" s="95">
        <f>IFERROR(IF('SPA Optimizer'!D58&gt;0,('SPA Optimizer'!D58-'SPA Optimizer'!J58)/'SPA Optimizer'!D58,0),0)</f>
        <v>7.769829486660372E-2</v>
      </c>
      <c r="G57" s="96">
        <f>'SPA Optimizer'!K58</f>
        <v>450</v>
      </c>
      <c r="H57" s="97">
        <f>'SPA Optimizer'!L58</f>
        <v>92250</v>
      </c>
      <c r="I57" s="98">
        <f>IFERROR('SPA Optimizer'!D58*'SPA Optimizer'!K58-'SPA Optimizer'!L58,0)</f>
        <v>7771.5</v>
      </c>
      <c r="J57" s="99">
        <f>IFERROR(IF('SPA Optimizer'!E58&gt;0,('SPA Optimizer'!K58-'SPA Optimizer'!E58)/'SPA Optimizer'!E58,0),0)</f>
        <v>-0.2857142857142857</v>
      </c>
      <c r="K57" s="97">
        <f>IFERROR(('SPA Optimizer'!D58-'SPA Optimizer'!J58)*'SPA Optimizer'!K58,0)</f>
        <v>7771.5000000000045</v>
      </c>
      <c r="L57" s="100" t="str">
        <f>IF('SPA Optimizer'!R58="▲ BETTER","✔ Viable",IF(AND('SPA Optimizer'!AB58="▲ BETTER",'SPA Optimizer'!AA58&lt;=1),"✔ w/ IML support",IF(OR('SPA Optimizer'!AA58&gt;1,'SPA Optimizer'!O58&lt;0),"✖ Not feasible","⚠ Review")))</f>
        <v>⚠ Review</v>
      </c>
    </row>
    <row r="58" spans="1:12" ht="18" customHeight="1">
      <c r="A58" s="101" t="s">
        <v>181</v>
      </c>
      <c r="B58" s="101" t="s">
        <v>182</v>
      </c>
      <c r="C58" s="102"/>
      <c r="D58" s="102"/>
      <c r="E58" s="102"/>
      <c r="F58" s="102"/>
      <c r="G58" s="102"/>
      <c r="H58" s="103">
        <f>SUM(H5:H57)</f>
        <v>728880</v>
      </c>
      <c r="I58" s="103">
        <f>SUM(I5:I57)</f>
        <v>179979.5</v>
      </c>
      <c r="J58" s="102"/>
      <c r="K58" s="103">
        <f>SUM(K5:K57)</f>
        <v>179979.5</v>
      </c>
      <c r="L58" s="102"/>
    </row>
    <row r="60" spans="1:12" ht="14.25" customHeight="1">
      <c r="A60" s="104" t="s">
        <v>203</v>
      </c>
    </row>
    <row r="61" spans="1:12" ht="63.75" customHeight="1">
      <c r="A61" s="105" t="s">
        <v>204</v>
      </c>
      <c r="B61" s="2" t="s">
        <v>205</v>
      </c>
      <c r="C61" s="106"/>
      <c r="D61" s="106"/>
      <c r="E61" s="106"/>
      <c r="F61" s="106"/>
      <c r="G61" s="106"/>
      <c r="H61" s="106"/>
      <c r="I61" s="106"/>
      <c r="J61" s="106"/>
      <c r="K61" s="106"/>
      <c r="L61" s="106"/>
    </row>
    <row r="62" spans="1:12" ht="53.25" customHeight="1">
      <c r="A62" s="105" t="s">
        <v>206</v>
      </c>
      <c r="B62" s="2" t="s">
        <v>207</v>
      </c>
      <c r="C62" s="106"/>
      <c r="D62" s="106"/>
      <c r="E62" s="106"/>
      <c r="F62" s="106"/>
      <c r="G62" s="106"/>
      <c r="H62" s="106"/>
      <c r="I62" s="106"/>
      <c r="J62" s="106"/>
      <c r="K62" s="106"/>
      <c r="L62" s="106"/>
    </row>
    <row r="63" spans="1:12" ht="42.75" customHeight="1">
      <c r="A63" s="105" t="s">
        <v>208</v>
      </c>
      <c r="B63" s="2" t="s">
        <v>209</v>
      </c>
      <c r="C63" s="106"/>
      <c r="D63" s="106"/>
      <c r="E63" s="106"/>
      <c r="F63" s="106"/>
      <c r="G63" s="106"/>
      <c r="H63" s="106"/>
      <c r="I63" s="106"/>
      <c r="J63" s="106"/>
      <c r="K63" s="106"/>
      <c r="L63" s="106"/>
    </row>
    <row r="64" spans="1:12" ht="42.75" customHeight="1">
      <c r="A64" s="105" t="s">
        <v>210</v>
      </c>
      <c r="B64" s="2" t="s">
        <v>211</v>
      </c>
      <c r="C64" s="106"/>
      <c r="D64" s="106"/>
      <c r="E64" s="106"/>
      <c r="F64" s="106"/>
      <c r="G64" s="106"/>
      <c r="H64" s="106"/>
      <c r="I64" s="106"/>
      <c r="J64" s="106"/>
      <c r="K64" s="106"/>
      <c r="L64" s="106"/>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5100"/>
  </sheetPr>
  <dimension ref="A1:M68"/>
  <sheetViews>
    <sheetView topLeftCell="A4" zoomScaleNormal="100" workbookViewId="0"/>
  </sheetViews>
  <sheetFormatPr defaultColWidth="8.7109375" defaultRowHeight="15"/>
  <cols>
    <col min="1" max="1" width="14" customWidth="1"/>
    <col min="2" max="2" width="36" customWidth="1"/>
    <col min="3" max="3" width="16" customWidth="1"/>
    <col min="4" max="4" width="12" customWidth="1"/>
    <col min="5" max="5" width="10" customWidth="1"/>
    <col min="6" max="6" width="12" customWidth="1"/>
    <col min="7" max="7" width="10" customWidth="1"/>
    <col min="8" max="8" width="12" customWidth="1"/>
    <col min="9" max="9" width="14" customWidth="1"/>
    <col min="10" max="10" width="12" customWidth="1"/>
    <col min="11" max="11" width="10" customWidth="1"/>
    <col min="12" max="12" width="14" customWidth="1"/>
    <col min="13" max="13" width="18" customWidth="1"/>
  </cols>
  <sheetData>
    <row r="1" spans="1:13" ht="30" customHeight="1">
      <c r="A1" s="176" t="s">
        <v>212</v>
      </c>
      <c r="B1" s="176"/>
      <c r="C1" s="176"/>
      <c r="D1" s="176"/>
      <c r="E1" s="176"/>
      <c r="F1" s="176"/>
      <c r="G1" s="176"/>
      <c r="H1" s="176"/>
      <c r="I1" s="176"/>
      <c r="J1" s="176"/>
      <c r="K1" s="176"/>
      <c r="L1" s="176"/>
      <c r="M1" s="176"/>
    </row>
    <row r="2" spans="1:13" ht="18" customHeight="1">
      <c r="A2" s="177" t="s">
        <v>213</v>
      </c>
      <c r="B2" s="177"/>
      <c r="C2" s="177"/>
      <c r="D2" s="177"/>
      <c r="E2" s="177"/>
      <c r="F2" s="177"/>
      <c r="G2" s="177"/>
      <c r="H2" s="177"/>
      <c r="I2" s="177"/>
      <c r="J2" s="177"/>
      <c r="K2" s="177"/>
      <c r="L2" s="177"/>
      <c r="M2" s="177"/>
    </row>
    <row r="3" spans="1:13" ht="6" customHeight="1"/>
    <row r="4" spans="1:13" ht="43.5" customHeight="1">
      <c r="A4" s="72" t="s">
        <v>108</v>
      </c>
      <c r="B4" s="72" t="s">
        <v>109</v>
      </c>
      <c r="C4" s="72" t="s">
        <v>214</v>
      </c>
      <c r="D4" s="72" t="s">
        <v>215</v>
      </c>
      <c r="E4" s="72" t="s">
        <v>216</v>
      </c>
      <c r="F4" s="72" t="s">
        <v>217</v>
      </c>
      <c r="G4" s="72" t="s">
        <v>110</v>
      </c>
      <c r="H4" s="72" t="s">
        <v>145</v>
      </c>
      <c r="I4" s="72" t="s">
        <v>144</v>
      </c>
      <c r="J4" s="72" t="s">
        <v>129</v>
      </c>
      <c r="K4" s="72" t="s">
        <v>218</v>
      </c>
      <c r="L4" s="72" t="s">
        <v>219</v>
      </c>
      <c r="M4" s="72" t="s">
        <v>220</v>
      </c>
    </row>
    <row r="5" spans="1:13" ht="18" customHeight="1">
      <c r="A5" s="4">
        <f>'SPA Optimizer'!A6</f>
        <v>1443803030</v>
      </c>
      <c r="B5" s="31" t="str">
        <f>'SPA Optimizer'!B6</f>
        <v>LINK; DRAG</v>
      </c>
      <c r="C5" s="107">
        <f>'SPA Optimizer'!C6</f>
        <v>71.92</v>
      </c>
      <c r="D5" s="108">
        <f>'SPA Optimizer'!D6</f>
        <v>131.66</v>
      </c>
      <c r="E5" s="32">
        <f>'SPA Optimizer'!I6</f>
        <v>0.4537444933920704</v>
      </c>
      <c r="F5" s="109">
        <f>'SPA Optimizer'!J6</f>
        <v>110</v>
      </c>
      <c r="G5" s="32">
        <f>'SPA Optimizer'!O6</f>
        <v>0.34618181818181815</v>
      </c>
      <c r="H5" s="32">
        <f>'SPA Optimizer'!AA6</f>
        <v>0.41192065257693711</v>
      </c>
      <c r="I5" s="108">
        <f>'SPA Optimizer'!Z6</f>
        <v>302.06400000000002</v>
      </c>
      <c r="J5" s="110">
        <f>'SPA Optimizer'!K6</f>
        <v>60</v>
      </c>
      <c r="K5" s="110">
        <f>'SPA Optimizer'!E6</f>
        <v>68</v>
      </c>
      <c r="L5" s="111">
        <f>IFERROR('SPA Optimizer'!K6-'SPA Optimizer'!E6,0)</f>
        <v>-8</v>
      </c>
      <c r="M5" s="112">
        <f>IFERROR(MAX(0,'SPA Optimizer'!K6-'SPA Optimizer'!E6)*'SPA Optimizer'!C6*(1-'SPA Optimizer'!AA6),0)</f>
        <v>0</v>
      </c>
    </row>
    <row r="6" spans="1:13" ht="18" customHeight="1">
      <c r="A6" s="6">
        <f>'SPA Optimizer'!A7</f>
        <v>1443803050</v>
      </c>
      <c r="B6" s="33" t="str">
        <f>'SPA Optimizer'!B7</f>
        <v>LINK; DRAG</v>
      </c>
      <c r="C6" s="107">
        <f>'SPA Optimizer'!C7</f>
        <v>75.06</v>
      </c>
      <c r="D6" s="113">
        <f>'SPA Optimizer'!D7</f>
        <v>137.41</v>
      </c>
      <c r="E6" s="34">
        <f>'SPA Optimizer'!I7</f>
        <v>0.45375154646677829</v>
      </c>
      <c r="F6" s="114">
        <f>'SPA Optimizer'!J7</f>
        <v>110</v>
      </c>
      <c r="G6" s="34">
        <f>'SPA Optimizer'!O7</f>
        <v>0.31763636363636361</v>
      </c>
      <c r="H6" s="34">
        <f>'SPA Optimizer'!AA7</f>
        <v>0.19904076738609122</v>
      </c>
      <c r="I6" s="113">
        <f>'SPA Optimizer'!Z7</f>
        <v>288.98100000000005</v>
      </c>
      <c r="J6" s="115">
        <f>'SPA Optimizer'!K7</f>
        <v>55</v>
      </c>
      <c r="K6" s="115">
        <f>'SPA Optimizer'!E7</f>
        <v>44</v>
      </c>
      <c r="L6" s="116">
        <f>IFERROR('SPA Optimizer'!K7-'SPA Optimizer'!E7,0)</f>
        <v>11</v>
      </c>
      <c r="M6" s="117">
        <f>IFERROR(MAX(0,'SPA Optimizer'!K7-'SPA Optimizer'!E7)*'SPA Optimizer'!C7*(1-'SPA Optimizer'!AA7),0)</f>
        <v>661.31999999999994</v>
      </c>
    </row>
    <row r="7" spans="1:13" ht="18" customHeight="1">
      <c r="A7" s="4">
        <f>'SPA Optimizer'!A8</f>
        <v>1476010870</v>
      </c>
      <c r="B7" s="31" t="str">
        <f>'SPA Optimizer'!B8</f>
        <v>EXPANDER</v>
      </c>
      <c r="C7" s="107">
        <f>'SPA Optimizer'!C8</f>
        <v>137.96</v>
      </c>
      <c r="D7" s="108">
        <f>'SPA Optimizer'!D8</f>
        <v>252.56</v>
      </c>
      <c r="E7" s="32">
        <f>'SPA Optimizer'!I8</f>
        <v>0.45375356350966112</v>
      </c>
      <c r="F7" s="109">
        <f>'SPA Optimizer'!J8</f>
        <v>200</v>
      </c>
      <c r="G7" s="32">
        <f>'SPA Optimizer'!O8</f>
        <v>0.31019999999999998</v>
      </c>
      <c r="H7" s="32">
        <f>'SPA Optimizer'!AA8</f>
        <v>2.5611288296125689E-3</v>
      </c>
      <c r="I7" s="108">
        <f>'SPA Optimizer'!Z8</f>
        <v>869.14800000000014</v>
      </c>
      <c r="J7" s="110">
        <f>'SPA Optimizer'!K8</f>
        <v>90</v>
      </c>
      <c r="K7" s="110">
        <f>'SPA Optimizer'!E8</f>
        <v>49</v>
      </c>
      <c r="L7" s="111">
        <f>IFERROR('SPA Optimizer'!K8-'SPA Optimizer'!E8,0)</f>
        <v>41</v>
      </c>
      <c r="M7" s="112">
        <f>IFERROR(MAX(0,'SPA Optimizer'!K8-'SPA Optimizer'!E8)*'SPA Optimizer'!C8*(1-'SPA Optimizer'!AA8),0)</f>
        <v>5641.873333333333</v>
      </c>
    </row>
    <row r="8" spans="1:13" ht="18" customHeight="1">
      <c r="A8" s="6">
        <f>'SPA Optimizer'!A9</f>
        <v>1476012180</v>
      </c>
      <c r="B8" s="33" t="str">
        <f>'SPA Optimizer'!B9</f>
        <v>CYLINDER; WHEEL,RR BRK</v>
      </c>
      <c r="C8" s="107">
        <f>'SPA Optimizer'!C9</f>
        <v>114.36</v>
      </c>
      <c r="D8" s="113">
        <f>'SPA Optimizer'!D9</f>
        <v>193.68</v>
      </c>
      <c r="E8" s="34">
        <f>'SPA Optimizer'!I9</f>
        <v>0.4095415117719951</v>
      </c>
      <c r="F8" s="114">
        <f>'SPA Optimizer'!J9</f>
        <v>150</v>
      </c>
      <c r="G8" s="34">
        <f>'SPA Optimizer'!O9</f>
        <v>0.23759999999999998</v>
      </c>
      <c r="H8" s="34">
        <f>'SPA Optimizer'!AA9</f>
        <v>0.35594176285414492</v>
      </c>
      <c r="I8" s="113">
        <f>'SPA Optimizer'!Z9</f>
        <v>640.41600000000005</v>
      </c>
      <c r="J8" s="115">
        <f>'SPA Optimizer'!K9</f>
        <v>80</v>
      </c>
      <c r="K8" s="115">
        <f>'SPA Optimizer'!E9</f>
        <v>77</v>
      </c>
      <c r="L8" s="116">
        <f>IFERROR('SPA Optimizer'!K9-'SPA Optimizer'!E9,0)</f>
        <v>3</v>
      </c>
      <c r="M8" s="117">
        <f>IFERROR(MAX(0,'SPA Optimizer'!K9-'SPA Optimizer'!E9)*'SPA Optimizer'!C9*(1-'SPA Optimizer'!AA9),0)</f>
        <v>220.96349999999995</v>
      </c>
    </row>
    <row r="9" spans="1:13" ht="18" customHeight="1">
      <c r="A9" s="4">
        <f>'SPA Optimizer'!A10</f>
        <v>1476012190</v>
      </c>
      <c r="B9" s="31" t="str">
        <f>'SPA Optimizer'!B10</f>
        <v>CYLINDER; WHEEL,RR BRK</v>
      </c>
      <c r="C9" s="107">
        <f>'SPA Optimizer'!C10</f>
        <v>114.36</v>
      </c>
      <c r="D9" s="108">
        <f>'SPA Optimizer'!D10</f>
        <v>193.68</v>
      </c>
      <c r="E9" s="32">
        <f>'SPA Optimizer'!I10</f>
        <v>0.40954151177199505</v>
      </c>
      <c r="F9" s="109">
        <f>'SPA Optimizer'!J10</f>
        <v>150</v>
      </c>
      <c r="G9" s="32">
        <f>'SPA Optimizer'!O10</f>
        <v>0.23760000000000001</v>
      </c>
      <c r="H9" s="32">
        <f>'SPA Optimizer'!AA10</f>
        <v>0.68911707390196375</v>
      </c>
      <c r="I9" s="108">
        <f>'SPA Optimizer'!Z10</f>
        <v>560.36400000000003</v>
      </c>
      <c r="J9" s="110">
        <f>'SPA Optimizer'!K10</f>
        <v>70</v>
      </c>
      <c r="K9" s="110">
        <f>'SPA Optimizer'!E10</f>
        <v>101</v>
      </c>
      <c r="L9" s="111">
        <f>IFERROR('SPA Optimizer'!K10-'SPA Optimizer'!E10,0)</f>
        <v>-31</v>
      </c>
      <c r="M9" s="112">
        <f>IFERROR(MAX(0,'SPA Optimizer'!K10-'SPA Optimizer'!E10)*'SPA Optimizer'!C10*(1-'SPA Optimizer'!AA10),0)</f>
        <v>0</v>
      </c>
    </row>
    <row r="10" spans="1:13" ht="18" customHeight="1">
      <c r="A10" s="6">
        <f>'SPA Optimizer'!A11</f>
        <v>1876101141</v>
      </c>
      <c r="B10" s="33" t="str">
        <f>'SPA Optimizer'!B11</f>
        <v>FILTER; ACL,INNER</v>
      </c>
      <c r="C10" s="107">
        <f>'SPA Optimizer'!C11</f>
        <v>9.4600000000000009</v>
      </c>
      <c r="D10" s="113">
        <f>'SPA Optimizer'!D11</f>
        <v>14.8</v>
      </c>
      <c r="E10" s="34">
        <f>'SPA Optimizer'!I11</f>
        <v>0.36081081081081084</v>
      </c>
      <c r="F10" s="114">
        <f>'SPA Optimizer'!J11</f>
        <v>12</v>
      </c>
      <c r="G10" s="34">
        <f>'SPA Optimizer'!O11</f>
        <v>0.21166666666666661</v>
      </c>
      <c r="H10" s="34">
        <f>'SPA Optimizer'!AA11</f>
        <v>0.15015856236786473</v>
      </c>
      <c r="I10" s="113">
        <f>'SPA Optimizer'!Z11</f>
        <v>794.6400000000001</v>
      </c>
      <c r="J10" s="115">
        <f>'SPA Optimizer'!K11</f>
        <v>1200</v>
      </c>
      <c r="K10" s="115">
        <f>'SPA Optimizer'!E11</f>
        <v>890</v>
      </c>
      <c r="L10" s="116">
        <f>IFERROR('SPA Optimizer'!K11-'SPA Optimizer'!E11,0)</f>
        <v>310</v>
      </c>
      <c r="M10" s="117">
        <f>IFERROR(MAX(0,'SPA Optimizer'!K11-'SPA Optimizer'!E11)*'SPA Optimizer'!C11*(1-'SPA Optimizer'!AA11),0)</f>
        <v>2492.2450000000003</v>
      </c>
    </row>
    <row r="11" spans="1:13" ht="18" customHeight="1">
      <c r="A11" s="4">
        <f>'SPA Optimizer'!A12</f>
        <v>5876100891</v>
      </c>
      <c r="B11" s="31" t="str">
        <f>'SPA Optimizer'!B12</f>
        <v>PUMP ASM; WATER</v>
      </c>
      <c r="C11" s="107">
        <f>'SPA Optimizer'!C12</f>
        <v>24.6</v>
      </c>
      <c r="D11" s="108">
        <f>'SPA Optimizer'!D12</f>
        <v>41.66</v>
      </c>
      <c r="E11" s="32">
        <f>'SPA Optimizer'!I12</f>
        <v>0.40950552088334141</v>
      </c>
      <c r="F11" s="109">
        <f>'SPA Optimizer'!J12</f>
        <v>50</v>
      </c>
      <c r="G11" s="32">
        <f>'SPA Optimizer'!O12</f>
        <v>0.50800000000000001</v>
      </c>
      <c r="H11" s="32">
        <f>'SPA Optimizer'!AA12</f>
        <v>0</v>
      </c>
      <c r="I11" s="108">
        <f>'SPA Optimizer'!Z12</f>
        <v>60.27000000000001</v>
      </c>
      <c r="J11" s="110">
        <f>'SPA Optimizer'!K12</f>
        <v>35</v>
      </c>
      <c r="K11" s="110">
        <f>'SPA Optimizer'!E12</f>
        <v>43</v>
      </c>
      <c r="L11" s="111">
        <f>IFERROR('SPA Optimizer'!K12-'SPA Optimizer'!E12,0)</f>
        <v>-8</v>
      </c>
      <c r="M11" s="112">
        <f>IFERROR(MAX(0,'SPA Optimizer'!K12-'SPA Optimizer'!E12)*'SPA Optimizer'!C12*(1-'SPA Optimizer'!AA12),0)</f>
        <v>0</v>
      </c>
    </row>
    <row r="12" spans="1:13" ht="18" customHeight="1">
      <c r="A12" s="6">
        <f>'SPA Optimizer'!A13</f>
        <v>5876102200</v>
      </c>
      <c r="B12" s="33" t="str">
        <f>'SPA Optimizer'!B13</f>
        <v>ELEMENT KIT;FUEL FILTER</v>
      </c>
      <c r="C12" s="107">
        <f>'SPA Optimizer'!C13</f>
        <v>11.16</v>
      </c>
      <c r="D12" s="113">
        <f>'SPA Optimizer'!D13</f>
        <v>17.46</v>
      </c>
      <c r="E12" s="34">
        <f>'SPA Optimizer'!I13</f>
        <v>0.36082474226804123</v>
      </c>
      <c r="F12" s="114">
        <f>'SPA Optimizer'!J13</f>
        <v>14</v>
      </c>
      <c r="G12" s="34">
        <f>'SPA Optimizer'!O13</f>
        <v>0.20285714285714285</v>
      </c>
      <c r="H12" s="34">
        <f>'SPA Optimizer'!AA13</f>
        <v>0.24597553373850711</v>
      </c>
      <c r="I12" s="113">
        <f>'SPA Optimizer'!Z13</f>
        <v>1796.7600000000002</v>
      </c>
      <c r="J12" s="115">
        <f>'SPA Optimizer'!K13</f>
        <v>2300</v>
      </c>
      <c r="K12" s="115">
        <f>'SPA Optimizer'!E13</f>
        <v>2039</v>
      </c>
      <c r="L12" s="116">
        <f>IFERROR('SPA Optimizer'!K13-'SPA Optimizer'!E13,0)</f>
        <v>261</v>
      </c>
      <c r="M12" s="117">
        <f>IFERROR(MAX(0,'SPA Optimizer'!K13-'SPA Optimizer'!E13)*'SPA Optimizer'!C13*(1-'SPA Optimizer'!AA13),0)</f>
        <v>2196.2923043478263</v>
      </c>
    </row>
    <row r="13" spans="1:13" ht="18" customHeight="1">
      <c r="A13" s="4">
        <f>'SPA Optimizer'!A14</f>
        <v>5876102320</v>
      </c>
      <c r="B13" s="31" t="str">
        <f>'SPA Optimizer'!B14</f>
        <v>CLUTCH KIT</v>
      </c>
      <c r="C13" s="107">
        <f>'SPA Optimizer'!C14</f>
        <v>107.08</v>
      </c>
      <c r="D13" s="108">
        <f>'SPA Optimizer'!D14</f>
        <v>167.52</v>
      </c>
      <c r="E13" s="32">
        <f>'SPA Optimizer'!I14</f>
        <v>0.36079274116523402</v>
      </c>
      <c r="F13" s="109">
        <f>'SPA Optimizer'!J14</f>
        <v>120</v>
      </c>
      <c r="G13" s="32">
        <f>'SPA Optimizer'!O14</f>
        <v>0.10766666666666669</v>
      </c>
      <c r="H13" s="32">
        <f>'SPA Optimizer'!AA14</f>
        <v>0.33794826298094882</v>
      </c>
      <c r="I13" s="108">
        <f>'SPA Optimizer'!Z14</f>
        <v>2998.2400000000002</v>
      </c>
      <c r="J13" s="110">
        <f>'SPA Optimizer'!K14</f>
        <v>400</v>
      </c>
      <c r="K13" s="110">
        <f>'SPA Optimizer'!E14</f>
        <v>325</v>
      </c>
      <c r="L13" s="111">
        <f>IFERROR('SPA Optimizer'!K14-'SPA Optimizer'!E14,0)</f>
        <v>75</v>
      </c>
      <c r="M13" s="112">
        <f>IFERROR(MAX(0,'SPA Optimizer'!K14-'SPA Optimizer'!E14)*'SPA Optimizer'!C14*(1-'SPA Optimizer'!AA14),0)</f>
        <v>5316.9375</v>
      </c>
    </row>
    <row r="14" spans="1:13" ht="18" customHeight="1">
      <c r="A14" s="6">
        <f>'SPA Optimizer'!A15</f>
        <v>5876102820</v>
      </c>
      <c r="B14" s="33" t="str">
        <f>'SPA Optimizer'!B15</f>
        <v>STARTER ASM</v>
      </c>
      <c r="C14" s="107">
        <f>'SPA Optimizer'!C15</f>
        <v>87.4</v>
      </c>
      <c r="D14" s="113">
        <f>'SPA Optimizer'!D15</f>
        <v>148.01</v>
      </c>
      <c r="E14" s="34">
        <f>'SPA Optimizer'!I15</f>
        <v>0.4094993581514762</v>
      </c>
      <c r="F14" s="114">
        <f>'SPA Optimizer'!J15</f>
        <v>135</v>
      </c>
      <c r="G14" s="34">
        <f>'SPA Optimizer'!O15</f>
        <v>0.35259259259259251</v>
      </c>
      <c r="H14" s="34">
        <f>'SPA Optimizer'!AA15</f>
        <v>0</v>
      </c>
      <c r="I14" s="113">
        <f>'SPA Optimizer'!Z15</f>
        <v>275.31000000000006</v>
      </c>
      <c r="J14" s="115">
        <f>'SPA Optimizer'!K15</f>
        <v>45</v>
      </c>
      <c r="K14" s="115">
        <f>'SPA Optimizer'!E15</f>
        <v>10</v>
      </c>
      <c r="L14" s="116">
        <f>IFERROR('SPA Optimizer'!K15-'SPA Optimizer'!E15,0)</f>
        <v>35</v>
      </c>
      <c r="M14" s="117">
        <f>IFERROR(MAX(0,'SPA Optimizer'!K15-'SPA Optimizer'!E15)*'SPA Optimizer'!C15*(1-'SPA Optimizer'!AA15),0)</f>
        <v>3059</v>
      </c>
    </row>
    <row r="15" spans="1:13" ht="18" customHeight="1">
      <c r="A15" s="4">
        <f>'SPA Optimizer'!A16</f>
        <v>5876102850</v>
      </c>
      <c r="B15" s="31" t="str">
        <f>'SPA Optimizer'!B16</f>
        <v>ABSORBER ASM; SHOCK,FRT</v>
      </c>
      <c r="C15" s="107">
        <f>'SPA Optimizer'!C16</f>
        <v>10.56</v>
      </c>
      <c r="D15" s="108">
        <f>'SPA Optimizer'!D16</f>
        <v>17.88</v>
      </c>
      <c r="E15" s="32">
        <f>'SPA Optimizer'!I16</f>
        <v>0.40939597315436244</v>
      </c>
      <c r="F15" s="109">
        <f>'SPA Optimizer'!J16</f>
        <v>12</v>
      </c>
      <c r="G15" s="32">
        <f>'SPA Optimizer'!O16</f>
        <v>0.11999999999999995</v>
      </c>
      <c r="H15" s="32">
        <f>'SPA Optimizer'!AA16</f>
        <v>0.46439393939393958</v>
      </c>
      <c r="I15" s="108">
        <f>'SPA Optimizer'!Z16</f>
        <v>221.76000000000002</v>
      </c>
      <c r="J15" s="110">
        <f>'SPA Optimizer'!K16</f>
        <v>300</v>
      </c>
      <c r="K15" s="110">
        <f>'SPA Optimizer'!E16</f>
        <v>260</v>
      </c>
      <c r="L15" s="111">
        <f>IFERROR('SPA Optimizer'!K16-'SPA Optimizer'!E16,0)</f>
        <v>40</v>
      </c>
      <c r="M15" s="112">
        <f>IFERROR(MAX(0,'SPA Optimizer'!K16-'SPA Optimizer'!E16)*'SPA Optimizer'!C16*(1-'SPA Optimizer'!AA16),0)</f>
        <v>226.23999999999995</v>
      </c>
    </row>
    <row r="16" spans="1:13" ht="18" customHeight="1">
      <c r="A16" s="6">
        <f>'SPA Optimizer'!A17</f>
        <v>5878323991</v>
      </c>
      <c r="B16" s="33" t="str">
        <f>'SPA Optimizer'!B17</f>
        <v>KING PIN KIT</v>
      </c>
      <c r="C16" s="107">
        <f>'SPA Optimizer'!C17</f>
        <v>39.979999999999997</v>
      </c>
      <c r="D16" s="113">
        <f>'SPA Optimizer'!D17</f>
        <v>62.55</v>
      </c>
      <c r="E16" s="34">
        <f>'SPA Optimizer'!I17</f>
        <v>0.36083133493205438</v>
      </c>
      <c r="F16" s="114">
        <f>'SPA Optimizer'!J17</f>
        <v>50</v>
      </c>
      <c r="G16" s="34">
        <f>'SPA Optimizer'!O17</f>
        <v>0.20040000000000008</v>
      </c>
      <c r="H16" s="34">
        <f>'SPA Optimizer'!AA17</f>
        <v>0</v>
      </c>
      <c r="I16" s="113">
        <f>'SPA Optimizer'!Z17</f>
        <v>755.62199999999996</v>
      </c>
      <c r="J16" s="115">
        <f>'SPA Optimizer'!K17</f>
        <v>270</v>
      </c>
      <c r="K16" s="115">
        <f>'SPA Optimizer'!E17</f>
        <v>70</v>
      </c>
      <c r="L16" s="116">
        <f>IFERROR('SPA Optimizer'!K17-'SPA Optimizer'!E17,0)</f>
        <v>200</v>
      </c>
      <c r="M16" s="117">
        <f>IFERROR(MAX(0,'SPA Optimizer'!K17-'SPA Optimizer'!E17)*'SPA Optimizer'!C17*(1-'SPA Optimizer'!AA17),0)</f>
        <v>7995.9999999999991</v>
      </c>
    </row>
    <row r="17" spans="1:13" ht="19.5" customHeight="1">
      <c r="A17">
        <f>'SPA Optimizer'!A18</f>
        <v>7551827563</v>
      </c>
      <c r="B17" t="str">
        <f>'SPA Optimizer'!B18</f>
        <v>BUMPER ASM; FRT</v>
      </c>
      <c r="C17" s="118">
        <f>'SPA Optimizer'!C18</f>
        <v>125.27</v>
      </c>
      <c r="D17" s="118">
        <f>'SPA Optimizer'!D18</f>
        <v>218.21</v>
      </c>
      <c r="E17" s="35">
        <f>'SPA Optimizer'!I18</f>
        <v>0.42591998533522751</v>
      </c>
      <c r="F17" s="118">
        <f>'SPA Optimizer'!J18</f>
        <v>199</v>
      </c>
      <c r="G17" s="35">
        <f>'SPA Optimizer'!O18</f>
        <v>0.37050251256281408</v>
      </c>
      <c r="H17" s="119">
        <f>'SPA Optimizer'!AA18</f>
        <v>0.15334876666400554</v>
      </c>
      <c r="I17" s="118">
        <f>'SPA Optimizer'!Z18</f>
        <v>175.37800000000001</v>
      </c>
      <c r="J17" s="120">
        <f>'SPA Optimizer'!K18</f>
        <v>20</v>
      </c>
      <c r="K17" s="120">
        <f>'SPA Optimizer'!E18</f>
        <v>20</v>
      </c>
      <c r="L17">
        <f>IFERROR('SPA Optimizer'!K18-'SPA Optimizer'!E18,0)</f>
        <v>0</v>
      </c>
      <c r="M17">
        <f>IFERROR(MAX(0,'SPA Optimizer'!K18-'SPA Optimizer'!E18)*'SPA Optimizer'!C18*(1-'SPA Optimizer'!AA18),0)</f>
        <v>0</v>
      </c>
    </row>
    <row r="18" spans="1:13" ht="14.25" customHeight="1">
      <c r="A18">
        <f>'SPA Optimizer'!A19</f>
        <v>7552536820</v>
      </c>
      <c r="B18" t="str">
        <f>'SPA Optimizer'!B19</f>
        <v>SENSOR; SHORT RANGE RADAR</v>
      </c>
      <c r="C18" s="118">
        <f>'SPA Optimizer'!C19</f>
        <v>151.76</v>
      </c>
      <c r="D18" s="118">
        <f>'SPA Optimizer'!D19</f>
        <v>277.82</v>
      </c>
      <c r="E18" s="35">
        <f>'SPA Optimizer'!I19</f>
        <v>0.45374703045137138</v>
      </c>
      <c r="F18" s="118">
        <f>'SPA Optimizer'!J19</f>
        <v>250</v>
      </c>
      <c r="G18" s="35">
        <f>'SPA Optimizer'!O19</f>
        <v>0.39295999999999998</v>
      </c>
      <c r="H18" s="119">
        <f>'SPA Optimizer'!AA19</f>
        <v>1.7185028993147111E-2</v>
      </c>
      <c r="I18" s="118">
        <f>'SPA Optimizer'!Z19</f>
        <v>531.16000000000008</v>
      </c>
      <c r="J18" s="120">
        <f>'SPA Optimizer'!K19</f>
        <v>50</v>
      </c>
      <c r="K18" s="120">
        <f>'SPA Optimizer'!E19</f>
        <v>40</v>
      </c>
      <c r="L18">
        <f>IFERROR('SPA Optimizer'!K19-'SPA Optimizer'!E19,0)</f>
        <v>10</v>
      </c>
      <c r="M18">
        <f>IFERROR(MAX(0,'SPA Optimizer'!K19-'SPA Optimizer'!E19)*'SPA Optimizer'!C19*(1-'SPA Optimizer'!AA19),0)</f>
        <v>1491.5199999999998</v>
      </c>
    </row>
    <row r="19" spans="1:13" ht="21.75" customHeight="1">
      <c r="A19">
        <f>'SPA Optimizer'!A20</f>
        <v>8972785830</v>
      </c>
      <c r="B19" t="str">
        <f>'SPA Optimizer'!B20</f>
        <v>LAMP ASM; RR COMB</v>
      </c>
      <c r="C19" s="118">
        <f>'SPA Optimizer'!C20</f>
        <v>225.48</v>
      </c>
      <c r="D19" s="118">
        <f>'SPA Optimizer'!D20</f>
        <v>381.87</v>
      </c>
      <c r="E19" s="35">
        <f>'SPA Optimizer'!I20</f>
        <v>0.40953727708382431</v>
      </c>
      <c r="F19" s="118">
        <f>'SPA Optimizer'!J20</f>
        <v>250</v>
      </c>
      <c r="G19" s="35">
        <f>'SPA Optimizer'!O20</f>
        <v>9.8080000000000042E-2</v>
      </c>
      <c r="H19" s="119">
        <f>'SPA Optimizer'!AA20</f>
        <v>0.58484122760333501</v>
      </c>
      <c r="I19" s="118">
        <f>'SPA Optimizer'!Z20</f>
        <v>789.18000000000006</v>
      </c>
      <c r="J19" s="120">
        <f>'SPA Optimizer'!K20</f>
        <v>50</v>
      </c>
      <c r="K19" s="120">
        <f>'SPA Optimizer'!E20</f>
        <v>50</v>
      </c>
      <c r="L19">
        <f>IFERROR('SPA Optimizer'!K20-'SPA Optimizer'!E20,0)</f>
        <v>0</v>
      </c>
      <c r="M19">
        <f>IFERROR(MAX(0,'SPA Optimizer'!K20-'SPA Optimizer'!E20)*'SPA Optimizer'!C20*(1-'SPA Optimizer'!AA20),0)</f>
        <v>0</v>
      </c>
    </row>
    <row r="20" spans="1:13" ht="45.75" customHeight="1">
      <c r="A20">
        <f>'SPA Optimizer'!A21</f>
        <v>8973871590</v>
      </c>
      <c r="B20" t="str">
        <f>'SPA Optimizer'!B21</f>
        <v>ROTOR; SENSOR</v>
      </c>
      <c r="C20" s="118">
        <f>'SPA Optimizer'!C21</f>
        <v>24.12</v>
      </c>
      <c r="D20" s="118">
        <f>'SPA Optimizer'!D21</f>
        <v>44.16</v>
      </c>
      <c r="E20" s="35">
        <f>'SPA Optimizer'!I21</f>
        <v>0.45380434782608697</v>
      </c>
      <c r="F20" s="118">
        <f>'SPA Optimizer'!J21</f>
        <v>35</v>
      </c>
      <c r="G20" s="35">
        <f>'SPA Optimizer'!O21</f>
        <v>0.31085714285714283</v>
      </c>
      <c r="H20" s="119">
        <f>'SPA Optimizer'!AA21</f>
        <v>0</v>
      </c>
      <c r="I20" s="118">
        <f>'SPA Optimizer'!Z21</f>
        <v>185.72400000000002</v>
      </c>
      <c r="J20" s="120">
        <f>'SPA Optimizer'!K21</f>
        <v>110</v>
      </c>
      <c r="K20" s="120">
        <f>'SPA Optimizer'!E21</f>
        <v>25</v>
      </c>
      <c r="L20">
        <f>IFERROR('SPA Optimizer'!K21-'SPA Optimizer'!E21,0)</f>
        <v>85</v>
      </c>
      <c r="M20">
        <f>IFERROR(MAX(0,'SPA Optimizer'!K21-'SPA Optimizer'!E21)*'SPA Optimizer'!C21*(1-'SPA Optimizer'!AA21),0)</f>
        <v>2050.2000000000003</v>
      </c>
    </row>
    <row r="21" spans="1:13" ht="45.75" customHeight="1">
      <c r="A21">
        <f>'SPA Optimizer'!A22</f>
        <v>8976097887</v>
      </c>
      <c r="B21" t="str">
        <f>'SPA Optimizer'!B22</f>
        <v>NOZZLE ASM; INJ</v>
      </c>
      <c r="C21" s="118">
        <f>'SPA Optimizer'!C22</f>
        <v>97.1</v>
      </c>
      <c r="D21" s="118">
        <f>'SPA Optimizer'!D22</f>
        <v>164.44</v>
      </c>
      <c r="E21" s="35">
        <f>'SPA Optimizer'!I22</f>
        <v>0.40951106786669911</v>
      </c>
      <c r="F21" s="118">
        <f>'SPA Optimizer'!J22</f>
        <v>150</v>
      </c>
      <c r="G21" s="35">
        <f>'SPA Optimizer'!O22</f>
        <v>0.35266666666666668</v>
      </c>
      <c r="H21" s="119">
        <f>'SPA Optimizer'!AA22</f>
        <v>0</v>
      </c>
      <c r="I21" s="118">
        <f>'SPA Optimizer'!Z22</f>
        <v>475.79</v>
      </c>
      <c r="J21" s="120">
        <f>'SPA Optimizer'!K22</f>
        <v>70</v>
      </c>
      <c r="K21" s="120">
        <f>'SPA Optimizer'!E22</f>
        <v>20</v>
      </c>
      <c r="L21">
        <f>IFERROR('SPA Optimizer'!K22-'SPA Optimizer'!E22,0)</f>
        <v>50</v>
      </c>
      <c r="M21">
        <f>IFERROR(MAX(0,'SPA Optimizer'!K22-'SPA Optimizer'!E22)*'SPA Optimizer'!C22*(1-'SPA Optimizer'!AA22),0)</f>
        <v>4855</v>
      </c>
    </row>
    <row r="22" spans="1:13" ht="45.75" customHeight="1">
      <c r="A22">
        <f>'SPA Optimizer'!A23</f>
        <v>8978416290</v>
      </c>
      <c r="B22" t="str">
        <f>'SPA Optimizer'!B23</f>
        <v>PLATE; STEP</v>
      </c>
      <c r="C22" s="118">
        <f>'SPA Optimizer'!C23</f>
        <v>39.880000000000003</v>
      </c>
      <c r="D22" s="118">
        <f>'SPA Optimizer'!D23</f>
        <v>73</v>
      </c>
      <c r="E22" s="35">
        <f>'SPA Optimizer'!I23</f>
        <v>0.4536986301369863</v>
      </c>
      <c r="F22" s="118">
        <f>'SPA Optimizer'!J23</f>
        <v>250</v>
      </c>
      <c r="G22" s="35">
        <f>'SPA Optimizer'!O23</f>
        <v>0.84048</v>
      </c>
      <c r="H22" s="119">
        <f>'SPA Optimizer'!AA23</f>
        <v>0</v>
      </c>
      <c r="I22" s="118">
        <f>'SPA Optimizer'!Z23</f>
        <v>139.58000000000001</v>
      </c>
      <c r="J22" s="120">
        <f>'SPA Optimizer'!K23</f>
        <v>50</v>
      </c>
      <c r="K22" s="120">
        <f>'SPA Optimizer'!E23</f>
        <v>37</v>
      </c>
      <c r="L22">
        <f>IFERROR('SPA Optimizer'!K23-'SPA Optimizer'!E23,0)</f>
        <v>13</v>
      </c>
      <c r="M22">
        <f>IFERROR(MAX(0,'SPA Optimizer'!K23-'SPA Optimizer'!E23)*'SPA Optimizer'!C23*(1-'SPA Optimizer'!AA23),0)</f>
        <v>518.44000000000005</v>
      </c>
    </row>
    <row r="23" spans="1:13" ht="45.75" customHeight="1">
      <c r="A23">
        <f>'SPA Optimizer'!A24</f>
        <v>8978757421</v>
      </c>
      <c r="B23" t="str">
        <f>'SPA Optimizer'!B24</f>
        <v>LAMP ASM; HEAD</v>
      </c>
      <c r="C23" s="118">
        <f>'SPA Optimizer'!C24</f>
        <v>252.71</v>
      </c>
      <c r="D23" s="118">
        <f>'SPA Optimizer'!D24</f>
        <v>427.97</v>
      </c>
      <c r="E23" s="35">
        <f>'SPA Optimizer'!I24</f>
        <v>0.40951468560880433</v>
      </c>
      <c r="F23" s="118">
        <f>'SPA Optimizer'!J24</f>
        <v>300</v>
      </c>
      <c r="G23" s="35">
        <f>'SPA Optimizer'!O24</f>
        <v>0.15763333333333332</v>
      </c>
      <c r="H23" s="119">
        <f>'SPA Optimizer'!AA24</f>
        <v>0.52372878002453405</v>
      </c>
      <c r="I23" s="118">
        <f>'SPA Optimizer'!Z24</f>
        <v>707.58800000000008</v>
      </c>
      <c r="J23" s="120">
        <f>'SPA Optimizer'!K24</f>
        <v>40</v>
      </c>
      <c r="K23" s="120">
        <f>'SPA Optimizer'!E24</f>
        <v>41</v>
      </c>
      <c r="L23">
        <f>IFERROR('SPA Optimizer'!K24-'SPA Optimizer'!E24,0)</f>
        <v>-1</v>
      </c>
      <c r="M23">
        <f>IFERROR(MAX(0,'SPA Optimizer'!K24-'SPA Optimizer'!E24)*'SPA Optimizer'!C24*(1-'SPA Optimizer'!AA24),0)</f>
        <v>0</v>
      </c>
    </row>
    <row r="24" spans="1:13" ht="45.75" customHeight="1">
      <c r="A24">
        <f>'SPA Optimizer'!A25</f>
        <v>8978757431</v>
      </c>
      <c r="B24" t="str">
        <f>'SPA Optimizer'!B25</f>
        <v>LAMP ASM; HEAD</v>
      </c>
      <c r="C24" s="118">
        <f>'SPA Optimizer'!C25</f>
        <v>252.71</v>
      </c>
      <c r="D24" s="118">
        <f>'SPA Optimizer'!D25</f>
        <v>427.97</v>
      </c>
      <c r="E24" s="35">
        <f>'SPA Optimizer'!I25</f>
        <v>0.40951468560880433</v>
      </c>
      <c r="F24" s="118">
        <f>'SPA Optimizer'!J25</f>
        <v>300</v>
      </c>
      <c r="G24" s="35">
        <f>'SPA Optimizer'!O25</f>
        <v>0.15763333333333332</v>
      </c>
      <c r="H24" s="119">
        <f>'SPA Optimizer'!AA25</f>
        <v>0.50639072454592216</v>
      </c>
      <c r="I24" s="118">
        <f>'SPA Optimizer'!Z25</f>
        <v>707.58800000000008</v>
      </c>
      <c r="J24" s="120">
        <f>'SPA Optimizer'!K25</f>
        <v>40</v>
      </c>
      <c r="K24" s="120">
        <f>'SPA Optimizer'!E25</f>
        <v>40</v>
      </c>
      <c r="L24">
        <f>IFERROR('SPA Optimizer'!K25-'SPA Optimizer'!E25,0)</f>
        <v>0</v>
      </c>
      <c r="M24">
        <f>IFERROR(MAX(0,'SPA Optimizer'!K25-'SPA Optimizer'!E25)*'SPA Optimizer'!C25*(1-'SPA Optimizer'!AA25),0)</f>
        <v>0</v>
      </c>
    </row>
    <row r="25" spans="1:13" ht="45.75" customHeight="1">
      <c r="A25">
        <f>'SPA Optimizer'!A26</f>
        <v>8978862230</v>
      </c>
      <c r="B25" t="str">
        <f>'SPA Optimizer'!B26</f>
        <v>BUMPER; FRT,LWR</v>
      </c>
      <c r="C25" s="118">
        <f>'SPA Optimizer'!C26</f>
        <v>21.71</v>
      </c>
      <c r="D25" s="118">
        <f>'SPA Optimizer'!D26</f>
        <v>37.81</v>
      </c>
      <c r="E25" s="35">
        <f>'SPA Optimizer'!I26</f>
        <v>0.42581327691087018</v>
      </c>
      <c r="F25" s="118">
        <f>'SPA Optimizer'!J26</f>
        <v>30</v>
      </c>
      <c r="G25" s="35">
        <f>'SPA Optimizer'!O26</f>
        <v>0.27633333333333332</v>
      </c>
      <c r="H25" s="119">
        <f>'SPA Optimizer'!AA26</f>
        <v>1.1013357899585445</v>
      </c>
      <c r="I25" s="118">
        <f>'SPA Optimizer'!Z26</f>
        <v>30.394000000000005</v>
      </c>
      <c r="J25" s="120">
        <f>'SPA Optimizer'!K26</f>
        <v>20</v>
      </c>
      <c r="K25" s="120">
        <f>'SPA Optimizer'!E26</f>
        <v>40</v>
      </c>
      <c r="L25">
        <f>IFERROR('SPA Optimizer'!K26-'SPA Optimizer'!E26,0)</f>
        <v>-20</v>
      </c>
      <c r="M25">
        <f>IFERROR(MAX(0,'SPA Optimizer'!K26-'SPA Optimizer'!E26)*'SPA Optimizer'!C26*(1-'SPA Optimizer'!AA26),0)</f>
        <v>0</v>
      </c>
    </row>
    <row r="26" spans="1:13" ht="14.25" customHeight="1">
      <c r="A26">
        <f>'SPA Optimizer'!A27</f>
        <v>8980023462</v>
      </c>
      <c r="B26" t="str">
        <f>'SPA Optimizer'!B27</f>
        <v>ELEMENT KIT; PCV</v>
      </c>
      <c r="C26" s="118">
        <f>'SPA Optimizer'!C27</f>
        <v>6.15</v>
      </c>
      <c r="D26" s="118">
        <f>'SPA Optimizer'!D27</f>
        <v>11.25</v>
      </c>
      <c r="E26" s="35">
        <f>'SPA Optimizer'!I27</f>
        <v>0.45333333333333331</v>
      </c>
      <c r="F26" s="118">
        <f>'SPA Optimizer'!J27</f>
        <v>5</v>
      </c>
      <c r="G26" s="35">
        <f>'SPA Optimizer'!O27</f>
        <v>-0.23000000000000007</v>
      </c>
      <c r="H26" s="119">
        <f>'SPA Optimizer'!AA27</f>
        <v>0.60162601626016254</v>
      </c>
      <c r="I26" s="118">
        <f>'SPA Optimizer'!Z27</f>
        <v>516.6</v>
      </c>
      <c r="J26" s="120">
        <f>'SPA Optimizer'!K27</f>
        <v>1200</v>
      </c>
      <c r="K26" s="120">
        <f>'SPA Optimizer'!E27</f>
        <v>600</v>
      </c>
      <c r="L26">
        <f>IFERROR('SPA Optimizer'!K27-'SPA Optimizer'!E27,0)</f>
        <v>600</v>
      </c>
      <c r="M26">
        <f>IFERROR(MAX(0,'SPA Optimizer'!K27-'SPA Optimizer'!E27)*'SPA Optimizer'!C27*(1-'SPA Optimizer'!AA27),0)</f>
        <v>1470.0000000000002</v>
      </c>
    </row>
    <row r="27" spans="1:13" ht="21.75" customHeight="1">
      <c r="A27" s="178">
        <f>'SPA Optimizer'!A28</f>
        <v>8980067942</v>
      </c>
      <c r="B27" s="178"/>
      <c r="C27" s="178"/>
      <c r="D27" s="178"/>
      <c r="E27" s="178"/>
      <c r="F27" s="178"/>
      <c r="G27" s="178"/>
      <c r="H27" s="178"/>
      <c r="I27" s="178"/>
      <c r="J27" s="178"/>
      <c r="K27" s="178"/>
      <c r="L27" s="178"/>
      <c r="M27" s="178"/>
    </row>
    <row r="28" spans="1:13" ht="14.25" customHeight="1">
      <c r="A28">
        <f>'SPA Optimizer'!A29</f>
        <v>8980252486</v>
      </c>
      <c r="B28" t="str">
        <f>'SPA Optimizer'!B29</f>
        <v>COOLER ASM; EGR</v>
      </c>
      <c r="C28" s="118">
        <f>'SPA Optimizer'!C29</f>
        <v>121.61</v>
      </c>
      <c r="D28" s="118">
        <f>'SPA Optimizer'!D29</f>
        <v>222.62</v>
      </c>
      <c r="E28" s="35">
        <f>'SPA Optimizer'!I29</f>
        <v>0.45373281825532297</v>
      </c>
      <c r="F28" s="118">
        <f>'SPA Optimizer'!J29</f>
        <v>145</v>
      </c>
      <c r="G28" s="35">
        <f>'SPA Optimizer'!O29</f>
        <v>0.16131034482758622</v>
      </c>
      <c r="H28" s="119">
        <f>'SPA Optimizer'!AA29</f>
        <v>0.40985321930762275</v>
      </c>
      <c r="I28" s="118">
        <f>'SPA Optimizer'!Z29</f>
        <v>1702.5400000000002</v>
      </c>
      <c r="J28" s="120">
        <f>'SPA Optimizer'!K29</f>
        <v>200</v>
      </c>
      <c r="K28" s="120">
        <f>'SPA Optimizer'!E29</f>
        <v>145</v>
      </c>
      <c r="L28">
        <f>IFERROR('SPA Optimizer'!K29-'SPA Optimizer'!E29,0)</f>
        <v>55</v>
      </c>
      <c r="M28">
        <f>IFERROR(MAX(0,'SPA Optimizer'!K29-'SPA Optimizer'!E29)*'SPA Optimizer'!C29*(1-'SPA Optimizer'!AA29),0)</f>
        <v>3947.2262500000002</v>
      </c>
    </row>
    <row r="29" spans="1:13" ht="14.25" customHeight="1">
      <c r="A29">
        <f>'SPA Optimizer'!A30</f>
        <v>8980253080</v>
      </c>
      <c r="B29" t="str">
        <f>'SPA Optimizer'!B30</f>
        <v>CYLINDER ASM; CLUTCH MASTER</v>
      </c>
      <c r="C29" s="118">
        <f>'SPA Optimizer'!C30</f>
        <v>19.05</v>
      </c>
      <c r="D29" s="118">
        <f>'SPA Optimizer'!D30</f>
        <v>32.26</v>
      </c>
      <c r="E29" s="35">
        <f>'SPA Optimizer'!I30</f>
        <v>0.40948543087414757</v>
      </c>
      <c r="F29" s="118">
        <f>'SPA Optimizer'!J30</f>
        <v>25</v>
      </c>
      <c r="G29" s="35">
        <f>'SPA Optimizer'!O30</f>
        <v>0.23799999999999996</v>
      </c>
      <c r="H29" s="119">
        <f>'SPA Optimizer'!AA30</f>
        <v>0</v>
      </c>
      <c r="I29" s="118">
        <f>'SPA Optimizer'!Z30</f>
        <v>66.675000000000011</v>
      </c>
      <c r="J29" s="120">
        <f>'SPA Optimizer'!K30</f>
        <v>50</v>
      </c>
      <c r="K29" s="120">
        <f>'SPA Optimizer'!E30</f>
        <v>10</v>
      </c>
      <c r="L29">
        <f>IFERROR('SPA Optimizer'!K30-'SPA Optimizer'!E30,0)</f>
        <v>40</v>
      </c>
      <c r="M29">
        <f>IFERROR(MAX(0,'SPA Optimizer'!K30-'SPA Optimizer'!E30)*'SPA Optimizer'!C30*(1-'SPA Optimizer'!AA30),0)</f>
        <v>762</v>
      </c>
    </row>
    <row r="30" spans="1:13" ht="14.25" customHeight="1">
      <c r="A30">
        <f>'SPA Optimizer'!A31</f>
        <v>8980435960</v>
      </c>
      <c r="B30" t="str">
        <f>'SPA Optimizer'!B31</f>
        <v>CHAMBER; POWER</v>
      </c>
      <c r="C30" s="118">
        <f>'SPA Optimizer'!C31</f>
        <v>20.190000000000001</v>
      </c>
      <c r="D30" s="118">
        <f>'SPA Optimizer'!D31</f>
        <v>36.96</v>
      </c>
      <c r="E30" s="35">
        <f>'SPA Optimizer'!I31</f>
        <v>0.45373376623376621</v>
      </c>
      <c r="F30" s="118">
        <f>'SPA Optimizer'!J31</f>
        <v>26</v>
      </c>
      <c r="G30" s="35">
        <f>'SPA Optimizer'!O31</f>
        <v>0.22346153846153841</v>
      </c>
      <c r="H30" s="119">
        <f>'SPA Optimizer'!AA31</f>
        <v>0.41825160970777608</v>
      </c>
      <c r="I30" s="118">
        <f>'SPA Optimizer'!Z31</f>
        <v>141.33000000000001</v>
      </c>
      <c r="J30" s="120">
        <f>'SPA Optimizer'!K31</f>
        <v>100</v>
      </c>
      <c r="K30" s="120">
        <f>'SPA Optimizer'!E31</f>
        <v>85</v>
      </c>
      <c r="L30">
        <f>IFERROR('SPA Optimizer'!K31-'SPA Optimizer'!E31,0)</f>
        <v>15</v>
      </c>
      <c r="M30">
        <f>IFERROR(MAX(0,'SPA Optimizer'!K31-'SPA Optimizer'!E31)*'SPA Optimizer'!C31*(1-'SPA Optimizer'!AA31),0)</f>
        <v>176.18250000000003</v>
      </c>
    </row>
    <row r="31" spans="1:13" ht="14.25" customHeight="1">
      <c r="A31">
        <f>'SPA Optimizer'!A32</f>
        <v>8980896771</v>
      </c>
      <c r="B31" t="str">
        <f>'SPA Optimizer'!B32</f>
        <v>CYLINDER; SLAVE,CLU</v>
      </c>
      <c r="C31" s="118">
        <f>'SPA Optimizer'!C32</f>
        <v>14.92</v>
      </c>
      <c r="D31" s="118">
        <f>'SPA Optimizer'!D32</f>
        <v>25.27</v>
      </c>
      <c r="E31" s="35">
        <f>'SPA Optimizer'!I32</f>
        <v>0.40957657301147599</v>
      </c>
      <c r="F31" s="118">
        <f>'SPA Optimizer'!J32</f>
        <v>20</v>
      </c>
      <c r="G31" s="35">
        <f>'SPA Optimizer'!O32</f>
        <v>0.254</v>
      </c>
      <c r="H31" s="119">
        <f>'SPA Optimizer'!AA32</f>
        <v>0.2954088471849865</v>
      </c>
      <c r="I31" s="118">
        <f>'SPA Optimizer'!Z32</f>
        <v>125.328</v>
      </c>
      <c r="J31" s="120">
        <f>'SPA Optimizer'!K32</f>
        <v>120</v>
      </c>
      <c r="K31" s="120">
        <f>'SPA Optimizer'!E32</f>
        <v>110</v>
      </c>
      <c r="L31">
        <f>IFERROR('SPA Optimizer'!K32-'SPA Optimizer'!E32,0)</f>
        <v>10</v>
      </c>
      <c r="M31">
        <f>IFERROR(MAX(0,'SPA Optimizer'!K32-'SPA Optimizer'!E32)*'SPA Optimizer'!C32*(1-'SPA Optimizer'!AA32),0)</f>
        <v>105.125</v>
      </c>
    </row>
    <row r="32" spans="1:13" ht="14.25" customHeight="1">
      <c r="A32">
        <f>'SPA Optimizer'!A33</f>
        <v>8980982575</v>
      </c>
      <c r="B32" t="str">
        <f>'SPA Optimizer'!B33</f>
        <v>VALVE; EGR</v>
      </c>
      <c r="C32" s="118">
        <f>'SPA Optimizer'!C33</f>
        <v>40.42</v>
      </c>
      <c r="D32" s="118">
        <f>'SPA Optimizer'!D33</f>
        <v>73.989999999999995</v>
      </c>
      <c r="E32" s="35">
        <f>'SPA Optimizer'!I33</f>
        <v>0.45370996080551423</v>
      </c>
      <c r="F32" s="118">
        <f>'SPA Optimizer'!J33</f>
        <v>68</v>
      </c>
      <c r="G32" s="35">
        <f>'SPA Optimizer'!O33</f>
        <v>0.40558823529411764</v>
      </c>
      <c r="H32" s="119">
        <f>'SPA Optimizer'!AA33</f>
        <v>6.5141019297377589E-2</v>
      </c>
      <c r="I32" s="118">
        <f>'SPA Optimizer'!Z33</f>
        <v>565.88000000000011</v>
      </c>
      <c r="J32" s="120">
        <f>'SPA Optimizer'!K33</f>
        <v>200</v>
      </c>
      <c r="K32" s="120">
        <f>'SPA Optimizer'!E33</f>
        <v>180</v>
      </c>
      <c r="L32">
        <f>IFERROR('SPA Optimizer'!K33-'SPA Optimizer'!E33,0)</f>
        <v>20</v>
      </c>
      <c r="M32">
        <f>IFERROR(MAX(0,'SPA Optimizer'!K33-'SPA Optimizer'!E33)*'SPA Optimizer'!C33*(1-'SPA Optimizer'!AA33),0)</f>
        <v>755.74</v>
      </c>
    </row>
    <row r="33" spans="1:13" ht="14.25" customHeight="1">
      <c r="A33">
        <f>'SPA Optimizer'!A34</f>
        <v>8981065790</v>
      </c>
      <c r="B33" t="str">
        <f>'SPA Optimizer'!B34</f>
        <v>ELEMENT KIT; PCV</v>
      </c>
      <c r="C33" s="118">
        <f>'SPA Optimizer'!C34</f>
        <v>4.2300000000000004</v>
      </c>
      <c r="D33" s="118">
        <f>'SPA Optimizer'!D34</f>
        <v>7.74</v>
      </c>
      <c r="E33" s="35">
        <f>'SPA Optimizer'!I34</f>
        <v>0.45348837209302328</v>
      </c>
      <c r="F33" s="118">
        <f>'SPA Optimizer'!J34</f>
        <v>4.9000000000000004</v>
      </c>
      <c r="G33" s="35">
        <f>'SPA Optimizer'!O34</f>
        <v>0.13673469387755099</v>
      </c>
      <c r="H33" s="119">
        <f>'SPA Optimizer'!AA34</f>
        <v>1.1884160756501181</v>
      </c>
      <c r="I33" s="118">
        <f>'SPA Optimizer'!Z34</f>
        <v>769.86000000000024</v>
      </c>
      <c r="J33" s="120">
        <f>'SPA Optimizer'!K34</f>
        <v>2600</v>
      </c>
      <c r="K33" s="120">
        <f>'SPA Optimizer'!E34</f>
        <v>4220</v>
      </c>
      <c r="L33">
        <f>IFERROR('SPA Optimizer'!K34-'SPA Optimizer'!E34,0)</f>
        <v>-1620</v>
      </c>
      <c r="M33">
        <f>IFERROR(MAX(0,'SPA Optimizer'!K34-'SPA Optimizer'!E34)*'SPA Optimizer'!C34*(1-'SPA Optimizer'!AA34),0)</f>
        <v>0</v>
      </c>
    </row>
    <row r="34" spans="1:13" ht="14.25" customHeight="1">
      <c r="A34">
        <f>'SPA Optimizer'!A35</f>
        <v>8981454841</v>
      </c>
      <c r="B34" t="str">
        <f>'SPA Optimizer'!B35</f>
        <v>OVERHAUL KIT; SUPPLY PUMP</v>
      </c>
      <c r="C34" s="118">
        <f>'SPA Optimizer'!C35</f>
        <v>44.34</v>
      </c>
      <c r="D34" s="118">
        <f>'SPA Optimizer'!D35</f>
        <v>81.17</v>
      </c>
      <c r="E34" s="35">
        <f>'SPA Optimizer'!I35</f>
        <v>0.4537390661574473</v>
      </c>
      <c r="F34" s="118">
        <f>'SPA Optimizer'!J35</f>
        <v>70</v>
      </c>
      <c r="G34" s="35">
        <f>'SPA Optimizer'!O35</f>
        <v>0.36657142857142855</v>
      </c>
      <c r="H34" s="119">
        <f>'SPA Optimizer'!AA35</f>
        <v>0</v>
      </c>
      <c r="I34" s="118">
        <f>'SPA Optimizer'!Z35</f>
        <v>124.15200000000002</v>
      </c>
      <c r="J34" s="120">
        <f>'SPA Optimizer'!K35</f>
        <v>40</v>
      </c>
      <c r="K34" s="120">
        <f>'SPA Optimizer'!E35</f>
        <v>4</v>
      </c>
      <c r="L34">
        <f>IFERROR('SPA Optimizer'!K35-'SPA Optimizer'!E35,0)</f>
        <v>36</v>
      </c>
      <c r="M34">
        <f>IFERROR(MAX(0,'SPA Optimizer'!K35-'SPA Optimizer'!E35)*'SPA Optimizer'!C35*(1-'SPA Optimizer'!AA35),0)</f>
        <v>1596.2400000000002</v>
      </c>
    </row>
    <row r="35" spans="1:13" ht="14.25" customHeight="1">
      <c r="A35">
        <f>'SPA Optimizer'!A36</f>
        <v>8981455011</v>
      </c>
      <c r="B35" t="str">
        <f>'SPA Optimizer'!B36</f>
        <v>OVERHAUL KIT; SUPPLY PUMP</v>
      </c>
      <c r="C35" s="118">
        <f>'SPA Optimizer'!C36</f>
        <v>27.78</v>
      </c>
      <c r="D35" s="118">
        <f>'SPA Optimizer'!D36</f>
        <v>50.86</v>
      </c>
      <c r="E35" s="35">
        <f>'SPA Optimizer'!I36</f>
        <v>0.45379473063311049</v>
      </c>
      <c r="F35" s="118">
        <f>'SPA Optimizer'!J36</f>
        <v>40</v>
      </c>
      <c r="G35" s="35">
        <f>'SPA Optimizer'!O36</f>
        <v>0.30549999999999999</v>
      </c>
      <c r="H35" s="119">
        <f>'SPA Optimizer'!AA36</f>
        <v>0.25692654265078163</v>
      </c>
      <c r="I35" s="118">
        <f>'SPA Optimizer'!Z36</f>
        <v>602.82600000000014</v>
      </c>
      <c r="J35" s="120">
        <f>'SPA Optimizer'!K36</f>
        <v>310</v>
      </c>
      <c r="K35" s="120">
        <f>'SPA Optimizer'!E36</f>
        <v>260</v>
      </c>
      <c r="L35">
        <f>IFERROR('SPA Optimizer'!K36-'SPA Optimizer'!E36,0)</f>
        <v>50</v>
      </c>
      <c r="M35">
        <f>IFERROR(MAX(0,'SPA Optimizer'!K36-'SPA Optimizer'!E36)*'SPA Optimizer'!C36*(1-'SPA Optimizer'!AA36),0)</f>
        <v>1032.1290322580644</v>
      </c>
    </row>
    <row r="36" spans="1:13" ht="14.25" customHeight="1">
      <c r="A36">
        <f>'SPA Optimizer'!A37</f>
        <v>8982127181</v>
      </c>
      <c r="B36" t="str">
        <f>'SPA Optimizer'!B37</f>
        <v>COOLER ASM; EGR</v>
      </c>
      <c r="C36" s="118">
        <f>'SPA Optimizer'!C37</f>
        <v>121.61</v>
      </c>
      <c r="D36" s="118">
        <f>'SPA Optimizer'!D37</f>
        <v>222.62</v>
      </c>
      <c r="E36" s="35">
        <f>'SPA Optimizer'!I37</f>
        <v>0.45373281825532297</v>
      </c>
      <c r="F36" s="118">
        <f>'SPA Optimizer'!J37</f>
        <v>145</v>
      </c>
      <c r="G36" s="35">
        <f>'SPA Optimizer'!O37</f>
        <v>0.16131034482758622</v>
      </c>
      <c r="H36" s="119">
        <f>'SPA Optimizer'!AA37</f>
        <v>3.6080503248088092E-2</v>
      </c>
      <c r="I36" s="118">
        <f>'SPA Optimizer'!Z37</f>
        <v>1702.5400000000002</v>
      </c>
      <c r="J36" s="120">
        <f>'SPA Optimizer'!K37</f>
        <v>200</v>
      </c>
      <c r="K36" s="120">
        <f>'SPA Optimizer'!E37</f>
        <v>55</v>
      </c>
      <c r="L36">
        <f>IFERROR('SPA Optimizer'!K37-'SPA Optimizer'!E37,0)</f>
        <v>145</v>
      </c>
      <c r="M36">
        <f>IFERROR(MAX(0,'SPA Optimizer'!K37-'SPA Optimizer'!E37)*'SPA Optimizer'!C37*(1-'SPA Optimizer'!AA37),0)</f>
        <v>16997.226250000003</v>
      </c>
    </row>
    <row r="37" spans="1:13" ht="14.25" customHeight="1">
      <c r="A37">
        <f>'SPA Optimizer'!A38</f>
        <v>8982236150</v>
      </c>
      <c r="B37" t="str">
        <f>'SPA Optimizer'!B38</f>
        <v>LAMP ASM; RR COMB</v>
      </c>
      <c r="C37" s="118">
        <f>'SPA Optimizer'!C38</f>
        <v>19.510000000000002</v>
      </c>
      <c r="D37" s="118">
        <f>'SPA Optimizer'!D38</f>
        <v>33.03</v>
      </c>
      <c r="E37" s="35">
        <f>'SPA Optimizer'!I38</f>
        <v>0.40932485619134118</v>
      </c>
      <c r="F37" s="118">
        <f>'SPA Optimizer'!J38</f>
        <v>25</v>
      </c>
      <c r="G37" s="35">
        <f>'SPA Optimizer'!O38</f>
        <v>0.21959999999999996</v>
      </c>
      <c r="H37" s="119">
        <f>'SPA Optimizer'!AA38</f>
        <v>0.60057779227435804</v>
      </c>
      <c r="I37" s="118">
        <f>'SPA Optimizer'!Z38</f>
        <v>150.227</v>
      </c>
      <c r="J37" s="120">
        <f>'SPA Optimizer'!K38</f>
        <v>110</v>
      </c>
      <c r="K37" s="120">
        <f>'SPA Optimizer'!E38</f>
        <v>140</v>
      </c>
      <c r="L37">
        <f>IFERROR('SPA Optimizer'!K38-'SPA Optimizer'!E38,0)</f>
        <v>-30</v>
      </c>
      <c r="M37">
        <f>IFERROR(MAX(0,'SPA Optimizer'!K38-'SPA Optimizer'!E38)*'SPA Optimizer'!C38*(1-'SPA Optimizer'!AA38),0)</f>
        <v>0</v>
      </c>
    </row>
    <row r="38" spans="1:13" ht="14.25" customHeight="1">
      <c r="A38">
        <f>'SPA Optimizer'!A39</f>
        <v>8982236160</v>
      </c>
      <c r="B38" t="str">
        <f>'SPA Optimizer'!B39</f>
        <v>LAMP ASM; RR COMB</v>
      </c>
      <c r="C38" s="118">
        <f>'SPA Optimizer'!C39</f>
        <v>19.510000000000002</v>
      </c>
      <c r="D38" s="118">
        <f>'SPA Optimizer'!D39</f>
        <v>33.03</v>
      </c>
      <c r="E38" s="35">
        <f>'SPA Optimizer'!I39</f>
        <v>0.40932485619134118</v>
      </c>
      <c r="F38" s="118">
        <f>'SPA Optimizer'!J39</f>
        <v>25</v>
      </c>
      <c r="G38" s="35">
        <f>'SPA Optimizer'!O39</f>
        <v>0.21959999999999996</v>
      </c>
      <c r="H38" s="119">
        <f>'SPA Optimizer'!AA39</f>
        <v>0.42544336237826763</v>
      </c>
      <c r="I38" s="118">
        <f>'SPA Optimizer'!Z39</f>
        <v>136.57000000000002</v>
      </c>
      <c r="J38" s="120">
        <f>'SPA Optimizer'!K39</f>
        <v>100</v>
      </c>
      <c r="K38" s="120">
        <f>'SPA Optimizer'!E39</f>
        <v>102</v>
      </c>
      <c r="L38">
        <f>IFERROR('SPA Optimizer'!K39-'SPA Optimizer'!E39,0)</f>
        <v>-2</v>
      </c>
      <c r="M38">
        <f>IFERROR(MAX(0,'SPA Optimizer'!K39-'SPA Optimizer'!E39)*'SPA Optimizer'!C39*(1-'SPA Optimizer'!AA39),0)</f>
        <v>0</v>
      </c>
    </row>
    <row r="39" spans="1:13" ht="14.25" customHeight="1">
      <c r="A39">
        <f>'SPA Optimizer'!A40</f>
        <v>8982263230</v>
      </c>
      <c r="B39" t="str">
        <f>'SPA Optimizer'!B40</f>
        <v>REPAIR KIT; AIR DRYER</v>
      </c>
      <c r="C39" s="118">
        <f>'SPA Optimizer'!C40</f>
        <v>51.54</v>
      </c>
      <c r="D39" s="118">
        <f>'SPA Optimizer'!D40</f>
        <v>87.29</v>
      </c>
      <c r="E39" s="35">
        <f>'SPA Optimizer'!I40</f>
        <v>0.409554359033108</v>
      </c>
      <c r="F39" s="118">
        <f>'SPA Optimizer'!J40</f>
        <v>78</v>
      </c>
      <c r="G39" s="35">
        <f>'SPA Optimizer'!O40</f>
        <v>0.33923076923076928</v>
      </c>
      <c r="H39" s="119">
        <f>'SPA Optimizer'!AA40</f>
        <v>0</v>
      </c>
      <c r="I39" s="118">
        <f>'SPA Optimizer'!Z40</f>
        <v>1190.5740000000001</v>
      </c>
      <c r="J39" s="120">
        <f>'SPA Optimizer'!K40</f>
        <v>330</v>
      </c>
      <c r="K39" s="120">
        <f>'SPA Optimizer'!E40</f>
        <v>115</v>
      </c>
      <c r="L39">
        <f>IFERROR('SPA Optimizer'!K40-'SPA Optimizer'!E40,0)</f>
        <v>215</v>
      </c>
      <c r="M39">
        <f>IFERROR(MAX(0,'SPA Optimizer'!K40-'SPA Optimizer'!E40)*'SPA Optimizer'!C40*(1-'SPA Optimizer'!AA40),0)</f>
        <v>11081.1</v>
      </c>
    </row>
    <row r="40" spans="1:13" ht="14.25" customHeight="1">
      <c r="A40">
        <f>'SPA Optimizer'!A41</f>
        <v>8982263280</v>
      </c>
      <c r="B40" t="str">
        <f>'SPA Optimizer'!B41</f>
        <v>REPAIR KIT; AIR DRYER</v>
      </c>
      <c r="C40" s="118">
        <f>'SPA Optimizer'!C41</f>
        <v>59.52</v>
      </c>
      <c r="D40" s="118">
        <f>'SPA Optimizer'!D41</f>
        <v>100.8</v>
      </c>
      <c r="E40" s="35">
        <f>'SPA Optimizer'!I41</f>
        <v>0.40952380952380957</v>
      </c>
      <c r="F40" s="118">
        <f>'SPA Optimizer'!J41</f>
        <v>90</v>
      </c>
      <c r="G40" s="35">
        <f>'SPA Optimizer'!O41</f>
        <v>0.33866666666666667</v>
      </c>
      <c r="H40" s="119">
        <f>'SPA Optimizer'!AA41</f>
        <v>0</v>
      </c>
      <c r="I40" s="118">
        <f>'SPA Optimizer'!Z41</f>
        <v>958.27200000000005</v>
      </c>
      <c r="J40" s="120">
        <f>'SPA Optimizer'!K41</f>
        <v>230</v>
      </c>
      <c r="K40" s="120">
        <f>'SPA Optimizer'!E41</f>
        <v>60</v>
      </c>
      <c r="L40">
        <f>IFERROR('SPA Optimizer'!K41-'SPA Optimizer'!E41,0)</f>
        <v>170</v>
      </c>
      <c r="M40">
        <f>IFERROR(MAX(0,'SPA Optimizer'!K41-'SPA Optimizer'!E41)*'SPA Optimizer'!C41*(1-'SPA Optimizer'!AA41),0)</f>
        <v>10118.4</v>
      </c>
    </row>
    <row r="41" spans="1:13" ht="14.25" customHeight="1">
      <c r="A41">
        <f>'SPA Optimizer'!A42</f>
        <v>8982447940</v>
      </c>
      <c r="B41" t="str">
        <f>'SPA Optimizer'!B42</f>
        <v>PAD KIT; CALIPER,DISC BRK,FRT</v>
      </c>
      <c r="C41" s="118">
        <f>'SPA Optimizer'!C42</f>
        <v>49.01</v>
      </c>
      <c r="D41" s="118">
        <f>'SPA Optimizer'!D42</f>
        <v>76.680000000000007</v>
      </c>
      <c r="E41" s="35">
        <f>'SPA Optimizer'!I42</f>
        <v>0.36085028690662496</v>
      </c>
      <c r="F41" s="118">
        <f>'SPA Optimizer'!J42</f>
        <v>65</v>
      </c>
      <c r="G41" s="35">
        <f>'SPA Optimizer'!O42</f>
        <v>0.24600000000000002</v>
      </c>
      <c r="H41" s="119">
        <f>'SPA Optimizer'!AA42</f>
        <v>5.7364012577234447E-2</v>
      </c>
      <c r="I41" s="118">
        <f>'SPA Optimizer'!Z42</f>
        <v>2675.9460000000004</v>
      </c>
      <c r="J41" s="120">
        <f>'SPA Optimizer'!K42</f>
        <v>780</v>
      </c>
      <c r="K41" s="120">
        <f>'SPA Optimizer'!E42</f>
        <v>530</v>
      </c>
      <c r="L41">
        <f>IFERROR('SPA Optimizer'!K42-'SPA Optimizer'!E42,0)</f>
        <v>250</v>
      </c>
      <c r="M41">
        <f>IFERROR(MAX(0,'SPA Optimizer'!K42-'SPA Optimizer'!E42)*'SPA Optimizer'!C42*(1-'SPA Optimizer'!AA42),0)</f>
        <v>11549.647435897436</v>
      </c>
    </row>
    <row r="42" spans="1:13" ht="14.25" customHeight="1">
      <c r="A42">
        <f>'SPA Optimizer'!A43</f>
        <v>8982605971</v>
      </c>
      <c r="B42" t="str">
        <f>'SPA Optimizer'!B43</f>
        <v>DOOR ASM; FRT,WO/TRIM</v>
      </c>
      <c r="C42" s="118">
        <f>'SPA Optimizer'!C43</f>
        <v>209.83</v>
      </c>
      <c r="D42" s="118">
        <f>'SPA Optimizer'!D43</f>
        <v>365.5</v>
      </c>
      <c r="E42" s="35">
        <f>'SPA Optimizer'!I43</f>
        <v>0.42590971272229816</v>
      </c>
      <c r="F42" s="118">
        <f>'SPA Optimizer'!J43</f>
        <v>280</v>
      </c>
      <c r="G42" s="35">
        <f>'SPA Optimizer'!O43</f>
        <v>0.25060714285714281</v>
      </c>
      <c r="H42" s="119">
        <f>'SPA Optimizer'!AA43</f>
        <v>0.18490682933803559</v>
      </c>
      <c r="I42" s="118">
        <f>'SPA Optimizer'!Z43</f>
        <v>440.64300000000009</v>
      </c>
      <c r="J42" s="120">
        <f>'SPA Optimizer'!K43</f>
        <v>30</v>
      </c>
      <c r="K42" s="120">
        <f>'SPA Optimizer'!E43</f>
        <v>21</v>
      </c>
      <c r="L42">
        <f>IFERROR('SPA Optimizer'!K43-'SPA Optimizer'!E43,0)</f>
        <v>9</v>
      </c>
      <c r="M42">
        <f>IFERROR(MAX(0,'SPA Optimizer'!K43-'SPA Optimizer'!E43)*'SPA Optimizer'!C43*(1-'SPA Optimizer'!AA43),0)</f>
        <v>1539.279</v>
      </c>
    </row>
    <row r="43" spans="1:13" ht="14.25" customHeight="1">
      <c r="A43">
        <f>'SPA Optimizer'!A44</f>
        <v>8982605980</v>
      </c>
      <c r="B43" t="str">
        <f>'SPA Optimizer'!B44</f>
        <v>DOOR ASM; FRT,WO/TRIM</v>
      </c>
      <c r="C43" s="118">
        <f>'SPA Optimizer'!C44</f>
        <v>209.83</v>
      </c>
      <c r="D43" s="118">
        <f>'SPA Optimizer'!D44</f>
        <v>365.5</v>
      </c>
      <c r="E43" s="35">
        <f>'SPA Optimizer'!I44</f>
        <v>0.42590971272229822</v>
      </c>
      <c r="F43" s="118">
        <f>'SPA Optimizer'!J44</f>
        <v>280</v>
      </c>
      <c r="G43" s="35">
        <f>'SPA Optimizer'!O44</f>
        <v>0.25060714285714281</v>
      </c>
      <c r="H43" s="119">
        <f>'SPA Optimizer'!AA44</f>
        <v>0.13544774341133303</v>
      </c>
      <c r="I43" s="118">
        <f>'SPA Optimizer'!Z44</f>
        <v>440.64300000000009</v>
      </c>
      <c r="J43" s="120">
        <f>'SPA Optimizer'!K44</f>
        <v>30</v>
      </c>
      <c r="K43" s="120">
        <f>'SPA Optimizer'!E44</f>
        <v>19</v>
      </c>
      <c r="L43">
        <f>IFERROR('SPA Optimizer'!K44-'SPA Optimizer'!E44,0)</f>
        <v>11</v>
      </c>
      <c r="M43">
        <f>IFERROR(MAX(0,'SPA Optimizer'!K44-'SPA Optimizer'!E44)*'SPA Optimizer'!C44*(1-'SPA Optimizer'!AA44),0)</f>
        <v>1995.499</v>
      </c>
    </row>
    <row r="44" spans="1:13" ht="14.25" customHeight="1">
      <c r="A44">
        <f>'SPA Optimizer'!A45</f>
        <v>8982606011</v>
      </c>
      <c r="B44" t="str">
        <f>'SPA Optimizer'!B45</f>
        <v>DOOR ASM; FRT,WO/TRIM</v>
      </c>
      <c r="C44" s="118">
        <f>'SPA Optimizer'!C45</f>
        <v>118.1</v>
      </c>
      <c r="D44" s="118">
        <f>'SPA Optimizer'!D45</f>
        <v>205.72</v>
      </c>
      <c r="E44" s="35">
        <f>'SPA Optimizer'!I45</f>
        <v>0.4259187244798755</v>
      </c>
      <c r="F44" s="118">
        <f>'SPA Optimizer'!J45</f>
        <v>165</v>
      </c>
      <c r="G44" s="35">
        <f>'SPA Optimizer'!O45</f>
        <v>0.2842424242424243</v>
      </c>
      <c r="H44" s="119">
        <f>'SPA Optimizer'!AA45</f>
        <v>0.13705673158340381</v>
      </c>
      <c r="I44" s="118">
        <f>'SPA Optimizer'!Z45</f>
        <v>413.35000000000008</v>
      </c>
      <c r="J44" s="120">
        <f>'SPA Optimizer'!K45</f>
        <v>50</v>
      </c>
      <c r="K44" s="120">
        <f>'SPA Optimizer'!E45</f>
        <v>36</v>
      </c>
      <c r="L44">
        <f>IFERROR('SPA Optimizer'!K45-'SPA Optimizer'!E45,0)</f>
        <v>14</v>
      </c>
      <c r="M44">
        <f>IFERROR(MAX(0,'SPA Optimizer'!K45-'SPA Optimizer'!E45)*'SPA Optimizer'!C45*(1-'SPA Optimizer'!AA45),0)</f>
        <v>1426.7904000000001</v>
      </c>
    </row>
    <row r="45" spans="1:13" ht="14.25" customHeight="1">
      <c r="A45">
        <f>'SPA Optimizer'!A46</f>
        <v>8982606020</v>
      </c>
      <c r="B45" t="str">
        <f>'SPA Optimizer'!B46</f>
        <v>DOOR ASM; FRT,WO/TRIM</v>
      </c>
      <c r="C45" s="118">
        <f>'SPA Optimizer'!C46</f>
        <v>118.1</v>
      </c>
      <c r="D45" s="118">
        <f>'SPA Optimizer'!D46</f>
        <v>205.72</v>
      </c>
      <c r="E45" s="35">
        <f>'SPA Optimizer'!I46</f>
        <v>0.42591872447987555</v>
      </c>
      <c r="F45" s="118">
        <f>'SPA Optimizer'!J46</f>
        <v>165</v>
      </c>
      <c r="G45" s="35">
        <f>'SPA Optimizer'!O46</f>
        <v>0.2842424242424243</v>
      </c>
      <c r="H45" s="119">
        <f>'SPA Optimizer'!AA46</f>
        <v>0.14694891335026805</v>
      </c>
      <c r="I45" s="118">
        <f>'SPA Optimizer'!Z46</f>
        <v>372.01500000000004</v>
      </c>
      <c r="J45" s="120">
        <f>'SPA Optimizer'!K46</f>
        <v>45</v>
      </c>
      <c r="K45" s="120">
        <f>'SPA Optimizer'!E46</f>
        <v>33</v>
      </c>
      <c r="L45">
        <f>IFERROR('SPA Optimizer'!K46-'SPA Optimizer'!E46,0)</f>
        <v>12</v>
      </c>
      <c r="M45">
        <f>IFERROR(MAX(0,'SPA Optimizer'!K46-'SPA Optimizer'!E46)*'SPA Optimizer'!C46*(1-'SPA Optimizer'!AA46),0)</f>
        <v>1208.944</v>
      </c>
    </row>
    <row r="46" spans="1:13" ht="14.25" customHeight="1">
      <c r="A46">
        <f>'SPA Optimizer'!A47</f>
        <v>8982885020</v>
      </c>
      <c r="B46" t="str">
        <f>'SPA Optimizer'!B47</f>
        <v>GASKET; CYL HD</v>
      </c>
      <c r="C46" s="118">
        <f>'SPA Optimizer'!C47</f>
        <v>16.88</v>
      </c>
      <c r="D46" s="118">
        <f>'SPA Optimizer'!D47</f>
        <v>28.59</v>
      </c>
      <c r="E46" s="35">
        <f>'SPA Optimizer'!I47</f>
        <v>0.40958377054914308</v>
      </c>
      <c r="F46" s="118">
        <f>'SPA Optimizer'!J47</f>
        <v>22</v>
      </c>
      <c r="G46" s="35">
        <f>'SPA Optimizer'!O47</f>
        <v>0.23272727272727278</v>
      </c>
      <c r="H46" s="119">
        <f>'SPA Optimizer'!AA47</f>
        <v>0</v>
      </c>
      <c r="I46" s="118">
        <f>'SPA Optimizer'!Z47</f>
        <v>76.804000000000002</v>
      </c>
      <c r="J46" s="120">
        <f>'SPA Optimizer'!K47</f>
        <v>65</v>
      </c>
      <c r="K46" s="120">
        <f>'SPA Optimizer'!E47</f>
        <v>7</v>
      </c>
      <c r="L46">
        <f>IFERROR('SPA Optimizer'!K47-'SPA Optimizer'!E47,0)</f>
        <v>58</v>
      </c>
      <c r="M46">
        <f>IFERROR(MAX(0,'SPA Optimizer'!K47-'SPA Optimizer'!E47)*'SPA Optimizer'!C47*(1-'SPA Optimizer'!AA47),0)</f>
        <v>979.04</v>
      </c>
    </row>
    <row r="47" spans="1:13" ht="14.25" customHeight="1">
      <c r="A47">
        <f>'SPA Optimizer'!A48</f>
        <v>8982885030</v>
      </c>
      <c r="B47" t="str">
        <f>'SPA Optimizer'!B48</f>
        <v>GASKET; CYL HD</v>
      </c>
      <c r="C47" s="118">
        <f>'SPA Optimizer'!C48</f>
        <v>16.88</v>
      </c>
      <c r="D47" s="118">
        <f>'SPA Optimizer'!D48</f>
        <v>28.59</v>
      </c>
      <c r="E47" s="35">
        <f>'SPA Optimizer'!I48</f>
        <v>0.40958377054914297</v>
      </c>
      <c r="F47" s="118">
        <f>'SPA Optimizer'!J48</f>
        <v>22</v>
      </c>
      <c r="G47" s="35">
        <f>'SPA Optimizer'!O48</f>
        <v>0.23272727272727275</v>
      </c>
      <c r="H47" s="119">
        <f>'SPA Optimizer'!AA48</f>
        <v>0</v>
      </c>
      <c r="I47" s="118">
        <f>'SPA Optimizer'!Z48</f>
        <v>70.896000000000001</v>
      </c>
      <c r="J47" s="120">
        <f>'SPA Optimizer'!K48</f>
        <v>60</v>
      </c>
      <c r="K47" s="120">
        <f>'SPA Optimizer'!E48</f>
        <v>10</v>
      </c>
      <c r="L47">
        <f>IFERROR('SPA Optimizer'!K48-'SPA Optimizer'!E48,0)</f>
        <v>50</v>
      </c>
      <c r="M47">
        <f>IFERROR(MAX(0,'SPA Optimizer'!K48-'SPA Optimizer'!E48)*'SPA Optimizer'!C48*(1-'SPA Optimizer'!AA48),0)</f>
        <v>844</v>
      </c>
    </row>
    <row r="48" spans="1:13" ht="14.25" customHeight="1">
      <c r="A48">
        <f>'SPA Optimizer'!A49</f>
        <v>8982979331</v>
      </c>
      <c r="B48" t="str">
        <f>'SPA Optimizer'!B49</f>
        <v>NOZZLE ASM; INJ</v>
      </c>
      <c r="C48" s="118">
        <f>'SPA Optimizer'!C49</f>
        <v>102.7</v>
      </c>
      <c r="D48" s="118">
        <f>'SPA Optimizer'!D49</f>
        <v>173.93</v>
      </c>
      <c r="E48" s="35">
        <f>'SPA Optimizer'!I49</f>
        <v>0.40953257057436898</v>
      </c>
      <c r="F48" s="118">
        <f>'SPA Optimizer'!J49</f>
        <v>145</v>
      </c>
      <c r="G48" s="35">
        <f>'SPA Optimizer'!O49</f>
        <v>0.29172413793103447</v>
      </c>
      <c r="H48" s="119">
        <f>'SPA Optimizer'!AA49</f>
        <v>0.32437570219459222</v>
      </c>
      <c r="I48" s="118">
        <f>'SPA Optimizer'!Z49</f>
        <v>934.57000000000016</v>
      </c>
      <c r="J48" s="120">
        <f>'SPA Optimizer'!K49</f>
        <v>130</v>
      </c>
      <c r="K48" s="120">
        <f>'SPA Optimizer'!E49</f>
        <v>138</v>
      </c>
      <c r="L48">
        <f>IFERROR('SPA Optimizer'!K49-'SPA Optimizer'!E49,0)</f>
        <v>-8</v>
      </c>
      <c r="M48">
        <f>IFERROR(MAX(0,'SPA Optimizer'!K49-'SPA Optimizer'!E49)*'SPA Optimizer'!C49*(1-'SPA Optimizer'!AA49),0)</f>
        <v>0</v>
      </c>
    </row>
    <row r="49" spans="1:13" ht="14.25" customHeight="1">
      <c r="A49">
        <f>'SPA Optimizer'!A50</f>
        <v>8982984040</v>
      </c>
      <c r="B49" t="str">
        <f>'SPA Optimizer'!B50</f>
        <v>ELEMENT; OIL FILTER</v>
      </c>
      <c r="C49" s="118">
        <f>'SPA Optimizer'!C50</f>
        <v>7.84</v>
      </c>
      <c r="D49" s="118">
        <f>'SPA Optimizer'!D50</f>
        <v>12.26</v>
      </c>
      <c r="E49" s="35">
        <f>'SPA Optimizer'!I50</f>
        <v>0.36052202283849921</v>
      </c>
      <c r="F49" s="118">
        <f>'SPA Optimizer'!J50</f>
        <v>10</v>
      </c>
      <c r="G49" s="35">
        <f>'SPA Optimizer'!O50</f>
        <v>0.216</v>
      </c>
      <c r="H49" s="119">
        <f>'SPA Optimizer'!AA50</f>
        <v>0.34732750242954336</v>
      </c>
      <c r="I49" s="118">
        <f>'SPA Optimizer'!Z50</f>
        <v>2304.9600000000005</v>
      </c>
      <c r="J49" s="120">
        <f>'SPA Optimizer'!K50</f>
        <v>4200</v>
      </c>
      <c r="K49" s="120">
        <f>'SPA Optimizer'!E50</f>
        <v>4640</v>
      </c>
      <c r="L49">
        <f>IFERROR('SPA Optimizer'!K50-'SPA Optimizer'!E50,0)</f>
        <v>-440</v>
      </c>
      <c r="M49">
        <f>IFERROR(MAX(0,'SPA Optimizer'!K50-'SPA Optimizer'!E50)*'SPA Optimizer'!C50*(1-'SPA Optimizer'!AA50),0)</f>
        <v>0</v>
      </c>
    </row>
    <row r="50" spans="1:13" ht="14.25" customHeight="1">
      <c r="A50">
        <f>'SPA Optimizer'!A51</f>
        <v>8982987510</v>
      </c>
      <c r="B50" t="str">
        <f>'SPA Optimizer'!B51</f>
        <v>SWITCH; POWER WINDOW</v>
      </c>
      <c r="C50" s="118">
        <f>'SPA Optimizer'!C51</f>
        <v>29.57</v>
      </c>
      <c r="D50" s="118">
        <f>'SPA Optimizer'!D51</f>
        <v>54.13</v>
      </c>
      <c r="E50" s="35">
        <f>'SPA Optimizer'!I51</f>
        <v>0.45372251985959727</v>
      </c>
      <c r="F50" s="118">
        <f>'SPA Optimizer'!J51</f>
        <v>42</v>
      </c>
      <c r="G50" s="35">
        <f>'SPA Optimizer'!O51</f>
        <v>0.29595238095238097</v>
      </c>
      <c r="H50" s="119">
        <f>'SPA Optimizer'!AA51</f>
        <v>0</v>
      </c>
      <c r="I50" s="118">
        <f>'SPA Optimizer'!Z51</f>
        <v>206.99</v>
      </c>
      <c r="J50" s="120">
        <f>'SPA Optimizer'!K51</f>
        <v>100</v>
      </c>
      <c r="K50" s="120">
        <f>'SPA Optimizer'!E51</f>
        <v>32</v>
      </c>
      <c r="L50">
        <f>IFERROR('SPA Optimizer'!K51-'SPA Optimizer'!E51,0)</f>
        <v>68</v>
      </c>
      <c r="M50">
        <f>IFERROR(MAX(0,'SPA Optimizer'!K51-'SPA Optimizer'!E51)*'SPA Optimizer'!C51*(1-'SPA Optimizer'!AA51),0)</f>
        <v>2010.76</v>
      </c>
    </row>
    <row r="51" spans="1:13" ht="14.25" customHeight="1">
      <c r="A51">
        <f>'SPA Optimizer'!A52</f>
        <v>8983034650</v>
      </c>
      <c r="B51" t="str">
        <f>'SPA Optimizer'!B52</f>
        <v>CALIPER; FRT DISC BRK</v>
      </c>
      <c r="C51" s="118">
        <f>'SPA Optimizer'!C52</f>
        <v>99.6</v>
      </c>
      <c r="D51" s="118">
        <f>'SPA Optimizer'!D52</f>
        <v>182.33</v>
      </c>
      <c r="E51" s="35">
        <f>'SPA Optimizer'!I52</f>
        <v>0.45373772829484998</v>
      </c>
      <c r="F51" s="118">
        <f>'SPA Optimizer'!J52</f>
        <v>135</v>
      </c>
      <c r="G51" s="35">
        <f>'SPA Optimizer'!O52</f>
        <v>0.26222222222222225</v>
      </c>
      <c r="H51" s="119">
        <f>'SPA Optimizer'!AA52</f>
        <v>0</v>
      </c>
      <c r="I51" s="118">
        <f>'SPA Optimizer'!Z52</f>
        <v>139.44</v>
      </c>
      <c r="J51" s="120">
        <f>'SPA Optimizer'!K52</f>
        <v>20</v>
      </c>
      <c r="K51" s="120">
        <f>'SPA Optimizer'!E52</f>
        <v>6</v>
      </c>
      <c r="L51">
        <f>IFERROR('SPA Optimizer'!K52-'SPA Optimizer'!E52,0)</f>
        <v>14</v>
      </c>
      <c r="M51">
        <f>IFERROR(MAX(0,'SPA Optimizer'!K52-'SPA Optimizer'!E52)*'SPA Optimizer'!C52*(1-'SPA Optimizer'!AA52),0)</f>
        <v>1394.3999999999999</v>
      </c>
    </row>
    <row r="52" spans="1:13" ht="14.25" customHeight="1">
      <c r="A52">
        <f>'SPA Optimizer'!A53</f>
        <v>8983034660</v>
      </c>
      <c r="B52" t="str">
        <f>'SPA Optimizer'!B53</f>
        <v>CALIPER; FRT DISC BRK</v>
      </c>
      <c r="C52" s="118">
        <f>'SPA Optimizer'!C53</f>
        <v>99.6</v>
      </c>
      <c r="D52" s="118">
        <f>'SPA Optimizer'!D53</f>
        <v>182.33</v>
      </c>
      <c r="E52" s="35">
        <f>'SPA Optimizer'!I53</f>
        <v>0.45373772829484998</v>
      </c>
      <c r="F52" s="118">
        <f>'SPA Optimizer'!J53</f>
        <v>135</v>
      </c>
      <c r="G52" s="35">
        <f>'SPA Optimizer'!O53</f>
        <v>0.26222222222222225</v>
      </c>
      <c r="H52" s="119">
        <f>'SPA Optimizer'!AA53</f>
        <v>0</v>
      </c>
      <c r="I52" s="118">
        <f>'SPA Optimizer'!Z53</f>
        <v>139.44</v>
      </c>
      <c r="J52" s="120">
        <f>'SPA Optimizer'!K53</f>
        <v>20</v>
      </c>
      <c r="K52" s="120">
        <f>'SPA Optimizer'!E53</f>
        <v>6</v>
      </c>
      <c r="L52">
        <f>IFERROR('SPA Optimizer'!K53-'SPA Optimizer'!E53,0)</f>
        <v>14</v>
      </c>
      <c r="M52">
        <f>IFERROR(MAX(0,'SPA Optimizer'!K53-'SPA Optimizer'!E53)*'SPA Optimizer'!C53*(1-'SPA Optimizer'!AA53),0)</f>
        <v>1394.3999999999999</v>
      </c>
    </row>
    <row r="53" spans="1:13" ht="14.25" customHeight="1">
      <c r="A53">
        <f>'SPA Optimizer'!A54</f>
        <v>8983034670</v>
      </c>
      <c r="B53" t="str">
        <f>'SPA Optimizer'!B54</f>
        <v>CALIPER; RR DISC BRK</v>
      </c>
      <c r="C53" s="118">
        <f>'SPA Optimizer'!C54</f>
        <v>97.69</v>
      </c>
      <c r="D53" s="118">
        <f>'SPA Optimizer'!D54</f>
        <v>178.83</v>
      </c>
      <c r="E53" s="35">
        <f>'SPA Optimizer'!I54</f>
        <v>0.45372700329922278</v>
      </c>
      <c r="F53" s="118">
        <f>'SPA Optimizer'!J54</f>
        <v>148</v>
      </c>
      <c r="G53" s="35">
        <f>'SPA Optimizer'!O54</f>
        <v>0.33993243243243243</v>
      </c>
      <c r="H53" s="119">
        <f>'SPA Optimizer'!AA54</f>
        <v>0</v>
      </c>
      <c r="I53" s="118">
        <f>'SPA Optimizer'!Z54</f>
        <v>444.48950000000002</v>
      </c>
      <c r="J53" s="120">
        <f>'SPA Optimizer'!K54</f>
        <v>65</v>
      </c>
      <c r="K53" s="120">
        <f>'SPA Optimizer'!E54</f>
        <v>32</v>
      </c>
      <c r="L53">
        <f>IFERROR('SPA Optimizer'!K54-'SPA Optimizer'!E54,0)</f>
        <v>33</v>
      </c>
      <c r="M53">
        <f>IFERROR(MAX(0,'SPA Optimizer'!K54-'SPA Optimizer'!E54)*'SPA Optimizer'!C54*(1-'SPA Optimizer'!AA54),0)</f>
        <v>3223.77</v>
      </c>
    </row>
    <row r="54" spans="1:13" ht="14.25" customHeight="1">
      <c r="A54">
        <f>'SPA Optimizer'!A55</f>
        <v>8983034680</v>
      </c>
      <c r="B54" t="str">
        <f>'SPA Optimizer'!B55</f>
        <v>CALIPER; RR DISC BRK</v>
      </c>
      <c r="C54" s="118">
        <f>'SPA Optimizer'!C55</f>
        <v>97.69</v>
      </c>
      <c r="D54" s="118">
        <f>'SPA Optimizer'!D55</f>
        <v>178.83</v>
      </c>
      <c r="E54" s="35">
        <f>'SPA Optimizer'!I55</f>
        <v>0.45372700329922272</v>
      </c>
      <c r="F54" s="118">
        <f>'SPA Optimizer'!J55</f>
        <v>148</v>
      </c>
      <c r="G54" s="35">
        <f>'SPA Optimizer'!O55</f>
        <v>0.33993243243243243</v>
      </c>
      <c r="H54" s="119">
        <f>'SPA Optimizer'!AA55</f>
        <v>0.3986487869792199</v>
      </c>
      <c r="I54" s="118">
        <f>'SPA Optimizer'!Z55</f>
        <v>341.91500000000002</v>
      </c>
      <c r="J54" s="120">
        <f>'SPA Optimizer'!K55</f>
        <v>50</v>
      </c>
      <c r="K54" s="120">
        <f>'SPA Optimizer'!E55</f>
        <v>55</v>
      </c>
      <c r="L54">
        <f>IFERROR('SPA Optimizer'!K55-'SPA Optimizer'!E55,0)</f>
        <v>-5</v>
      </c>
      <c r="M54">
        <f>IFERROR(MAX(0,'SPA Optimizer'!K55-'SPA Optimizer'!E55)*'SPA Optimizer'!C55*(1-'SPA Optimizer'!AA55),0)</f>
        <v>0</v>
      </c>
    </row>
    <row r="55" spans="1:13" ht="14.25" customHeight="1">
      <c r="A55">
        <f>'SPA Optimizer'!A56</f>
        <v>8983064750</v>
      </c>
      <c r="B55" t="str">
        <f>'SPA Optimizer'!B56</f>
        <v>NOZZLE ASM; INJ</v>
      </c>
      <c r="C55" s="118">
        <f>'SPA Optimizer'!C56</f>
        <v>102.7</v>
      </c>
      <c r="D55" s="118">
        <f>'SPA Optimizer'!D56</f>
        <v>173.93</v>
      </c>
      <c r="E55" s="35">
        <f>'SPA Optimizer'!I56</f>
        <v>0.40953257057436904</v>
      </c>
      <c r="F55" s="118">
        <f>'SPA Optimizer'!J56</f>
        <v>150</v>
      </c>
      <c r="G55" s="35">
        <f>'SPA Optimizer'!O56</f>
        <v>0.31533333333333335</v>
      </c>
      <c r="H55" s="119">
        <f>'SPA Optimizer'!AA56</f>
        <v>0.89190360272638791</v>
      </c>
      <c r="I55" s="118">
        <f>'SPA Optimizer'!Z56</f>
        <v>431.34000000000003</v>
      </c>
      <c r="J55" s="120">
        <f>'SPA Optimizer'!K56</f>
        <v>60</v>
      </c>
      <c r="K55" s="120">
        <f>'SPA Optimizer'!E56</f>
        <v>117</v>
      </c>
      <c r="L55">
        <f>IFERROR('SPA Optimizer'!K56-'SPA Optimizer'!E56,0)</f>
        <v>-57</v>
      </c>
      <c r="M55">
        <f>IFERROR(MAX(0,'SPA Optimizer'!K56-'SPA Optimizer'!E56)*'SPA Optimizer'!C56*(1-'SPA Optimizer'!AA56),0)</f>
        <v>0</v>
      </c>
    </row>
    <row r="56" spans="1:13" ht="14.25" customHeight="1">
      <c r="A56">
        <f>'SPA Optimizer'!A57</f>
        <v>8983487480</v>
      </c>
      <c r="B56" t="str">
        <f>'SPA Optimizer'!B57</f>
        <v>CHAMBER; POWER</v>
      </c>
      <c r="C56" s="118">
        <f>'SPA Optimizer'!C57</f>
        <v>32.83</v>
      </c>
      <c r="D56" s="118">
        <f>'SPA Optimizer'!D57</f>
        <v>60.1</v>
      </c>
      <c r="E56" s="35">
        <f>'SPA Optimizer'!I57</f>
        <v>0.45374376039933445</v>
      </c>
      <c r="F56" s="118">
        <f>'SPA Optimizer'!J57</f>
        <v>55</v>
      </c>
      <c r="G56" s="35">
        <f>'SPA Optimizer'!O57</f>
        <v>0.40309090909090911</v>
      </c>
      <c r="H56" s="119">
        <f>'SPA Optimizer'!AA57</f>
        <v>0.10313389321613498</v>
      </c>
      <c r="I56" s="118">
        <f>'SPA Optimizer'!Z57</f>
        <v>804.33500000000004</v>
      </c>
      <c r="J56" s="120">
        <f>'SPA Optimizer'!K57</f>
        <v>350</v>
      </c>
      <c r="K56" s="120">
        <f>'SPA Optimizer'!E57</f>
        <v>328</v>
      </c>
      <c r="L56">
        <f>IFERROR('SPA Optimizer'!K57-'SPA Optimizer'!E57,0)</f>
        <v>22</v>
      </c>
      <c r="M56">
        <f>IFERROR(MAX(0,'SPA Optimizer'!K57-'SPA Optimizer'!E57)*'SPA Optimizer'!C57*(1-'SPA Optimizer'!AA57),0)</f>
        <v>647.7705142857144</v>
      </c>
    </row>
    <row r="57" spans="1:13" ht="14.25" customHeight="1">
      <c r="A57">
        <f>'SPA Optimizer'!A58</f>
        <v>8983528481</v>
      </c>
      <c r="B57" t="str">
        <f>'SPA Optimizer'!B58</f>
        <v>SENSOR; NOX</v>
      </c>
      <c r="C57" s="118">
        <f>'SPA Optimizer'!C58</f>
        <v>121.42</v>
      </c>
      <c r="D57" s="118">
        <f>'SPA Optimizer'!D58</f>
        <v>222.27</v>
      </c>
      <c r="E57" s="35">
        <f>'SPA Optimizer'!I58</f>
        <v>0.4537274485985513</v>
      </c>
      <c r="F57" s="118">
        <f>'SPA Optimizer'!J58</f>
        <v>205</v>
      </c>
      <c r="G57" s="35">
        <f>'SPA Optimizer'!O58</f>
        <v>0.40770731707317071</v>
      </c>
      <c r="H57" s="119">
        <f>'SPA Optimizer'!AA58</f>
        <v>0.47446878603195519</v>
      </c>
      <c r="I57" s="118">
        <f>'SPA Optimizer'!Z58</f>
        <v>3824.7300000000005</v>
      </c>
      <c r="J57" s="120">
        <f>'SPA Optimizer'!K58</f>
        <v>450</v>
      </c>
      <c r="K57" s="120">
        <f>'SPA Optimizer'!E58</f>
        <v>630</v>
      </c>
      <c r="L57">
        <f>IFERROR('SPA Optimizer'!K58-'SPA Optimizer'!E58,0)</f>
        <v>-180</v>
      </c>
      <c r="M57">
        <f>IFERROR(MAX(0,'SPA Optimizer'!K58-'SPA Optimizer'!E58)*'SPA Optimizer'!C58*(1-'SPA Optimizer'!AA58),0)</f>
        <v>0</v>
      </c>
    </row>
    <row r="58" spans="1:13" ht="14.25" customHeight="1">
      <c r="A58" s="101" t="s">
        <v>181</v>
      </c>
      <c r="B58" s="101" t="s">
        <v>221</v>
      </c>
      <c r="C58" s="102"/>
      <c r="D58" s="102"/>
      <c r="E58" s="102"/>
      <c r="F58" s="102"/>
      <c r="G58" s="102"/>
      <c r="H58" s="102"/>
      <c r="I58" s="121">
        <f>SUM(I5:I57)</f>
        <v>36121.837500000001</v>
      </c>
      <c r="J58" s="122">
        <f>SUM(J5:J57)</f>
        <v>17650</v>
      </c>
      <c r="K58" s="122">
        <f>SUM(K5:K57)</f>
        <v>17015</v>
      </c>
      <c r="L58" s="123">
        <f>SUM(L5:L57)</f>
        <v>635</v>
      </c>
      <c r="M58" s="121">
        <f>SUM(M5:M57)</f>
        <v>112981.70102012236</v>
      </c>
    </row>
    <row r="60" spans="1:13" ht="14.25" customHeight="1">
      <c r="A60" s="1" t="s">
        <v>222</v>
      </c>
    </row>
    <row r="61" spans="1:13" ht="84.75" customHeight="1">
      <c r="A61" s="105" t="s">
        <v>223</v>
      </c>
      <c r="B61" s="2" t="s">
        <v>224</v>
      </c>
      <c r="C61" s="106"/>
      <c r="D61" s="106"/>
      <c r="E61" s="106"/>
      <c r="F61" s="106"/>
      <c r="G61" s="106"/>
      <c r="H61" s="106"/>
      <c r="I61" s="106"/>
      <c r="J61" s="106"/>
      <c r="K61" s="106"/>
      <c r="L61" s="106"/>
      <c r="M61" s="106"/>
    </row>
    <row r="62" spans="1:13" ht="74.25" customHeight="1">
      <c r="A62" s="105" t="s">
        <v>225</v>
      </c>
      <c r="B62" s="2" t="s">
        <v>226</v>
      </c>
      <c r="C62" s="106"/>
      <c r="D62" s="106"/>
      <c r="E62" s="106"/>
      <c r="F62" s="106"/>
      <c r="G62" s="106"/>
      <c r="H62" s="106"/>
      <c r="I62" s="106"/>
      <c r="J62" s="106"/>
      <c r="K62" s="106"/>
      <c r="L62" s="106"/>
      <c r="M62" s="106"/>
    </row>
    <row r="63" spans="1:13" ht="63.75" customHeight="1">
      <c r="A63" s="105" t="s">
        <v>227</v>
      </c>
      <c r="B63" s="2" t="s">
        <v>228</v>
      </c>
      <c r="C63" s="106"/>
      <c r="D63" s="106"/>
      <c r="E63" s="106"/>
      <c r="F63" s="106"/>
      <c r="G63" s="106"/>
      <c r="H63" s="106"/>
      <c r="I63" s="106"/>
      <c r="J63" s="106"/>
      <c r="K63" s="106"/>
      <c r="L63" s="106"/>
      <c r="M63" s="106"/>
    </row>
    <row r="64" spans="1:13" ht="74.25" customHeight="1">
      <c r="A64" s="105" t="s">
        <v>229</v>
      </c>
      <c r="B64" s="2" t="s">
        <v>230</v>
      </c>
      <c r="C64" s="106"/>
      <c r="D64" s="106"/>
      <c r="E64" s="106"/>
      <c r="F64" s="106"/>
      <c r="G64" s="106"/>
      <c r="H64" s="106"/>
      <c r="I64" s="106"/>
      <c r="J64" s="106"/>
      <c r="K64" s="106"/>
      <c r="L64" s="106"/>
      <c r="M64" s="106"/>
    </row>
    <row r="65" spans="1:13" ht="63.75" customHeight="1">
      <c r="A65" s="105" t="s">
        <v>231</v>
      </c>
      <c r="B65" s="2" t="s">
        <v>232</v>
      </c>
      <c r="C65" s="106"/>
      <c r="D65" s="106"/>
      <c r="E65" s="106"/>
      <c r="F65" s="106"/>
      <c r="G65" s="106"/>
      <c r="H65" s="106"/>
      <c r="I65" s="106"/>
      <c r="J65" s="106"/>
      <c r="K65" s="106"/>
      <c r="L65" s="106"/>
      <c r="M65" s="106"/>
    </row>
    <row r="66" spans="1:13" ht="53.25" customHeight="1">
      <c r="A66" s="105" t="s">
        <v>233</v>
      </c>
      <c r="B66" s="2" t="s">
        <v>234</v>
      </c>
      <c r="C66" s="106"/>
      <c r="D66" s="106"/>
      <c r="E66" s="106"/>
      <c r="F66" s="106"/>
      <c r="G66" s="106"/>
      <c r="H66" s="106"/>
      <c r="I66" s="106"/>
      <c r="J66" s="106"/>
      <c r="K66" s="106"/>
      <c r="L66" s="106"/>
      <c r="M66" s="106"/>
    </row>
    <row r="68" spans="1:13" ht="14.25" customHeight="1">
      <c r="A68" s="124" t="s">
        <v>235</v>
      </c>
    </row>
  </sheetData>
  <mergeCells count="3">
    <mergeCell ref="A1:M1"/>
    <mergeCell ref="A2:M2"/>
    <mergeCell ref="A27:M2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8E3C"/>
  </sheetPr>
  <dimension ref="A1:J58"/>
  <sheetViews>
    <sheetView zoomScaleNormal="100" workbookViewId="0">
      <selection activeCell="A3" sqref="A3"/>
    </sheetView>
  </sheetViews>
  <sheetFormatPr defaultColWidth="8.7109375" defaultRowHeight="15"/>
  <cols>
    <col min="1" max="1" width="16" customWidth="1"/>
    <col min="2" max="2" width="22" customWidth="1"/>
    <col min="3" max="4" width="10" customWidth="1"/>
    <col min="5" max="5" width="14" customWidth="1"/>
    <col min="6" max="6" width="13" customWidth="1"/>
    <col min="7" max="10" width="14" customWidth="1"/>
  </cols>
  <sheetData>
    <row r="1" spans="1:10" ht="36" customHeight="1">
      <c r="A1" s="162" t="s">
        <v>236</v>
      </c>
      <c r="B1" s="162"/>
      <c r="C1" s="162"/>
      <c r="D1" s="162"/>
      <c r="E1" s="162"/>
      <c r="F1" s="162"/>
      <c r="G1" s="162"/>
      <c r="H1" s="162"/>
      <c r="I1" s="162"/>
      <c r="J1" s="162"/>
    </row>
    <row r="2" spans="1:10" ht="18" customHeight="1">
      <c r="A2" s="163" t="s">
        <v>237</v>
      </c>
      <c r="B2" s="163"/>
      <c r="C2" s="163"/>
      <c r="D2" s="163"/>
      <c r="E2" s="163"/>
      <c r="F2" s="163"/>
      <c r="G2" s="163"/>
      <c r="H2" s="163"/>
      <c r="I2" s="163"/>
      <c r="J2" s="163"/>
    </row>
    <row r="3" spans="1:10" ht="7.5" customHeight="1"/>
    <row r="4" spans="1:10" ht="24" customHeight="1">
      <c r="A4" s="150" t="s">
        <v>238</v>
      </c>
      <c r="B4" s="150"/>
      <c r="C4" s="150"/>
      <c r="D4" s="150"/>
      <c r="E4" s="150"/>
      <c r="F4" s="150"/>
      <c r="G4" s="150"/>
      <c r="H4" s="150"/>
      <c r="I4" s="150"/>
      <c r="J4" s="150"/>
    </row>
    <row r="5" spans="1:10" s="125" customFormat="1" ht="90" customHeight="1">
      <c r="A5" s="194" t="s">
        <v>239</v>
      </c>
      <c r="B5" s="194"/>
      <c r="C5" s="194"/>
      <c r="D5" s="194"/>
      <c r="E5" s="194"/>
      <c r="F5" s="194"/>
      <c r="G5" s="194"/>
      <c r="H5" s="194"/>
      <c r="I5" s="194"/>
      <c r="J5" s="194"/>
    </row>
    <row r="6" spans="1:10" ht="7.5" customHeight="1"/>
    <row r="7" spans="1:10" ht="24" customHeight="1">
      <c r="A7" s="150" t="s">
        <v>240</v>
      </c>
      <c r="B7" s="150"/>
      <c r="C7" s="150"/>
      <c r="D7" s="150"/>
      <c r="E7" s="150"/>
      <c r="F7" s="150"/>
      <c r="G7" s="150"/>
      <c r="H7" s="150"/>
      <c r="I7" s="150"/>
      <c r="J7" s="150"/>
    </row>
    <row r="8" spans="1:10" ht="15.75" customHeight="1">
      <c r="A8" s="186" t="s">
        <v>241</v>
      </c>
      <c r="B8" s="186"/>
      <c r="C8" s="186"/>
      <c r="D8" s="186"/>
      <c r="E8" s="186"/>
      <c r="F8" s="186"/>
      <c r="G8" s="186"/>
      <c r="H8" s="186"/>
      <c r="I8" s="186"/>
      <c r="J8" s="186"/>
    </row>
    <row r="9" spans="1:10" ht="21.75" customHeight="1">
      <c r="A9" s="179" t="s">
        <v>242</v>
      </c>
      <c r="B9" s="179"/>
      <c r="C9" s="179"/>
      <c r="D9" s="179"/>
      <c r="E9" s="179"/>
      <c r="F9" s="179"/>
      <c r="G9" s="179"/>
      <c r="H9" s="179"/>
      <c r="I9" s="179"/>
      <c r="J9" s="179"/>
    </row>
    <row r="10" spans="1:10" ht="61.5" customHeight="1">
      <c r="A10" s="191" t="s">
        <v>243</v>
      </c>
      <c r="B10" s="191"/>
      <c r="C10" s="191"/>
      <c r="D10" s="191"/>
      <c r="E10" s="191"/>
      <c r="F10" s="191"/>
      <c r="G10" s="191"/>
      <c r="H10" s="191"/>
      <c r="I10" s="191"/>
      <c r="J10" s="191"/>
    </row>
    <row r="11" spans="1:10" ht="21.75" customHeight="1">
      <c r="A11" s="179" t="s">
        <v>244</v>
      </c>
      <c r="B11" s="179"/>
      <c r="C11" s="179"/>
      <c r="D11" s="179"/>
      <c r="E11" s="179"/>
      <c r="F11" s="179"/>
      <c r="G11" s="179"/>
      <c r="H11" s="179"/>
      <c r="I11" s="179"/>
      <c r="J11" s="179"/>
    </row>
    <row r="12" spans="1:10" ht="61.5" customHeight="1">
      <c r="A12" s="193" t="s">
        <v>245</v>
      </c>
      <c r="B12" s="193"/>
      <c r="C12" s="193"/>
      <c r="D12" s="193"/>
      <c r="E12" s="193"/>
      <c r="F12" s="193"/>
      <c r="G12" s="193"/>
      <c r="H12" s="193"/>
      <c r="I12" s="193"/>
      <c r="J12" s="193"/>
    </row>
    <row r="13" spans="1:10" ht="21.75" customHeight="1">
      <c r="A13" s="179" t="s">
        <v>246</v>
      </c>
      <c r="B13" s="179"/>
      <c r="C13" s="179"/>
      <c r="D13" s="179"/>
      <c r="E13" s="179"/>
      <c r="F13" s="179"/>
      <c r="G13" s="179"/>
      <c r="H13" s="179"/>
      <c r="I13" s="179"/>
      <c r="J13" s="179"/>
    </row>
    <row r="14" spans="1:10" ht="61.5" customHeight="1">
      <c r="A14" s="191" t="s">
        <v>247</v>
      </c>
      <c r="B14" s="191"/>
      <c r="C14" s="191"/>
      <c r="D14" s="191"/>
      <c r="E14" s="191"/>
      <c r="F14" s="191"/>
      <c r="G14" s="191"/>
      <c r="H14" s="191"/>
      <c r="I14" s="191"/>
      <c r="J14" s="191"/>
    </row>
    <row r="15" spans="1:10" ht="7.5" customHeight="1"/>
    <row r="16" spans="1:10" ht="24" customHeight="1">
      <c r="A16" s="150" t="s">
        <v>248</v>
      </c>
      <c r="B16" s="150"/>
      <c r="C16" s="150"/>
      <c r="D16" s="150"/>
      <c r="E16" s="150"/>
      <c r="F16" s="150"/>
      <c r="G16" s="150"/>
      <c r="H16" s="150"/>
      <c r="I16" s="150"/>
      <c r="J16" s="150"/>
    </row>
    <row r="17" spans="1:10" ht="15.75" customHeight="1">
      <c r="A17" s="186" t="s">
        <v>249</v>
      </c>
      <c r="B17" s="186"/>
      <c r="C17" s="186"/>
      <c r="D17" s="186"/>
      <c r="E17" s="186"/>
      <c r="F17" s="186"/>
      <c r="G17" s="186"/>
      <c r="H17" s="186"/>
      <c r="I17" s="186"/>
      <c r="J17" s="186"/>
    </row>
    <row r="18" spans="1:10" ht="30" customHeight="1">
      <c r="A18" s="192" t="s">
        <v>250</v>
      </c>
      <c r="B18" s="192"/>
      <c r="C18" s="192" t="s">
        <v>251</v>
      </c>
      <c r="D18" s="192"/>
      <c r="E18" s="126"/>
      <c r="F18" s="192" t="s">
        <v>252</v>
      </c>
      <c r="G18" s="192"/>
      <c r="H18" s="192" t="s">
        <v>253</v>
      </c>
      <c r="I18" s="192"/>
      <c r="J18" s="126"/>
    </row>
    <row r="19" spans="1:10" ht="37.5" customHeight="1">
      <c r="A19" s="189" t="s">
        <v>254</v>
      </c>
      <c r="B19" s="189"/>
      <c r="C19" s="189" t="s">
        <v>255</v>
      </c>
      <c r="D19" s="189"/>
      <c r="E19" s="127"/>
      <c r="F19" s="189" t="s">
        <v>256</v>
      </c>
      <c r="G19" s="189"/>
      <c r="H19" s="189" t="s">
        <v>257</v>
      </c>
      <c r="I19" s="189"/>
      <c r="J19" s="127"/>
    </row>
    <row r="20" spans="1:10" ht="30" customHeight="1">
      <c r="A20" s="190" t="s">
        <v>258</v>
      </c>
      <c r="B20" s="190"/>
      <c r="C20" s="190" t="s">
        <v>259</v>
      </c>
      <c r="D20" s="190"/>
      <c r="E20" s="128"/>
      <c r="F20" s="190" t="s">
        <v>260</v>
      </c>
      <c r="G20" s="190"/>
      <c r="H20" s="190" t="s">
        <v>261</v>
      </c>
      <c r="I20" s="190"/>
      <c r="J20" s="128"/>
    </row>
    <row r="21" spans="1:10" ht="7.5" customHeight="1"/>
    <row r="22" spans="1:10" ht="24" customHeight="1">
      <c r="A22" s="150" t="s">
        <v>262</v>
      </c>
      <c r="B22" s="150"/>
      <c r="C22" s="150"/>
      <c r="D22" s="150"/>
      <c r="E22" s="150"/>
      <c r="F22" s="150"/>
      <c r="G22" s="150"/>
      <c r="H22" s="150"/>
      <c r="I22" s="150"/>
      <c r="J22" s="150"/>
    </row>
    <row r="23" spans="1:10" ht="19.5" customHeight="1">
      <c r="A23" s="186" t="s">
        <v>263</v>
      </c>
      <c r="B23" s="186"/>
      <c r="C23" s="186"/>
      <c r="D23" s="186"/>
      <c r="E23" s="186"/>
      <c r="F23" s="186"/>
      <c r="G23" s="186"/>
      <c r="H23" s="186"/>
      <c r="I23" s="186"/>
      <c r="J23" s="186"/>
    </row>
    <row r="24" spans="1:10" ht="24" customHeight="1">
      <c r="A24" s="29" t="s">
        <v>108</v>
      </c>
      <c r="B24" s="29" t="s">
        <v>109</v>
      </c>
      <c r="C24" s="29" t="s">
        <v>264</v>
      </c>
      <c r="D24" s="29" t="s">
        <v>110</v>
      </c>
      <c r="E24" s="29" t="s">
        <v>265</v>
      </c>
      <c r="F24" s="29" t="s">
        <v>266</v>
      </c>
      <c r="G24" s="187" t="s">
        <v>267</v>
      </c>
      <c r="H24" s="187"/>
      <c r="I24" s="187"/>
      <c r="J24" s="187"/>
    </row>
    <row r="25" spans="1:10" ht="45.75" customHeight="1">
      <c r="A25" s="13" t="s">
        <v>268</v>
      </c>
      <c r="B25" s="13" t="s">
        <v>269</v>
      </c>
      <c r="C25" s="13" t="s">
        <v>270</v>
      </c>
      <c r="D25" s="13" t="s">
        <v>271</v>
      </c>
      <c r="E25" s="13" t="s">
        <v>272</v>
      </c>
      <c r="F25" s="13" t="s">
        <v>273</v>
      </c>
      <c r="G25" s="188" t="s">
        <v>274</v>
      </c>
      <c r="H25" s="188"/>
      <c r="I25" s="188"/>
      <c r="J25" s="188"/>
    </row>
    <row r="26" spans="1:10" ht="19.5" customHeight="1">
      <c r="A26" s="7"/>
      <c r="B26" s="7"/>
      <c r="C26" s="7"/>
      <c r="D26" s="7"/>
      <c r="E26" s="7"/>
      <c r="F26" s="7"/>
      <c r="G26" s="183"/>
      <c r="H26" s="183"/>
      <c r="I26" s="183"/>
      <c r="J26" s="183"/>
    </row>
    <row r="27" spans="1:10" ht="45.75" customHeight="1">
      <c r="A27" s="129"/>
      <c r="B27" s="129"/>
      <c r="C27" s="129"/>
      <c r="D27" s="129"/>
      <c r="E27" s="129"/>
      <c r="F27" s="129"/>
      <c r="G27" s="185"/>
      <c r="H27" s="185"/>
      <c r="I27" s="185"/>
      <c r="J27" s="185"/>
    </row>
    <row r="28" spans="1:10" ht="19.5" customHeight="1">
      <c r="A28" s="7"/>
      <c r="B28" s="7"/>
      <c r="C28" s="7"/>
      <c r="D28" s="7"/>
      <c r="E28" s="7"/>
      <c r="F28" s="7"/>
      <c r="G28" s="183"/>
      <c r="H28" s="183"/>
      <c r="I28" s="183"/>
      <c r="J28" s="183"/>
    </row>
    <row r="29" spans="1:10" ht="19.5" customHeight="1">
      <c r="A29" s="5"/>
      <c r="B29" s="5"/>
      <c r="C29" s="5"/>
      <c r="D29" s="5"/>
      <c r="E29" s="5"/>
      <c r="F29" s="5"/>
      <c r="G29" s="184"/>
      <c r="H29" s="184"/>
      <c r="I29" s="184"/>
      <c r="J29" s="184"/>
    </row>
    <row r="30" spans="1:10" ht="19.5" customHeight="1">
      <c r="A30" s="7"/>
      <c r="B30" s="7"/>
      <c r="C30" s="7"/>
      <c r="D30" s="7"/>
      <c r="E30" s="7"/>
      <c r="F30" s="7"/>
      <c r="G30" s="183"/>
      <c r="H30" s="183"/>
      <c r="I30" s="183"/>
      <c r="J30" s="183"/>
    </row>
    <row r="31" spans="1:10" ht="19.5" customHeight="1">
      <c r="A31" s="5"/>
      <c r="B31" s="5"/>
      <c r="C31" s="5"/>
      <c r="D31" s="5"/>
      <c r="E31" s="5"/>
      <c r="F31" s="5"/>
      <c r="G31" s="184"/>
      <c r="H31" s="184"/>
      <c r="I31" s="184"/>
      <c r="J31" s="184"/>
    </row>
    <row r="32" spans="1:10" ht="19.5" customHeight="1">
      <c r="A32" s="7"/>
      <c r="B32" s="7"/>
      <c r="C32" s="7"/>
      <c r="D32" s="7"/>
      <c r="E32" s="7"/>
      <c r="F32" s="7"/>
      <c r="G32" s="183"/>
      <c r="H32" s="183"/>
      <c r="I32" s="183"/>
      <c r="J32" s="183"/>
    </row>
    <row r="33" spans="1:10" ht="19.5" customHeight="1">
      <c r="A33" s="5"/>
      <c r="B33" s="5"/>
      <c r="C33" s="5"/>
      <c r="D33" s="5"/>
      <c r="E33" s="5"/>
      <c r="F33" s="5"/>
      <c r="G33" s="184"/>
      <c r="H33" s="184"/>
      <c r="I33" s="184"/>
      <c r="J33" s="184"/>
    </row>
    <row r="34" spans="1:10" ht="19.5" customHeight="1">
      <c r="A34" s="7"/>
      <c r="B34" s="7"/>
      <c r="C34" s="7"/>
      <c r="D34" s="7"/>
      <c r="E34" s="7"/>
      <c r="F34" s="7"/>
      <c r="G34" s="183"/>
      <c r="H34" s="183"/>
      <c r="I34" s="183"/>
      <c r="J34" s="183"/>
    </row>
    <row r="35" spans="1:10" ht="19.5" customHeight="1">
      <c r="A35" s="5"/>
      <c r="B35" s="5"/>
      <c r="C35" s="5"/>
      <c r="D35" s="5"/>
      <c r="E35" s="5"/>
      <c r="F35" s="5"/>
      <c r="G35" s="184"/>
      <c r="H35" s="184"/>
      <c r="I35" s="184"/>
      <c r="J35" s="184"/>
    </row>
    <row r="36" spans="1:10" ht="19.5" customHeight="1">
      <c r="A36" s="7"/>
      <c r="B36" s="7"/>
      <c r="C36" s="7"/>
      <c r="D36" s="7"/>
      <c r="E36" s="7"/>
      <c r="F36" s="7"/>
      <c r="G36" s="183"/>
      <c r="H36" s="183"/>
      <c r="I36" s="183"/>
      <c r="J36" s="183"/>
    </row>
    <row r="37" spans="1:10" ht="7.5" customHeight="1"/>
    <row r="38" spans="1:10" ht="24" customHeight="1">
      <c r="A38" s="150" t="s">
        <v>275</v>
      </c>
      <c r="B38" s="150"/>
      <c r="C38" s="150"/>
      <c r="D38" s="150"/>
      <c r="E38" s="150"/>
      <c r="F38" s="150"/>
      <c r="G38" s="150"/>
      <c r="H38" s="150"/>
      <c r="I38" s="150"/>
      <c r="J38" s="150"/>
    </row>
    <row r="39" spans="1:10" ht="109.5" customHeight="1">
      <c r="A39" s="182" t="s">
        <v>276</v>
      </c>
      <c r="B39" s="182"/>
      <c r="C39" s="182"/>
      <c r="D39" s="182"/>
      <c r="E39" s="182"/>
      <c r="F39" s="182"/>
      <c r="G39" s="182"/>
      <c r="H39" s="182"/>
      <c r="I39" s="182"/>
      <c r="J39" s="182"/>
    </row>
    <row r="40" spans="1:10" ht="7.5" customHeight="1"/>
    <row r="41" spans="1:10" ht="24" customHeight="1">
      <c r="A41" s="150" t="s">
        <v>277</v>
      </c>
      <c r="B41" s="150"/>
      <c r="C41" s="150"/>
      <c r="D41" s="150"/>
      <c r="E41" s="150"/>
      <c r="F41" s="150"/>
      <c r="G41" s="150"/>
      <c r="H41" s="150"/>
      <c r="I41" s="150"/>
      <c r="J41" s="150"/>
    </row>
    <row r="42" spans="1:10" ht="21.75" customHeight="1">
      <c r="A42" s="179" t="s">
        <v>278</v>
      </c>
      <c r="B42" s="179"/>
      <c r="C42" s="179"/>
      <c r="D42" s="179"/>
      <c r="E42" s="179"/>
      <c r="F42" s="179"/>
      <c r="G42" s="179"/>
      <c r="H42" s="179"/>
      <c r="I42" s="179"/>
      <c r="J42" s="179"/>
    </row>
    <row r="43" spans="1:10" ht="43.5" customHeight="1">
      <c r="A43" s="148" t="s">
        <v>279</v>
      </c>
      <c r="B43" s="148"/>
      <c r="C43" s="148"/>
      <c r="D43" s="148"/>
      <c r="E43" s="148"/>
      <c r="F43" s="148"/>
      <c r="G43" s="148"/>
      <c r="H43" s="148"/>
      <c r="I43" s="148"/>
      <c r="J43" s="148"/>
    </row>
    <row r="44" spans="1:10" ht="3.75" customHeight="1"/>
    <row r="45" spans="1:10" ht="21.75" customHeight="1">
      <c r="A45" s="181" t="s">
        <v>280</v>
      </c>
      <c r="B45" s="181"/>
      <c r="C45" s="181"/>
      <c r="D45" s="181"/>
      <c r="E45" s="181"/>
      <c r="F45" s="181"/>
      <c r="G45" s="181"/>
      <c r="H45" s="181"/>
      <c r="I45" s="181"/>
      <c r="J45" s="181"/>
    </row>
    <row r="46" spans="1:10" ht="43.5" customHeight="1">
      <c r="A46" s="147" t="s">
        <v>281</v>
      </c>
      <c r="B46" s="147"/>
      <c r="C46" s="147"/>
      <c r="D46" s="147"/>
      <c r="E46" s="147"/>
      <c r="F46" s="147"/>
      <c r="G46" s="147"/>
      <c r="H46" s="147"/>
      <c r="I46" s="147"/>
      <c r="J46" s="147"/>
    </row>
    <row r="47" spans="1:10" ht="3.75" customHeight="1"/>
    <row r="48" spans="1:10" ht="21.75" customHeight="1">
      <c r="A48" s="179" t="s">
        <v>282</v>
      </c>
      <c r="B48" s="179"/>
      <c r="C48" s="179"/>
      <c r="D48" s="179"/>
      <c r="E48" s="179"/>
      <c r="F48" s="179"/>
      <c r="G48" s="179"/>
      <c r="H48" s="179"/>
      <c r="I48" s="179"/>
      <c r="J48" s="179"/>
    </row>
    <row r="49" spans="1:10" ht="43.5" customHeight="1">
      <c r="A49" s="148" t="s">
        <v>283</v>
      </c>
      <c r="B49" s="148"/>
      <c r="C49" s="148"/>
      <c r="D49" s="148"/>
      <c r="E49" s="148"/>
      <c r="F49" s="148"/>
      <c r="G49" s="148"/>
      <c r="H49" s="148"/>
      <c r="I49" s="148"/>
      <c r="J49" s="148"/>
    </row>
    <row r="50" spans="1:10" ht="3.75" customHeight="1"/>
    <row r="51" spans="1:10" ht="21.75" customHeight="1">
      <c r="A51" s="181" t="s">
        <v>284</v>
      </c>
      <c r="B51" s="181"/>
      <c r="C51" s="181"/>
      <c r="D51" s="181"/>
      <c r="E51" s="181"/>
      <c r="F51" s="181"/>
      <c r="G51" s="181"/>
      <c r="H51" s="181"/>
      <c r="I51" s="181"/>
      <c r="J51" s="181"/>
    </row>
    <row r="52" spans="1:10" ht="43.5" customHeight="1">
      <c r="A52" s="147" t="s">
        <v>285</v>
      </c>
      <c r="B52" s="147"/>
      <c r="C52" s="147"/>
      <c r="D52" s="147"/>
      <c r="E52" s="147"/>
      <c r="F52" s="147"/>
      <c r="G52" s="147"/>
      <c r="H52" s="147"/>
      <c r="I52" s="147"/>
      <c r="J52" s="147"/>
    </row>
    <row r="53" spans="1:10" ht="3.75" customHeight="1"/>
    <row r="54" spans="1:10" ht="21.75" customHeight="1">
      <c r="A54" s="179" t="s">
        <v>286</v>
      </c>
      <c r="B54" s="179"/>
      <c r="C54" s="179"/>
      <c r="D54" s="179"/>
      <c r="E54" s="179"/>
      <c r="F54" s="179"/>
      <c r="G54" s="179"/>
      <c r="H54" s="179"/>
      <c r="I54" s="179"/>
      <c r="J54" s="179"/>
    </row>
    <row r="55" spans="1:10" ht="60" customHeight="1">
      <c r="A55" s="148" t="s">
        <v>287</v>
      </c>
      <c r="B55" s="148"/>
      <c r="C55" s="148"/>
      <c r="D55" s="148"/>
      <c r="E55" s="148"/>
      <c r="F55" s="148"/>
      <c r="G55" s="148"/>
      <c r="H55" s="148"/>
      <c r="I55" s="148"/>
      <c r="J55" s="148"/>
    </row>
    <row r="56" spans="1:10" ht="3.75" customHeight="1"/>
    <row r="57" spans="1:10" ht="21.75" customHeight="1">
      <c r="A57" s="150" t="s">
        <v>288</v>
      </c>
      <c r="B57" s="150"/>
      <c r="C57" s="150"/>
      <c r="D57" s="150"/>
      <c r="E57" s="150"/>
      <c r="F57" s="150"/>
      <c r="G57" s="150"/>
      <c r="H57" s="150"/>
      <c r="I57" s="150"/>
      <c r="J57" s="150"/>
    </row>
    <row r="58" spans="1:10" ht="36" customHeight="1">
      <c r="A58" s="180" t="s">
        <v>289</v>
      </c>
      <c r="B58" s="180"/>
      <c r="C58" s="180"/>
      <c r="D58" s="180"/>
      <c r="E58" s="180"/>
      <c r="F58" s="180"/>
      <c r="G58" s="180"/>
      <c r="H58" s="180"/>
      <c r="I58" s="180"/>
      <c r="J58" s="180"/>
    </row>
  </sheetData>
  <mergeCells count="56">
    <mergeCell ref="A1:J1"/>
    <mergeCell ref="A2:J2"/>
    <mergeCell ref="A4:J4"/>
    <mergeCell ref="A5:J5"/>
    <mergeCell ref="A7:J7"/>
    <mergeCell ref="A8:J8"/>
    <mergeCell ref="A9:J9"/>
    <mergeCell ref="A10:J10"/>
    <mergeCell ref="A11:J11"/>
    <mergeCell ref="A12:J12"/>
    <mergeCell ref="A13:J13"/>
    <mergeCell ref="A14:J14"/>
    <mergeCell ref="A16:J16"/>
    <mergeCell ref="A17:J17"/>
    <mergeCell ref="A18:B18"/>
    <mergeCell ref="C18:D18"/>
    <mergeCell ref="F18:G18"/>
    <mergeCell ref="H18:I18"/>
    <mergeCell ref="A19:B19"/>
    <mergeCell ref="C19:D19"/>
    <mergeCell ref="F19:G19"/>
    <mergeCell ref="H19:I19"/>
    <mergeCell ref="A20:B20"/>
    <mergeCell ref="C20:D20"/>
    <mergeCell ref="F20:G20"/>
    <mergeCell ref="H20:I20"/>
    <mergeCell ref="A22:J22"/>
    <mergeCell ref="A23:J23"/>
    <mergeCell ref="G24:J24"/>
    <mergeCell ref="G25:J25"/>
    <mergeCell ref="G26:J26"/>
    <mergeCell ref="G27:J27"/>
    <mergeCell ref="G28:J28"/>
    <mergeCell ref="G29:J29"/>
    <mergeCell ref="G30:J30"/>
    <mergeCell ref="G31:J31"/>
    <mergeCell ref="G32:J32"/>
    <mergeCell ref="G33:J33"/>
    <mergeCell ref="G34:J34"/>
    <mergeCell ref="G35:J35"/>
    <mergeCell ref="G36:J36"/>
    <mergeCell ref="A38:J38"/>
    <mergeCell ref="A39:J39"/>
    <mergeCell ref="A41:J41"/>
    <mergeCell ref="A42:J42"/>
    <mergeCell ref="A43:J43"/>
    <mergeCell ref="A45:J45"/>
    <mergeCell ref="A46:J46"/>
    <mergeCell ref="A48:J48"/>
    <mergeCell ref="A49:J49"/>
    <mergeCell ref="A51:J51"/>
    <mergeCell ref="A52:J52"/>
    <mergeCell ref="A54:J54"/>
    <mergeCell ref="A55:J55"/>
    <mergeCell ref="A57:J57"/>
    <mergeCell ref="A58:J5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88E3C"/>
  </sheetPr>
  <dimension ref="A1:H15"/>
  <sheetViews>
    <sheetView zoomScaleNormal="100" workbookViewId="0">
      <selection activeCell="B7" sqref="B7"/>
    </sheetView>
  </sheetViews>
  <sheetFormatPr defaultColWidth="8.7109375" defaultRowHeight="15"/>
  <cols>
    <col min="1" max="1" width="38" customWidth="1"/>
    <col min="2" max="2" width="12" customWidth="1"/>
    <col min="3" max="3" width="16" customWidth="1"/>
    <col min="4" max="4" width="18" customWidth="1"/>
    <col min="5" max="6" width="16" customWidth="1"/>
    <col min="7" max="7" width="42" customWidth="1"/>
  </cols>
  <sheetData>
    <row r="1" spans="1:8" ht="27.75" customHeight="1">
      <c r="A1" s="195" t="s">
        <v>290</v>
      </c>
      <c r="B1" s="195"/>
      <c r="C1" s="195"/>
      <c r="D1" s="195"/>
      <c r="E1" s="195"/>
      <c r="F1" s="195"/>
      <c r="G1" s="195"/>
      <c r="H1" s="195"/>
    </row>
    <row r="2" spans="1:8" ht="15.75" customHeight="1">
      <c r="A2" s="196" t="s">
        <v>291</v>
      </c>
      <c r="B2" s="196"/>
      <c r="C2" s="196"/>
      <c r="D2" s="196"/>
      <c r="E2" s="196"/>
      <c r="F2" s="196"/>
      <c r="G2" s="196"/>
      <c r="H2" s="196"/>
    </row>
    <row r="4" spans="1:8" ht="6" customHeight="1"/>
    <row r="5" spans="1:8" ht="15" customHeight="1">
      <c r="A5" s="153" t="s">
        <v>292</v>
      </c>
      <c r="B5" s="153"/>
      <c r="C5" s="153"/>
      <c r="D5" s="153"/>
    </row>
    <row r="6" spans="1:8" ht="15" customHeight="1">
      <c r="A6" s="130" t="s">
        <v>293</v>
      </c>
      <c r="B6" s="131">
        <v>0.05</v>
      </c>
      <c r="C6" s="22" t="s">
        <v>294</v>
      </c>
    </row>
    <row r="7" spans="1:8" ht="15" customHeight="1">
      <c r="A7" s="130" t="s">
        <v>295</v>
      </c>
      <c r="B7" s="131" t="str">
        <f>Assumptions!B3</f>
        <v>PARAMETER</v>
      </c>
      <c r="C7" s="22" t="s">
        <v>296</v>
      </c>
    </row>
    <row r="8" spans="1:8" ht="15" customHeight="1">
      <c r="A8" s="130" t="s">
        <v>297</v>
      </c>
      <c r="B8" s="131">
        <f>Assumptions!B19</f>
        <v>0.1</v>
      </c>
      <c r="C8" s="22" t="s">
        <v>298</v>
      </c>
    </row>
    <row r="10" spans="1:8" ht="15" customHeight="1">
      <c r="A10" s="197" t="s">
        <v>299</v>
      </c>
      <c r="B10" s="197"/>
      <c r="C10" s="197"/>
      <c r="D10" s="197"/>
      <c r="E10" s="197"/>
      <c r="F10" s="197"/>
      <c r="G10" s="197"/>
    </row>
    <row r="11" spans="1:8" ht="36" customHeight="1">
      <c r="A11" s="72" t="s">
        <v>300</v>
      </c>
      <c r="B11" s="72" t="s">
        <v>301</v>
      </c>
      <c r="C11" s="72" t="s">
        <v>302</v>
      </c>
      <c r="D11" s="72" t="s">
        <v>303</v>
      </c>
      <c r="E11" s="72" t="s">
        <v>304</v>
      </c>
      <c r="F11" s="72" t="s">
        <v>305</v>
      </c>
      <c r="G11" s="72" t="s">
        <v>306</v>
      </c>
    </row>
    <row r="12" spans="1:8" ht="36" customHeight="1">
      <c r="A12" s="132" t="s">
        <v>307</v>
      </c>
      <c r="B12" s="5" t="s">
        <v>308</v>
      </c>
      <c r="C12" s="133">
        <f>SUMIF('SPA Optimizer'!R4:R58,"▲ BETTER",'SPA Optimizer'!L4:L58)</f>
        <v>120635</v>
      </c>
      <c r="D12" s="134">
        <f>SUMIF('SPA Optimizer'!R4:R58,"▲ BETTER",'SPA Optimizer'!P4:P58)</f>
        <v>79028.88</v>
      </c>
      <c r="E12" s="133" t="s">
        <v>309</v>
      </c>
      <c r="F12" s="133">
        <f>SUMIF('SPA Optimizer'!R4:R58,"▲ BETTER",'SPA Optimizer'!L4:L58)</f>
        <v>120635</v>
      </c>
      <c r="G12" s="135" t="s">
        <v>310</v>
      </c>
    </row>
    <row r="13" spans="1:8" ht="36" customHeight="1">
      <c r="A13" s="26" t="s">
        <v>311</v>
      </c>
      <c r="B13" s="7" t="s">
        <v>312</v>
      </c>
      <c r="C13" s="136">
        <f>'SPA Optimizer'!L60</f>
        <v>728880</v>
      </c>
      <c r="D13" s="137">
        <f>'SPA Optimizer'!Q60</f>
        <v>-122728.79000000001</v>
      </c>
      <c r="E13" s="136" t="s">
        <v>309</v>
      </c>
      <c r="F13" s="136">
        <f>'SPA Optimizer'!L60</f>
        <v>728880</v>
      </c>
      <c r="G13" s="138" t="s">
        <v>313</v>
      </c>
    </row>
    <row r="14" spans="1:8" ht="36" customHeight="1">
      <c r="A14" s="139" t="s">
        <v>314</v>
      </c>
      <c r="B14" s="140" t="s">
        <v>312</v>
      </c>
      <c r="C14" s="141">
        <f>'SPA Optimizer'!L60</f>
        <v>728880</v>
      </c>
      <c r="D14" s="142">
        <f>'SPA Optimizer'!Y60</f>
        <v>-85594.262499999983</v>
      </c>
      <c r="E14" s="141">
        <f>'SPA Optimizer'!Z60</f>
        <v>37134.527500000004</v>
      </c>
      <c r="F14" s="141">
        <f>'SPA Optimizer'!L60</f>
        <v>728880</v>
      </c>
      <c r="G14" s="143" t="s">
        <v>315</v>
      </c>
    </row>
    <row r="15" spans="1:8" ht="36" customHeight="1">
      <c r="A15" s="26" t="s">
        <v>316</v>
      </c>
      <c r="B15" s="7" t="s">
        <v>312</v>
      </c>
      <c r="C15" s="136">
        <f>'SPA Optimizer'!L60*(1+Assumptions!B21)</f>
        <v>728880</v>
      </c>
      <c r="D15" s="137">
        <f>'SPA Optimizer'!Y60*1.1</f>
        <v>-94153.688749999987</v>
      </c>
      <c r="E15" s="136">
        <f>'SPA Optimizer'!Z60*1.05</f>
        <v>38991.253875000002</v>
      </c>
      <c r="F15" s="136">
        <f>'SPA Optimizer'!L60*(1+Assumptions!B21)</f>
        <v>728880</v>
      </c>
      <c r="G15" s="138" t="s">
        <v>317</v>
      </c>
    </row>
  </sheetData>
  <mergeCells count="4">
    <mergeCell ref="A1:H1"/>
    <mergeCell ref="A2:H2"/>
    <mergeCell ref="A5:D5"/>
    <mergeCell ref="A10:G1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0000"/>
  </sheetPr>
  <dimension ref="B1:M42"/>
  <sheetViews>
    <sheetView zoomScaleNormal="100" workbookViewId="0"/>
  </sheetViews>
  <sheetFormatPr defaultColWidth="8.7109375" defaultRowHeight="15"/>
  <cols>
    <col min="1" max="1" width="1.85546875" customWidth="1"/>
    <col min="2" max="2" width="15.28515625" customWidth="1"/>
    <col min="3" max="4" width="9.42578125" customWidth="1"/>
    <col min="5" max="5" width="13" customWidth="1"/>
    <col min="6" max="7" width="9.42578125" customWidth="1"/>
    <col min="8" max="8" width="15" customWidth="1"/>
    <col min="9" max="10" width="9.42578125" customWidth="1"/>
    <col min="11" max="11" width="13" customWidth="1"/>
    <col min="12" max="13" width="9.42578125" customWidth="1"/>
  </cols>
  <sheetData>
    <row r="1" spans="2:13" ht="36.75" customHeight="1">
      <c r="B1" s="235" t="s">
        <v>318</v>
      </c>
      <c r="C1" s="235"/>
      <c r="D1" s="235"/>
      <c r="E1" s="235"/>
      <c r="F1" s="235"/>
      <c r="G1" s="235"/>
      <c r="H1" s="235"/>
      <c r="I1" s="235"/>
      <c r="J1" s="236" t="s">
        <v>319</v>
      </c>
      <c r="K1" s="236"/>
      <c r="L1" s="236"/>
      <c r="M1" s="236"/>
    </row>
    <row r="2" spans="2:13" ht="24.75" customHeight="1">
      <c r="B2" s="230" t="s">
        <v>320</v>
      </c>
      <c r="C2" s="230"/>
      <c r="D2" s="230"/>
      <c r="E2" s="230" t="s">
        <v>321</v>
      </c>
      <c r="F2" s="230"/>
      <c r="G2" s="230"/>
      <c r="H2" s="230"/>
      <c r="I2" s="230"/>
      <c r="J2" s="230"/>
      <c r="K2" s="230"/>
      <c r="L2" s="230"/>
      <c r="M2" s="230"/>
    </row>
    <row r="3" spans="2:13" ht="16.5" customHeight="1">
      <c r="B3" s="237" t="s">
        <v>322</v>
      </c>
      <c r="C3" s="237"/>
      <c r="D3" s="237"/>
      <c r="E3" s="237" t="s">
        <v>323</v>
      </c>
      <c r="F3" s="237"/>
      <c r="G3" s="237"/>
      <c r="H3" s="237" t="s">
        <v>324</v>
      </c>
      <c r="I3" s="237"/>
      <c r="J3" s="237"/>
      <c r="K3" s="237" t="s">
        <v>325</v>
      </c>
      <c r="L3" s="237"/>
      <c r="M3" s="237"/>
    </row>
    <row r="4" spans="2:13" ht="61.5" customHeight="1">
      <c r="B4" s="231" t="str">
        <f>Assumptions!B14</f>
        <v>[Name]</v>
      </c>
      <c r="C4" s="231"/>
      <c r="D4" s="231"/>
      <c r="E4" s="232" t="s">
        <v>326</v>
      </c>
      <c r="F4" s="232"/>
      <c r="G4" s="232"/>
      <c r="H4" s="231" t="s">
        <v>327</v>
      </c>
      <c r="I4" s="231"/>
      <c r="J4" s="231"/>
      <c r="K4" s="231" t="s">
        <v>328</v>
      </c>
      <c r="L4" s="231"/>
      <c r="M4" s="231"/>
    </row>
    <row r="5" spans="2:13" ht="24.75" customHeight="1">
      <c r="B5" s="144" t="s">
        <v>329</v>
      </c>
      <c r="C5" s="233">
        <f ca="1">TODAY()</f>
        <v>46141</v>
      </c>
      <c r="D5" s="233"/>
      <c r="E5" s="144" t="s">
        <v>330</v>
      </c>
      <c r="F5" s="234"/>
      <c r="G5" s="234"/>
      <c r="H5" s="144" t="s">
        <v>330</v>
      </c>
      <c r="I5" s="234"/>
      <c r="J5" s="234"/>
      <c r="K5" s="144" t="s">
        <v>330</v>
      </c>
      <c r="L5" s="234"/>
      <c r="M5" s="234"/>
    </row>
    <row r="6" spans="2:13" ht="9.75" customHeight="1"/>
    <row r="7" spans="2:13" ht="33" customHeight="1">
      <c r="B7" s="229" t="s">
        <v>331</v>
      </c>
      <c r="C7" s="229"/>
      <c r="D7" s="229"/>
      <c r="E7" s="229"/>
      <c r="F7" s="229"/>
      <c r="G7" s="229"/>
      <c r="H7" s="229"/>
      <c r="I7" s="229"/>
    </row>
    <row r="8" spans="2:13" ht="18.75" customHeight="1">
      <c r="B8" s="230" t="s">
        <v>332</v>
      </c>
      <c r="C8" s="230"/>
      <c r="D8" s="230"/>
      <c r="E8" s="230"/>
      <c r="F8" s="230"/>
      <c r="G8" s="230"/>
      <c r="H8" s="230"/>
      <c r="I8" s="230"/>
      <c r="J8" s="230"/>
      <c r="K8" s="230"/>
      <c r="L8" s="230"/>
      <c r="M8" s="230"/>
    </row>
    <row r="9" spans="2:13" ht="9.75" customHeight="1"/>
    <row r="10" spans="2:13" ht="24.75" customHeight="1">
      <c r="B10" s="209" t="s">
        <v>333</v>
      </c>
      <c r="C10" s="209"/>
      <c r="D10" s="209"/>
      <c r="E10" s="209"/>
      <c r="F10" s="209"/>
      <c r="G10" s="209"/>
      <c r="H10" s="209"/>
      <c r="I10" s="209"/>
      <c r="J10" s="209"/>
      <c r="K10" s="209"/>
      <c r="L10" s="209"/>
      <c r="M10" s="209"/>
    </row>
    <row r="11" spans="2:13" ht="24.75" customHeight="1">
      <c r="B11" s="144" t="s">
        <v>334</v>
      </c>
      <c r="C11" s="226" t="str">
        <f>Assumptions!B9</f>
        <v>Distributor</v>
      </c>
      <c r="D11" s="226"/>
      <c r="E11" s="226"/>
      <c r="F11" s="226"/>
      <c r="G11" s="226"/>
      <c r="H11" s="226"/>
      <c r="I11" s="145" t="s">
        <v>335</v>
      </c>
      <c r="J11" s="227" t="s">
        <v>336</v>
      </c>
      <c r="K11" s="227"/>
      <c r="L11" s="227"/>
      <c r="M11" s="227"/>
    </row>
    <row r="12" spans="2:13" ht="24.75" customHeight="1">
      <c r="B12" s="144" t="s">
        <v>337</v>
      </c>
      <c r="C12" s="226" t="str">
        <f>Assumptions!B10</f>
        <v>[Market]</v>
      </c>
      <c r="D12" s="226"/>
      <c r="E12" s="226"/>
      <c r="F12" s="226"/>
      <c r="G12" s="226"/>
      <c r="H12" s="226"/>
      <c r="I12" s="145" t="s">
        <v>338</v>
      </c>
      <c r="J12" s="227" t="s">
        <v>339</v>
      </c>
      <c r="K12" s="227"/>
      <c r="L12" s="227"/>
      <c r="M12" s="227"/>
    </row>
    <row r="13" spans="2:13" ht="9.75" customHeight="1"/>
    <row r="14" spans="2:13" ht="24.75" customHeight="1">
      <c r="B14" s="209" t="s">
        <v>340</v>
      </c>
      <c r="C14" s="209"/>
      <c r="D14" s="209"/>
      <c r="E14" s="209"/>
      <c r="F14" s="209"/>
      <c r="G14" s="209"/>
      <c r="H14" s="209"/>
      <c r="I14" s="209"/>
      <c r="J14" s="209"/>
      <c r="K14" s="209"/>
      <c r="L14" s="209"/>
      <c r="M14" s="209"/>
    </row>
    <row r="15" spans="2:13" ht="24.75" customHeight="1">
      <c r="B15" s="228" t="s">
        <v>341</v>
      </c>
      <c r="C15" s="228"/>
      <c r="D15" s="228"/>
      <c r="E15" s="228"/>
      <c r="F15" s="228"/>
      <c r="G15" s="228"/>
      <c r="H15" s="228" t="s">
        <v>342</v>
      </c>
      <c r="I15" s="228"/>
      <c r="J15" s="228"/>
      <c r="K15" s="228"/>
      <c r="L15" s="228"/>
      <c r="M15" s="228"/>
    </row>
    <row r="16" spans="2:13" ht="24.75" customHeight="1">
      <c r="B16" s="222" t="str">
        <f>IFERROR("SPA Ref: "&amp;Assumptions!B11,"")</f>
        <v>SPA Ref: SPA Distributor</v>
      </c>
      <c r="C16" s="222"/>
      <c r="D16" s="222"/>
      <c r="E16" s="222"/>
      <c r="F16" s="222"/>
      <c r="G16" s="222"/>
      <c r="H16" s="223" t="str">
        <f>IFERROR("Validity: "&amp;TEXT(Assumptions!B12,"dd-mmm-yyyy")&amp;" to "&amp;TEXT(Assumptions!B13,"dd-mmm-yyyy"),"")</f>
        <v>Validity: 01-May-2026 to 30-Apr-2027</v>
      </c>
      <c r="I16" s="223"/>
      <c r="J16" s="223"/>
      <c r="K16" s="223"/>
      <c r="L16" s="223"/>
      <c r="M16" s="223"/>
    </row>
    <row r="17" spans="2:13" ht="18" customHeight="1">
      <c r="B17" s="224" t="s">
        <v>343</v>
      </c>
      <c r="C17" s="224"/>
      <c r="D17" s="224"/>
      <c r="E17" s="224"/>
      <c r="F17" s="224"/>
      <c r="G17" s="224"/>
      <c r="H17" s="225"/>
      <c r="I17" s="225"/>
      <c r="J17" s="225"/>
      <c r="K17" s="225"/>
      <c r="L17" s="225"/>
      <c r="M17" s="225"/>
    </row>
    <row r="18" spans="2:13" ht="18" customHeight="1">
      <c r="B18" s="219" t="s">
        <v>344</v>
      </c>
      <c r="C18" s="219"/>
      <c r="D18" s="220">
        <f>'SPA Optimizer'!F60</f>
        <v>768615.47000000009</v>
      </c>
      <c r="E18" s="220"/>
      <c r="F18" s="220"/>
      <c r="G18" s="220"/>
      <c r="H18" s="219" t="s">
        <v>345</v>
      </c>
      <c r="I18" s="219"/>
      <c r="J18" s="220">
        <f>'SPA Optimizer'!L60</f>
        <v>728880</v>
      </c>
      <c r="K18" s="220"/>
      <c r="L18" s="220"/>
      <c r="M18" s="220"/>
    </row>
    <row r="19" spans="2:13" ht="18" customHeight="1">
      <c r="B19" s="219" t="s">
        <v>346</v>
      </c>
      <c r="C19" s="219"/>
      <c r="D19" s="220">
        <f>'SPA Optimizer'!G60</f>
        <v>447499.92999999982</v>
      </c>
      <c r="E19" s="220"/>
      <c r="F19" s="220"/>
      <c r="G19" s="220"/>
      <c r="H19" s="219" t="s">
        <v>346</v>
      </c>
      <c r="I19" s="219"/>
      <c r="J19" s="220">
        <f>'SPA Optimizer'!L60-'SPA Optimizer'!X60</f>
        <v>493358.72250000003</v>
      </c>
      <c r="K19" s="220"/>
      <c r="L19" s="220"/>
      <c r="M19" s="220"/>
    </row>
    <row r="20" spans="2:13" ht="18" customHeight="1">
      <c r="B20" s="219" t="s">
        <v>347</v>
      </c>
      <c r="C20" s="219"/>
      <c r="D20" s="221">
        <f>'SPA Optimizer'!I60</f>
        <v>0.41778438313243943</v>
      </c>
      <c r="E20" s="221"/>
      <c r="F20" s="221"/>
      <c r="G20" s="221"/>
      <c r="H20" s="219" t="s">
        <v>347</v>
      </c>
      <c r="I20" s="219"/>
      <c r="J20" s="221">
        <f>'SPA Optimizer'!O60</f>
        <v>0.27218026286905939</v>
      </c>
      <c r="K20" s="221"/>
      <c r="L20" s="221"/>
      <c r="M20" s="221"/>
    </row>
    <row r="21" spans="2:13" ht="18" customHeight="1">
      <c r="B21" s="215" t="s">
        <v>348</v>
      </c>
      <c r="C21" s="215"/>
      <c r="D21" s="216">
        <f>'SPA Optimizer'!H60</f>
        <v>321115.54000000004</v>
      </c>
      <c r="E21" s="216"/>
      <c r="F21" s="216"/>
      <c r="G21" s="216"/>
      <c r="H21" s="215" t="s">
        <v>348</v>
      </c>
      <c r="I21" s="215"/>
      <c r="J21" s="216">
        <f>'SPA Optimizer'!X60</f>
        <v>235521.2775</v>
      </c>
      <c r="K21" s="216"/>
      <c r="L21" s="216"/>
      <c r="M21" s="216"/>
    </row>
    <row r="22" spans="2:13" ht="9.75" customHeight="1"/>
    <row r="23" spans="2:13" ht="24.75" customHeight="1">
      <c r="B23" s="100" t="s">
        <v>349</v>
      </c>
      <c r="C23" s="146" t="s">
        <v>350</v>
      </c>
      <c r="D23" s="217" t="str">
        <f>Assumptions!B12</f>
        <v>01/05/2026</v>
      </c>
      <c r="E23" s="217"/>
      <c r="F23" s="100" t="s">
        <v>351</v>
      </c>
      <c r="G23" s="217" t="str">
        <f>Assumptions!B13</f>
        <v>30/04/2027</v>
      </c>
      <c r="H23" s="217"/>
      <c r="J23" s="100" t="s">
        <v>352</v>
      </c>
      <c r="K23" s="218" t="s">
        <v>353</v>
      </c>
      <c r="L23" s="218"/>
      <c r="M23" s="218"/>
    </row>
    <row r="24" spans="2:13" ht="9.75" customHeight="1"/>
    <row r="25" spans="2:13" ht="24.75" customHeight="1">
      <c r="B25" s="209" t="s">
        <v>354</v>
      </c>
      <c r="C25" s="209"/>
      <c r="D25" s="209"/>
      <c r="E25" s="209"/>
      <c r="F25" s="209"/>
      <c r="G25" s="209"/>
      <c r="H25" s="209"/>
      <c r="I25" s="209"/>
      <c r="J25" s="209"/>
      <c r="K25" s="209"/>
      <c r="L25" s="209"/>
      <c r="M25" s="209"/>
    </row>
    <row r="26" spans="2:13" ht="36" customHeight="1">
      <c r="B26" s="210" t="str">
        <f>IFERROR("Special Pricing Agreement — "&amp;Assumptions!B9&amp;" | Market: "&amp;Assumptions!B10,"[Fill in justification]")&amp;CHAR(10)&amp;CHAR(10)&amp;"This SPA covers "&amp;COUNTA('SPA Optimizer'!A6:A58)&amp;" part lines with a total SPA revenue commitment of "&amp;TEXT('SPA Optimizer'!L60,"#,##0")&amp;" € vs a L12 baseline of "&amp;TEXT('SPA Optimizer'!F60,"#,##0")&amp;" €."&amp;CHAR(10)&amp;"Gross margin moves from "&amp;TEXT('SPA Optimizer'!I60,"0.0%")&amp;" (L12) to "&amp;TEXT('SPA Optimizer'!O60,"0.0%")&amp;" (SPA), with an IML sacrifice of "&amp;TEXT('SPA Optimizer'!Z60,"#,##0")&amp;" €."&amp;CHAR(10)&amp;CHAR(10)&amp;"Objective: defend genuine parts volume against IAM price competition. SPA pricing is conditional on volume commitments. Retention risk score: "&amp;Assumptions!B20&amp;"/5."</f>
        <v>Special Pricing Agreement — Distributor | Market: [Market]
This SPA covers 53 part lines with a total SPA revenue commitment of 728880,0 € vs a L12 baseline of 768615,470 €.
Gross margin moves from 42% (L12) to 27% (SPA), with an IML sacrifice of 37134,528 €.
Objective: defend genuine parts volume against IAM price competition. SPA pricing is conditional on volume commitments. Retention risk score: /5.</v>
      </c>
      <c r="C26" s="210"/>
      <c r="D26" s="210"/>
      <c r="E26" s="210"/>
      <c r="F26" s="210"/>
      <c r="G26" s="210"/>
      <c r="H26" s="210"/>
      <c r="I26" s="210"/>
      <c r="J26" s="210"/>
      <c r="K26" s="210"/>
      <c r="L26" s="210"/>
      <c r="M26" s="210"/>
    </row>
    <row r="27" spans="2:13" ht="36" customHeight="1">
      <c r="B27" s="210"/>
      <c r="C27" s="210"/>
      <c r="D27" s="210"/>
      <c r="E27" s="210"/>
      <c r="F27" s="210"/>
      <c r="G27" s="210"/>
      <c r="H27" s="210"/>
      <c r="I27" s="210"/>
      <c r="J27" s="210"/>
      <c r="K27" s="210"/>
      <c r="L27" s="210"/>
      <c r="M27" s="210"/>
    </row>
    <row r="28" spans="2:13" ht="36" customHeight="1">
      <c r="B28" s="210"/>
      <c r="C28" s="210"/>
      <c r="D28" s="210"/>
      <c r="E28" s="210"/>
      <c r="F28" s="210"/>
      <c r="G28" s="210"/>
      <c r="H28" s="210"/>
      <c r="I28" s="210"/>
      <c r="J28" s="210"/>
      <c r="K28" s="210"/>
      <c r="L28" s="210"/>
      <c r="M28" s="210"/>
    </row>
    <row r="29" spans="2:13" ht="36" customHeight="1">
      <c r="B29" s="210"/>
      <c r="C29" s="210"/>
      <c r="D29" s="210"/>
      <c r="E29" s="210"/>
      <c r="F29" s="210"/>
      <c r="G29" s="210"/>
      <c r="H29" s="210"/>
      <c r="I29" s="210"/>
      <c r="J29" s="210"/>
      <c r="K29" s="210"/>
      <c r="L29" s="210"/>
      <c r="M29" s="210"/>
    </row>
    <row r="30" spans="2:13" ht="9.75" customHeight="1"/>
    <row r="31" spans="2:13" ht="19.5" customHeight="1">
      <c r="L31" s="211" t="s">
        <v>355</v>
      </c>
      <c r="M31" s="211"/>
    </row>
    <row r="32" spans="2:13" ht="30" customHeight="1">
      <c r="B32" s="212" t="s">
        <v>356</v>
      </c>
      <c r="C32" s="212"/>
      <c r="D32" s="213" t="s">
        <v>357</v>
      </c>
      <c r="E32" s="213"/>
      <c r="F32" s="213" t="s">
        <v>358</v>
      </c>
      <c r="G32" s="213"/>
      <c r="H32" s="214" t="s">
        <v>359</v>
      </c>
      <c r="I32" s="214"/>
      <c r="J32" s="213" t="s">
        <v>360</v>
      </c>
      <c r="K32" s="213"/>
      <c r="L32" s="213"/>
      <c r="M32" s="213"/>
    </row>
    <row r="33" spans="2:13" ht="21" customHeight="1">
      <c r="B33" s="206"/>
      <c r="C33" s="206"/>
      <c r="D33" s="207" t="s">
        <v>361</v>
      </c>
      <c r="E33" s="207"/>
      <c r="F33" s="208" t="s">
        <v>362</v>
      </c>
      <c r="G33" s="208"/>
      <c r="H33" s="207" t="s">
        <v>363</v>
      </c>
      <c r="I33" s="207"/>
      <c r="J33" s="207" t="s">
        <v>364</v>
      </c>
      <c r="K33" s="207"/>
      <c r="L33" s="207"/>
      <c r="M33" s="207"/>
    </row>
    <row r="34" spans="2:13" ht="24.75" customHeight="1">
      <c r="B34" s="202" t="s">
        <v>365</v>
      </c>
      <c r="C34" s="202"/>
      <c r="D34" s="205">
        <f>'SPA Optimizer'!F60</f>
        <v>768615.47000000009</v>
      </c>
      <c r="E34" s="205"/>
      <c r="F34" s="204" t="s">
        <v>366</v>
      </c>
      <c r="G34" s="204"/>
      <c r="H34" s="205">
        <f>'SPA Optimizer'!L60</f>
        <v>728880</v>
      </c>
      <c r="I34" s="205"/>
      <c r="J34" s="205">
        <f>H34-D34</f>
        <v>-39735.470000000088</v>
      </c>
      <c r="K34" s="205"/>
      <c r="L34" s="205"/>
      <c r="M34" s="205"/>
    </row>
    <row r="35" spans="2:13" ht="24.75" customHeight="1">
      <c r="B35" s="202" t="s">
        <v>346</v>
      </c>
      <c r="C35" s="202"/>
      <c r="D35" s="205">
        <f>'SPA Optimizer'!G60</f>
        <v>447499.92999999982</v>
      </c>
      <c r="E35" s="205"/>
      <c r="F35" s="204" t="s">
        <v>366</v>
      </c>
      <c r="G35" s="204"/>
      <c r="H35" s="205">
        <f>D34-H36</f>
        <v>533094.19250000012</v>
      </c>
      <c r="I35" s="205"/>
      <c r="J35" s="205">
        <f>H35-D35</f>
        <v>85594.262500000303</v>
      </c>
      <c r="K35" s="205"/>
      <c r="L35" s="205"/>
      <c r="M35" s="205"/>
    </row>
    <row r="36" spans="2:13" ht="24.75" customHeight="1">
      <c r="B36" s="202" t="s">
        <v>348</v>
      </c>
      <c r="C36" s="202"/>
      <c r="D36" s="205">
        <f>'SPA Optimizer'!H60</f>
        <v>321115.54000000004</v>
      </c>
      <c r="E36" s="205"/>
      <c r="F36" s="204" t="s">
        <v>366</v>
      </c>
      <c r="G36" s="204"/>
      <c r="H36" s="205">
        <f>'SPA Optimizer'!X60</f>
        <v>235521.2775</v>
      </c>
      <c r="I36" s="205"/>
      <c r="J36" s="205">
        <f>H36-D36</f>
        <v>-85594.262500000041</v>
      </c>
      <c r="K36" s="205"/>
      <c r="L36" s="205"/>
      <c r="M36" s="205"/>
    </row>
    <row r="37" spans="2:13" ht="24.75" customHeight="1">
      <c r="B37" s="202" t="s">
        <v>347</v>
      </c>
      <c r="C37" s="202"/>
      <c r="D37" s="203">
        <f>'SPA Optimizer'!I60</f>
        <v>0.41778438313243943</v>
      </c>
      <c r="E37" s="203"/>
      <c r="F37" s="204" t="s">
        <v>366</v>
      </c>
      <c r="G37" s="204"/>
      <c r="H37" s="203">
        <f>'SPA Optimizer'!O60</f>
        <v>0.27218026286905939</v>
      </c>
      <c r="I37" s="203"/>
      <c r="J37" s="203">
        <f>'SPA Optimizer'!O60-'SPA Optimizer'!I60</f>
        <v>-0.14560412026338004</v>
      </c>
      <c r="K37" s="203"/>
      <c r="L37" s="203"/>
      <c r="M37" s="203"/>
    </row>
    <row r="38" spans="2:13" ht="9.75" customHeight="1"/>
    <row r="39" spans="2:13" ht="24.75" customHeight="1">
      <c r="J39" s="198" t="s">
        <v>367</v>
      </c>
      <c r="K39" s="198"/>
      <c r="L39" s="199" t="s">
        <v>368</v>
      </c>
      <c r="M39" s="199"/>
    </row>
    <row r="40" spans="2:13" ht="10.5" customHeight="1"/>
    <row r="41" spans="2:13" ht="27" customHeight="1">
      <c r="B41" s="200" t="s">
        <v>369</v>
      </c>
      <c r="C41" s="200"/>
      <c r="D41" s="200"/>
      <c r="E41" s="200"/>
      <c r="F41" s="200"/>
      <c r="G41" s="200"/>
      <c r="H41" s="200"/>
      <c r="I41" s="200"/>
      <c r="J41" s="200"/>
      <c r="K41" s="200"/>
      <c r="L41" s="200"/>
      <c r="M41" s="200"/>
    </row>
    <row r="42" spans="2:13" ht="85.5" customHeight="1">
      <c r="B42" s="201"/>
      <c r="C42" s="201"/>
      <c r="D42" s="201"/>
      <c r="E42" s="201"/>
      <c r="F42" s="201"/>
      <c r="G42" s="201"/>
      <c r="H42" s="201"/>
      <c r="I42" s="201"/>
      <c r="J42" s="201"/>
      <c r="K42" s="201"/>
      <c r="L42" s="201"/>
      <c r="M42" s="201"/>
    </row>
  </sheetData>
  <mergeCells count="86">
    <mergeCell ref="B1:I1"/>
    <mergeCell ref="J1:M1"/>
    <mergeCell ref="B2:D2"/>
    <mergeCell ref="E2:M2"/>
    <mergeCell ref="B3:D3"/>
    <mergeCell ref="E3:G3"/>
    <mergeCell ref="H3:J3"/>
    <mergeCell ref="K3:M3"/>
    <mergeCell ref="B4:D4"/>
    <mergeCell ref="E4:G4"/>
    <mergeCell ref="H4:J4"/>
    <mergeCell ref="K4:M4"/>
    <mergeCell ref="C5:D5"/>
    <mergeCell ref="F5:G5"/>
    <mergeCell ref="I5:J5"/>
    <mergeCell ref="L5:M5"/>
    <mergeCell ref="B7:I7"/>
    <mergeCell ref="B8:M8"/>
    <mergeCell ref="B10:M10"/>
    <mergeCell ref="C11:H11"/>
    <mergeCell ref="J11:M11"/>
    <mergeCell ref="C12:H12"/>
    <mergeCell ref="J12:M12"/>
    <mergeCell ref="B14:M14"/>
    <mergeCell ref="B15:G15"/>
    <mergeCell ref="H15:M15"/>
    <mergeCell ref="B16:G16"/>
    <mergeCell ref="H16:M16"/>
    <mergeCell ref="B17:G17"/>
    <mergeCell ref="H17:M17"/>
    <mergeCell ref="B18:C18"/>
    <mergeCell ref="D18:G18"/>
    <mergeCell ref="H18:I18"/>
    <mergeCell ref="J18:M18"/>
    <mergeCell ref="B19:C19"/>
    <mergeCell ref="D19:G19"/>
    <mergeCell ref="H19:I19"/>
    <mergeCell ref="J19:M19"/>
    <mergeCell ref="B20:C20"/>
    <mergeCell ref="D20:G20"/>
    <mergeCell ref="H20:I20"/>
    <mergeCell ref="J20:M20"/>
    <mergeCell ref="B21:C21"/>
    <mergeCell ref="D21:G21"/>
    <mergeCell ref="H21:I21"/>
    <mergeCell ref="J21:M21"/>
    <mergeCell ref="D23:E23"/>
    <mergeCell ref="G23:H23"/>
    <mergeCell ref="K23:M23"/>
    <mergeCell ref="B25:M25"/>
    <mergeCell ref="B26:M29"/>
    <mergeCell ref="L31:M31"/>
    <mergeCell ref="B32:C32"/>
    <mergeCell ref="D32:E32"/>
    <mergeCell ref="F32:G32"/>
    <mergeCell ref="H32:I32"/>
    <mergeCell ref="J32:M32"/>
    <mergeCell ref="B33:C33"/>
    <mergeCell ref="D33:E33"/>
    <mergeCell ref="F33:G33"/>
    <mergeCell ref="H33:I33"/>
    <mergeCell ref="J33:M33"/>
    <mergeCell ref="B34:C34"/>
    <mergeCell ref="D34:E34"/>
    <mergeCell ref="F34:G34"/>
    <mergeCell ref="H34:I34"/>
    <mergeCell ref="J34:M34"/>
    <mergeCell ref="B35:C35"/>
    <mergeCell ref="D35:E35"/>
    <mergeCell ref="F35:G35"/>
    <mergeCell ref="H35:I35"/>
    <mergeCell ref="J35:M35"/>
    <mergeCell ref="B36:C36"/>
    <mergeCell ref="D36:E36"/>
    <mergeCell ref="F36:G36"/>
    <mergeCell ref="H36:I36"/>
    <mergeCell ref="J36:M36"/>
    <mergeCell ref="J39:K39"/>
    <mergeCell ref="L39:M39"/>
    <mergeCell ref="B41:M41"/>
    <mergeCell ref="B42:M42"/>
    <mergeCell ref="B37:C37"/>
    <mergeCell ref="D37:E37"/>
    <mergeCell ref="F37:G37"/>
    <mergeCell ref="H37:I37"/>
    <mergeCell ref="J37:M3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Assumptions</vt:lpstr>
      <vt:lpstr>SPA Optimizer</vt:lpstr>
      <vt:lpstr>Customer View</vt:lpstr>
      <vt:lpstr>IML_IMIT Brief</vt:lpstr>
      <vt:lpstr>SPA Rationale</vt:lpstr>
      <vt:lpstr>Scenario Planner</vt:lpstr>
      <vt:lpstr>MD Approval Request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Jerome Van Der Pluym</cp:lastModifiedBy>
  <cp:revision>0</cp:revision>
  <dcterms:created xsi:type="dcterms:W3CDTF">2026-04-15T05:33:23Z</dcterms:created>
  <dcterms:modified xsi:type="dcterms:W3CDTF">2026-04-29T18:40:32Z</dcterms:modified>
  <dc:language>en-US</dc:language>
</cp:coreProperties>
</file>