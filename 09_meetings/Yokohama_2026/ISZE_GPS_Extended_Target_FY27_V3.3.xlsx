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500" firstSheet="0" activeTab="0" autoFilterDateGrouping="1"/>
  </bookViews>
  <sheets>
    <sheet xmlns:r="http://schemas.openxmlformats.org/officeDocument/2006/relationships" name="Dashboard (2)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Waterfall VP" sheetId="3" state="visible" r:id="rId3"/>
    <sheet xmlns:r="http://schemas.openxmlformats.org/officeDocument/2006/relationships" name="IUK" sheetId="4" state="visible" r:id="rId4"/>
    <sheet xmlns:r="http://schemas.openxmlformats.org/officeDocument/2006/relationships" name="UMI" sheetId="5" state="visible" r:id="rId5"/>
    <sheet xmlns:r="http://schemas.openxmlformats.org/officeDocument/2006/relationships" name="NORWAY" sheetId="6" state="visible" r:id="rId6"/>
    <sheet xmlns:r="http://schemas.openxmlformats.org/officeDocument/2006/relationships" name="SWEDEN" sheetId="7" state="visible" r:id="rId7"/>
    <sheet xmlns:r="http://schemas.openxmlformats.org/officeDocument/2006/relationships" name="HUNGARY" sheetId="8" state="visible" r:id="rId8"/>
    <sheet xmlns:r="http://schemas.openxmlformats.org/officeDocument/2006/relationships" name="FINLAND" sheetId="9" state="visible" r:id="rId9"/>
    <sheet xmlns:r="http://schemas.openxmlformats.org/officeDocument/2006/relationships" name="ROMANIA" sheetId="10" state="visible" r:id="rId10"/>
    <sheet xmlns:r="http://schemas.openxmlformats.org/officeDocument/2006/relationships" name="DENMARK" sheetId="11" state="visible" r:id="rId11"/>
    <sheet xmlns:r="http://schemas.openxmlformats.org/officeDocument/2006/relationships" name="ICELAND" sheetId="12" state="visible" r:id="rId12"/>
    <sheet xmlns:r="http://schemas.openxmlformats.org/officeDocument/2006/relationships" name="GERMANY" sheetId="13" state="visible" r:id="rId13"/>
    <sheet xmlns:r="http://schemas.openxmlformats.org/officeDocument/2006/relationships" name="BELGIUM" sheetId="14" state="visible" r:id="rId14"/>
    <sheet xmlns:r="http://schemas.openxmlformats.org/officeDocument/2006/relationships" name="PORTUGAL" sheetId="15" state="visible" r:id="rId15"/>
    <sheet xmlns:r="http://schemas.openxmlformats.org/officeDocument/2006/relationships" name="IRELAND" sheetId="16" state="visible" r:id="rId16"/>
    <sheet xmlns:r="http://schemas.openxmlformats.org/officeDocument/2006/relationships" name="GREECE" sheetId="17" state="visible" r:id="rId17"/>
    <sheet xmlns:r="http://schemas.openxmlformats.org/officeDocument/2006/relationships" name="CYPRUS" sheetId="18" state="visible" r:id="rId18"/>
    <sheet xmlns:r="http://schemas.openxmlformats.org/officeDocument/2006/relationships" name="MALTA" sheetId="19" state="visible" r:id="rId19"/>
    <sheet xmlns:r="http://schemas.openxmlformats.org/officeDocument/2006/relationships" name="Waterfall VP (original)" sheetId="20" state="visible" r:id="rId20"/>
    <sheet xmlns:r="http://schemas.openxmlformats.org/officeDocument/2006/relationships" name="Method" sheetId="21" state="visible" r:id="rId21"/>
  </sheets>
  <definedNames>
    <definedName name="_xlnm._FilterDatabase" localSheetId="1" hidden="1">'Dashboard'!$A$4:$W$4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_-* #,##0_-;\-* #,##0_-;_-* \-??_-;_-@_-"/>
    <numFmt numFmtId="166" formatCode="#,##0.0000"/>
    <numFmt numFmtId="167" formatCode="0.00\x"/>
    <numFmt numFmtId="168" formatCode="_-* #,##0.00\ &quot;€&quot;_-;\-* #,##0.00\ &quot;€&quot;_-;_-* &quot;-&quot;??\ &quot;€&quot;_-;_-@_-"/>
    <numFmt numFmtId="169" formatCode="_-* #,##0_-;\-* #,##0_-;_-* &quot;-&quot;??_-;_-@_-"/>
    <numFmt numFmtId="170" formatCode="_-* #,##0.00_-;\-* #,##0.00_-;_-* &quot;-&quot;??_-;_-@_-"/>
  </numFmts>
  <fonts count="23">
    <font>
      <name val="Calibri"/>
      <charset val="1"/>
      <family val="2"/>
      <color theme="1"/>
      <sz val="11"/>
    </font>
    <font>
      <name val="Calibri"/>
      <charset val="1"/>
      <family val="2"/>
      <b val="1"/>
      <color rgb="FF1F3864"/>
      <sz val="12"/>
    </font>
    <font>
      <name val="Calibri"/>
      <charset val="1"/>
      <family val="2"/>
      <i val="1"/>
      <color rgb="FF808080"/>
      <sz val="8"/>
    </font>
    <font>
      <name val="Cambria"/>
      <charset val="1"/>
      <b val="1"/>
      <color rgb="FFFFFFFF"/>
      <sz val="11"/>
    </font>
    <font>
      <name val="Cambria"/>
      <charset val="1"/>
      <sz val="11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sz val="10"/>
    </font>
    <font>
      <name val="Cambria"/>
      <charset val="1"/>
      <i val="1"/>
      <color rgb="FF808080"/>
      <sz val="11"/>
    </font>
    <font>
      <name val="Cambria"/>
      <charset val="1"/>
      <i val="1"/>
      <color rgb="FFC00000"/>
      <sz val="11"/>
    </font>
    <font>
      <name val="Calibri"/>
      <charset val="1"/>
      <family val="2"/>
      <b val="1"/>
      <color rgb="FF1F3864"/>
      <sz val="10"/>
    </font>
    <font>
      <name val="Meiryo UI"/>
      <charset val="1"/>
      <family val="2"/>
      <color theme="1"/>
      <sz val="11"/>
    </font>
    <font>
      <name val="Calibri"/>
      <charset val="1"/>
      <family val="2"/>
      <b val="1"/>
      <sz val="11"/>
    </font>
    <font>
      <name val="Cambria"/>
      <charset val="1"/>
      <b val="1"/>
      <sz val="11"/>
    </font>
    <font>
      <name val="Calibri"/>
      <charset val="1"/>
      <family val="2"/>
      <color theme="1"/>
      <sz val="11"/>
    </font>
    <font>
      <name val="Meiryo"/>
      <family val="2"/>
      <b val="1"/>
      <color rgb="FF1F3864"/>
      <sz val="11"/>
    </font>
    <font>
      <name val="Meiryo"/>
      <family val="2"/>
      <color theme="1"/>
      <sz val="11"/>
    </font>
    <font>
      <name val="Meiryo"/>
      <family val="2"/>
      <i val="1"/>
      <color rgb="FF808080"/>
      <sz val="11"/>
    </font>
    <font>
      <name val="Meiryo"/>
      <family val="2"/>
      <color rgb="FFFFFFFF"/>
      <sz val="11"/>
    </font>
    <font>
      <name val="Meiryo"/>
      <family val="2"/>
      <color theme="0"/>
      <sz val="11"/>
    </font>
    <font>
      <name val="Meiryo"/>
      <family val="2"/>
      <b val="1"/>
      <sz val="11"/>
    </font>
    <font>
      <b val="1"/>
    </font>
    <font>
      <color rgb="000000FF"/>
    </font>
    <font>
      <i val="1"/>
      <color rgb="00595959"/>
      <sz val="9"/>
    </font>
  </fonts>
  <fills count="24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D9D9"/>
        <bgColor rgb="FFDDEBF7"/>
      </patternFill>
    </fill>
    <fill>
      <patternFill patternType="solid">
        <fgColor rgb="FF375623"/>
        <bgColor rgb="FF333300"/>
      </patternFill>
    </fill>
    <fill>
      <patternFill patternType="solid">
        <fgColor rgb="FFFFD966"/>
        <bgColor rgb="FFFFEB9C"/>
      </patternFill>
    </fill>
    <fill>
      <patternFill patternType="solid">
        <fgColor rgb="FF92D050"/>
        <bgColor rgb="FF4FC3A1"/>
      </patternFill>
    </fill>
    <fill>
      <patternFill patternType="solid">
        <fgColor theme="0" tint="-0.0499893185216834"/>
        <bgColor rgb="FFEBF1DE"/>
      </patternFill>
    </fill>
    <fill>
      <patternFill patternType="solid">
        <fgColor theme="6" tint="0.7997985778374584"/>
        <bgColor rgb="FFF2F2F2"/>
      </patternFill>
    </fill>
    <fill>
      <patternFill patternType="solid">
        <fgColor theme="8" tint="0.3997924741355632"/>
        <bgColor rgb="FFB8D0ED"/>
      </patternFill>
    </fill>
    <fill>
      <patternFill patternType="solid">
        <fgColor rgb="FFFF0000"/>
        <bgColor rgb="FFC00000"/>
      </patternFill>
    </fill>
    <fill>
      <patternFill patternType="solid">
        <fgColor theme="3" tint="0.7497787408062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4FC3A1"/>
        <bgColor rgb="FF339966"/>
      </patternFill>
    </fill>
    <fill>
      <patternFill patternType="solid">
        <fgColor rgb="FFDDEBF7"/>
        <bgColor rgb="FFEBF1DE"/>
      </patternFill>
    </fill>
    <fill>
      <patternFill patternType="solid">
        <fgColor rgb="FFFFEB9C"/>
        <bgColor rgb="FFFFD966"/>
      </patternFill>
    </fill>
    <fill>
      <patternFill patternType="solid">
        <fgColor rgb="FFC6EFCE"/>
        <bgColor rgb="FFDDEBF7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1F3864"/>
      </patternFill>
    </fill>
    <fill>
      <patternFill patternType="solid">
        <fgColor rgb="FF1F3864"/>
        <bgColor indexed="64"/>
      </patternFill>
    </fill>
    <fill>
      <patternFill patternType="solid">
        <fgColor rgb="FFFFD966"/>
      </patternFill>
    </fill>
    <fill>
      <patternFill patternType="solid">
        <fgColor rgb="FF92D050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3" fillId="0" borderId="0"/>
    <xf numFmtId="168" fontId="13" fillId="0" borderId="0"/>
    <xf numFmtId="43" fontId="13" fillId="0" borderId="0"/>
    <xf numFmtId="9" fontId="13" fillId="0" borderId="0"/>
  </cellStyleXfs>
  <cellXfs count="1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5" fillId="2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3" fontId="0" fillId="5" borderId="0" pivotButton="0" quotePrefix="0" xfId="0"/>
    <xf numFmtId="3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3" fontId="4" fillId="0" borderId="1" applyAlignment="1" pivotButton="0" quotePrefix="0" xfId="0">
      <alignment wrapText="1"/>
    </xf>
    <xf numFmtId="3" fontId="4" fillId="0" borderId="0" applyAlignment="1" pivotButton="0" quotePrefix="0" xfId="0">
      <alignment wrapText="1"/>
    </xf>
    <xf numFmtId="0" fontId="7" fillId="0" borderId="1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vertical="top" wrapText="1"/>
    </xf>
    <xf numFmtId="0" fontId="4" fillId="0" borderId="1" pivotButton="0" quotePrefix="0" xfId="0"/>
    <xf numFmtId="3" fontId="6" fillId="6" borderId="0" pivotButton="0" quotePrefix="0" xfId="0"/>
    <xf numFmtId="3" fontId="4" fillId="0" borderId="1" pivotButton="0" quotePrefix="0" xfId="0"/>
    <xf numFmtId="3" fontId="4" fillId="0" borderId="0" pivotButton="0" quotePrefix="0" xfId="0"/>
    <xf numFmtId="164" fontId="4" fillId="0" borderId="0" pivotButton="0" quotePrefix="0" xfId="0"/>
    <xf numFmtId="0" fontId="8" fillId="0" borderId="1" pivotButton="0" quotePrefix="0" xfId="0"/>
    <xf numFmtId="0" fontId="8" fillId="0" borderId="0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164" fontId="6" fillId="0" borderId="0" pivotButton="0" quotePrefix="0" xfId="0"/>
    <xf numFmtId="3" fontId="0" fillId="6" borderId="0" pivotButton="0" quotePrefix="0" xfId="0"/>
    <xf numFmtId="0" fontId="9" fillId="0" borderId="0" pivotButton="0" quotePrefix="0" xfId="0"/>
    <xf numFmtId="165" fontId="10" fillId="0" borderId="0" pivotButton="0" quotePrefix="0" xfId="0"/>
    <xf numFmtId="0" fontId="10" fillId="7" borderId="0" pivotButton="0" quotePrefix="0" xfId="0"/>
    <xf numFmtId="165" fontId="10" fillId="8" borderId="0" applyAlignment="1" pivotButton="0" quotePrefix="0" xfId="0">
      <alignment horizontal="left" vertical="top"/>
    </xf>
    <xf numFmtId="0" fontId="10" fillId="9" borderId="0" applyAlignment="1" pivotButton="0" quotePrefix="0" xfId="0">
      <alignment horizontal="left" vertical="top"/>
    </xf>
    <xf numFmtId="165" fontId="10" fillId="7" borderId="0" pivotButton="0" quotePrefix="0" xfId="0"/>
    <xf numFmtId="0" fontId="10" fillId="1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 wrapText="1"/>
    </xf>
    <xf numFmtId="165" fontId="10" fillId="0" borderId="0" applyAlignment="1" pivotButton="0" quotePrefix="0" xfId="0">
      <alignment horizontal="left" vertical="top" wrapText="1"/>
    </xf>
    <xf numFmtId="0" fontId="10" fillId="11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left" vertical="top"/>
    </xf>
    <xf numFmtId="165" fontId="10" fillId="0" borderId="0" applyAlignment="1" pivotButton="0" quotePrefix="0" xfId="0">
      <alignment horizontal="left" vertical="top"/>
    </xf>
    <xf numFmtId="0" fontId="10" fillId="12" borderId="0" applyAlignment="1" pivotButton="0" quotePrefix="0" xfId="0">
      <alignment horizontal="left" vertical="top"/>
    </xf>
    <xf numFmtId="0" fontId="10" fillId="11" borderId="0" applyAlignment="1" pivotButton="0" quotePrefix="0" xfId="0">
      <alignment horizontal="left" vertical="top"/>
    </xf>
    <xf numFmtId="0" fontId="10" fillId="12" borderId="2" applyAlignment="1" pivotButton="0" quotePrefix="0" xfId="0">
      <alignment horizontal="left" vertical="top"/>
    </xf>
    <xf numFmtId="0" fontId="10" fillId="11" borderId="2" applyAlignment="1" pivotButton="0" quotePrefix="0" xfId="0">
      <alignment horizontal="left" vertical="top"/>
    </xf>
    <xf numFmtId="0" fontId="0" fillId="13" borderId="0" pivotButton="0" quotePrefix="0" xfId="0"/>
    <xf numFmtId="0" fontId="0" fillId="6" borderId="0" pivotButton="0" quotePrefix="0" xfId="0"/>
    <xf numFmtId="2" fontId="0" fillId="14" borderId="0" pivotButton="0" quotePrefix="0" xfId="0"/>
    <xf numFmtId="3" fontId="0" fillId="14" borderId="0" pivotButton="0" quotePrefix="0" xfId="0"/>
    <xf numFmtId="0" fontId="5" fillId="2" borderId="0" applyAlignment="1" pivotButton="0" quotePrefix="0" xfId="0">
      <alignment horizontal="center"/>
    </xf>
    <xf numFmtId="166" fontId="0" fillId="14" borderId="0" pivotButton="0" quotePrefix="0" xfId="0"/>
    <xf numFmtId="166" fontId="0" fillId="0" borderId="0" pivotButton="0" quotePrefix="0" xfId="0"/>
    <xf numFmtId="166" fontId="0" fillId="6" borderId="0" pivotButton="0" quotePrefix="0" xfId="0"/>
    <xf numFmtId="3" fontId="0" fillId="13" borderId="0" pivotButton="0" quotePrefix="0" xfId="0"/>
    <xf numFmtId="164" fontId="0" fillId="14" borderId="0" pivotButton="0" quotePrefix="0" xfId="0"/>
    <xf numFmtId="0" fontId="11" fillId="0" borderId="0" pivotButton="0" quotePrefix="0" xfId="0"/>
    <xf numFmtId="164" fontId="0" fillId="15" borderId="0" pivotButton="0" quotePrefix="0" xfId="0"/>
    <xf numFmtId="167" fontId="6" fillId="5" borderId="0" pivotButton="0" quotePrefix="0" xfId="0"/>
    <xf numFmtId="3" fontId="0" fillId="16" borderId="0" pivotButton="0" quotePrefix="0" xfId="0"/>
    <xf numFmtId="3" fontId="6" fillId="16" borderId="0" pivotButton="0" quotePrefix="0" xfId="0"/>
    <xf numFmtId="0" fontId="2" fillId="0" borderId="0" applyAlignment="1" pivotButton="0" quotePrefix="0" xfId="0">
      <alignment wrapText="1"/>
    </xf>
    <xf numFmtId="0" fontId="2" fillId="5" borderId="0" pivotButton="0" quotePrefix="0" xfId="0"/>
    <xf numFmtId="0" fontId="12" fillId="0" borderId="0" pivotButton="0" quotePrefix="0" xfId="0"/>
    <xf numFmtId="168" fontId="4" fillId="0" borderId="0" pivotButton="0" quotePrefix="0" xfId="1"/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5" fillId="17" borderId="0" pivotButton="0" quotePrefix="0" xfId="0"/>
    <xf numFmtId="0" fontId="15" fillId="18" borderId="0" pivotButton="0" quotePrefix="0" xfId="0"/>
    <xf numFmtId="0" fontId="17" fillId="19" borderId="3" applyAlignment="1" pivotButton="0" quotePrefix="0" xfId="0">
      <alignment horizontal="center" vertical="center" wrapText="1"/>
    </xf>
    <xf numFmtId="0" fontId="17" fillId="19" borderId="3" applyAlignment="1" pivotButton="0" quotePrefix="0" xfId="0">
      <alignment horizontal="left" vertical="center"/>
    </xf>
    <xf numFmtId="0" fontId="17" fillId="20" borderId="3" applyAlignment="1" pivotButton="0" quotePrefix="0" xfId="0">
      <alignment horizontal="center" vertical="center" wrapText="1"/>
    </xf>
    <xf numFmtId="0" fontId="18" fillId="20" borderId="3" applyAlignment="1" pivotButton="0" quotePrefix="0" xfId="0">
      <alignment horizontal="center" vertical="center" wrapText="1"/>
    </xf>
    <xf numFmtId="0" fontId="17" fillId="17" borderId="3" applyAlignment="1" pivotButton="0" quotePrefix="0" xfId="0">
      <alignment horizontal="left" vertical="center"/>
    </xf>
    <xf numFmtId="0" fontId="17" fillId="17" borderId="3" applyAlignment="1" pivotButton="0" quotePrefix="0" xfId="0">
      <alignment horizontal="center" vertical="center" wrapText="1"/>
    </xf>
    <xf numFmtId="0" fontId="18" fillId="17" borderId="3" applyAlignment="1" pivotButton="0" quotePrefix="0" xfId="0">
      <alignment horizontal="center" vertical="center" wrapText="1"/>
    </xf>
    <xf numFmtId="0" fontId="19" fillId="0" borderId="3" pivotButton="0" quotePrefix="0" xfId="0"/>
    <xf numFmtId="0" fontId="15" fillId="0" borderId="3" pivotButton="0" quotePrefix="0" xfId="0"/>
    <xf numFmtId="3" fontId="15" fillId="0" borderId="3" pivotButton="0" quotePrefix="0" xfId="0"/>
    <xf numFmtId="164" fontId="15" fillId="0" borderId="3" pivotButton="0" quotePrefix="0" xfId="0"/>
    <xf numFmtId="3" fontId="15" fillId="21" borderId="3" pivotButton="0" quotePrefix="0" xfId="0"/>
    <xf numFmtId="3" fontId="19" fillId="0" borderId="3" pivotButton="0" quotePrefix="0" xfId="0"/>
    <xf numFmtId="0" fontId="16" fillId="0" borderId="3" pivotButton="0" quotePrefix="0" xfId="0"/>
    <xf numFmtId="169" fontId="15" fillId="0" borderId="3" pivotButton="0" quotePrefix="0" xfId="2"/>
    <xf numFmtId="9" fontId="15" fillId="0" borderId="3" pivotButton="0" quotePrefix="0" xfId="3"/>
    <xf numFmtId="170" fontId="15" fillId="0" borderId="3" pivotButton="0" quotePrefix="0" xfId="0"/>
    <xf numFmtId="169" fontId="15" fillId="0" borderId="3" pivotButton="0" quotePrefix="0" xfId="0"/>
    <xf numFmtId="3" fontId="19" fillId="22" borderId="3" pivotButton="0" quotePrefix="0" xfId="0"/>
    <xf numFmtId="164" fontId="19" fillId="0" borderId="3" pivotButton="0" quotePrefix="0" xfId="0"/>
    <xf numFmtId="3" fontId="15" fillId="0" borderId="0" pivotButton="0" quotePrefix="0" xfId="0"/>
    <xf numFmtId="3" fontId="15" fillId="22" borderId="0" pivotButton="0" quotePrefix="0" xfId="0"/>
    <xf numFmtId="0" fontId="19" fillId="0" borderId="0" pivotButton="0" quotePrefix="0" xfId="0"/>
    <xf numFmtId="3" fontId="19" fillId="0" borderId="0" pivotButton="0" quotePrefix="0" xfId="0"/>
    <xf numFmtId="0" fontId="16" fillId="0" borderId="0" applyAlignment="1" pivotButton="0" quotePrefix="0" xfId="0">
      <alignment vertical="top" wrapText="1"/>
    </xf>
    <xf numFmtId="0" fontId="15" fillId="18" borderId="4" pivotButton="0" quotePrefix="0" xfId="0"/>
    <xf numFmtId="0" fontId="15" fillId="18" borderId="5" pivotButton="0" quotePrefix="0" xfId="0"/>
    <xf numFmtId="0" fontId="15" fillId="18" borderId="6" pivotButton="0" quotePrefix="0" xfId="0"/>
    <xf numFmtId="169" fontId="15" fillId="0" borderId="3" pivotButton="0" quotePrefix="0" xfId="3"/>
    <xf numFmtId="164" fontId="15" fillId="0" borderId="3" pivotButton="0" quotePrefix="0" xfId="3"/>
    <xf numFmtId="0" fontId="20" fillId="0" borderId="0" pivotButton="0" quotePrefix="0" xfId="0"/>
    <xf numFmtId="164" fontId="21" fillId="23" borderId="0" pivotButton="0" quotePrefix="0" xfId="0"/>
    <xf numFmtId="9" fontId="21" fillId="23" borderId="0" pivotButton="0" quotePrefix="0" xfId="0"/>
    <xf numFmtId="0" fontId="22" fillId="0" borderId="0" pivotButton="0" quotePrefix="0" xfId="0"/>
    <xf numFmtId="164" fontId="15" fillId="0" borderId="3" pivotButton="0" quotePrefix="0" xfId="0"/>
    <xf numFmtId="164" fontId="15" fillId="0" borderId="3" pivotButton="0" quotePrefix="0" xfId="3"/>
    <xf numFmtId="170" fontId="15" fillId="0" borderId="3" pivotButton="0" quotePrefix="0" xfId="0"/>
    <xf numFmtId="164" fontId="19" fillId="0" borderId="3" pivotButton="0" quotePrefix="0" xfId="0"/>
    <xf numFmtId="0" fontId="20" fillId="0" borderId="3" pivotButton="0" quotePrefix="0" xfId="0"/>
    <xf numFmtId="169" fontId="20" fillId="0" borderId="3" pivotButton="0" quotePrefix="0" xfId="2"/>
    <xf numFmtId="9" fontId="20" fillId="0" borderId="3" pivotButton="0" quotePrefix="0" xfId="3"/>
    <xf numFmtId="169" fontId="20" fillId="0" borderId="3" pivotButton="0" quotePrefix="0" xfId="0"/>
    <xf numFmtId="164" fontId="0" fillId="0" borderId="0" pivotButton="0" quotePrefix="0" xfId="0"/>
    <xf numFmtId="168" fontId="4" fillId="0" borderId="0" pivotButton="0" quotePrefix="0" xfId="1"/>
    <xf numFmtId="164" fontId="4" fillId="0" borderId="0" pivotButton="0" quotePrefix="0" xfId="0"/>
    <xf numFmtId="164" fontId="6" fillId="0" borderId="0" pivotButton="0" quotePrefix="0" xfId="0"/>
    <xf numFmtId="165" fontId="10" fillId="0" borderId="0" pivotButton="0" quotePrefix="0" xfId="0"/>
    <xf numFmtId="165" fontId="10" fillId="8" borderId="0" applyAlignment="1" pivotButton="0" quotePrefix="0" xfId="0">
      <alignment horizontal="left" vertical="top"/>
    </xf>
    <xf numFmtId="165" fontId="10" fillId="7" borderId="0" pivotButton="0" quotePrefix="0" xfId="0"/>
    <xf numFmtId="165" fontId="10" fillId="0" borderId="0" applyAlignment="1" pivotButton="0" quotePrefix="0" xfId="0">
      <alignment horizontal="left" vertical="top" wrapText="1"/>
    </xf>
    <xf numFmtId="165" fontId="10" fillId="0" borderId="0" applyAlignment="1" pivotButton="0" quotePrefix="0" xfId="0">
      <alignment horizontal="left" vertical="top"/>
    </xf>
    <xf numFmtId="3" fontId="13" fillId="14" borderId="0" pivotButton="0" quotePrefix="0" xfId="0"/>
    <xf numFmtId="3" fontId="13" fillId="0" borderId="0" pivotButton="0" quotePrefix="0" xfId="0"/>
    <xf numFmtId="166" fontId="21" fillId="14" borderId="0" pivotButton="0" quotePrefix="0" xfId="0"/>
    <xf numFmtId="166" fontId="0" fillId="0" borderId="0" pivotButton="0" quotePrefix="0" xfId="0"/>
    <xf numFmtId="166" fontId="0" fillId="6" borderId="0" pivotButton="0" quotePrefix="0" xfId="0"/>
    <xf numFmtId="166" fontId="13" fillId="6" borderId="0" pivotButton="0" quotePrefix="0" xfId="0"/>
    <xf numFmtId="164" fontId="0" fillId="14" borderId="0" pivotButton="0" quotePrefix="0" xfId="0"/>
    <xf numFmtId="164" fontId="0" fillId="15" borderId="0" pivotButton="0" quotePrefix="0" xfId="0"/>
    <xf numFmtId="167" fontId="6" fillId="5" borderId="0" pivotButton="0" quotePrefix="0" xfId="0"/>
    <xf numFmtId="166" fontId="0" fillId="14" borderId="0" pivotButton="0" quotePrefix="0" xfId="0"/>
    <xf numFmtId="166" fontId="21" fillId="0" borderId="0" pivotButton="0" quotePrefix="0" xfId="0"/>
  </cellXfs>
  <cellStyles count="4">
    <cellStyle name="Normal" xfId="0" builtinId="0"/>
    <cellStyle name="Currency" xfId="1" builtinId="4"/>
    <cellStyle name="Comma" xfId="2" builtinId="3"/>
    <cellStyle name="Percent" xfId="3" builtin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EBF1DE"/>
      <rgbColor rgb="FFDDEBF7"/>
      <rgbColor rgb="FF660066"/>
      <rgbColor rgb="FFFF8080"/>
      <rgbColor rgb="FF0066CC"/>
      <rgbColor rgb="FFB8D0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3CDDD"/>
      <rgbColor rgb="FFFF99CC"/>
      <rgbColor rgb="FFCC99FF"/>
      <rgbColor rgb="FFFFD966"/>
      <rgbColor rgb="FF3366FF"/>
      <rgbColor rgb="FF4FC3A1"/>
      <rgbColor rgb="FF92D05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6"/>
  <sheetViews>
    <sheetView showGridLines="0" tabSelected="1" topLeftCell="N1" zoomScale="60" zoomScaleNormal="60" workbookViewId="0">
      <selection activeCell="BO6" sqref="BO6:BR44"/>
    </sheetView>
  </sheetViews>
  <sheetFormatPr baseColWidth="8" defaultRowHeight="15" customHeight="1"/>
  <cols>
    <col width="13" customWidth="1" style="71" min="1" max="1"/>
    <col hidden="1" width="11" customWidth="1" style="71" min="2" max="2"/>
    <col hidden="1" width="14" customWidth="1" style="71" min="3" max="4"/>
    <col hidden="1" width="9" customWidth="1" style="71" min="5" max="6"/>
    <col hidden="1" width="12" customWidth="1" style="71" min="7" max="7"/>
    <col hidden="1" width="9" customWidth="1" style="71" min="8" max="8"/>
    <col hidden="1" width="15" customWidth="1" style="71" min="9" max="9"/>
    <col hidden="1" width="28.6328125" customWidth="1" style="71" min="10" max="10"/>
    <col width="8.7265625" customWidth="1" style="71" min="11" max="11"/>
    <col width="9.90625" bestFit="1" customWidth="1" style="71" min="12" max="12"/>
    <col width="12.6328125" customWidth="1" style="71" min="13" max="13"/>
    <col width="16.54296875" bestFit="1" customWidth="1" style="71" min="14" max="14"/>
    <col width="14.6328125" customWidth="1" style="71" min="15" max="15"/>
    <col width="15.08984375" customWidth="1" style="71" min="16" max="20"/>
    <col width="9.90625" bestFit="1" customWidth="1" style="71" min="21" max="22"/>
    <col width="13" customWidth="1" min="22" max="22"/>
    <col width="12.6328125" customWidth="1" style="71" min="23" max="23"/>
    <col width="16.54296875" bestFit="1" customWidth="1" style="71" min="24" max="24"/>
    <col width="15.7265625" customWidth="1" style="71" min="25" max="25"/>
    <col width="16.54296875" bestFit="1" customWidth="1" style="71" min="26" max="26"/>
    <col width="16.54296875" customWidth="1" style="71" min="27" max="30"/>
    <col width="13" customWidth="1" min="28" max="28"/>
    <col width="13" customWidth="1" min="29" max="29"/>
    <col width="13" customWidth="1" min="30" max="30"/>
    <col width="9.90625" bestFit="1" customWidth="1" style="71" min="31" max="32"/>
    <col width="13" customWidth="1" min="32" max="32"/>
    <col width="12.6328125" customWidth="1" style="71" min="33" max="33"/>
    <col width="16.54296875" bestFit="1" customWidth="1" style="71" min="34" max="34"/>
    <col width="15.7265625" customWidth="1" style="71" min="35" max="35"/>
    <col width="16.54296875" bestFit="1" customWidth="1" style="71" min="36" max="36"/>
    <col width="16.54296875" customWidth="1" style="71" min="37" max="40"/>
    <col width="13" customWidth="1" min="38" max="38"/>
    <col width="13" customWidth="1" min="39" max="39"/>
    <col width="13" customWidth="1" min="40" max="40"/>
    <col width="9.90625" bestFit="1" customWidth="1" style="71" min="41" max="42"/>
    <col width="13" customWidth="1" min="42" max="42"/>
    <col width="12.6328125" customWidth="1" style="71" min="43" max="43"/>
    <col width="16.54296875" bestFit="1" customWidth="1" style="71" min="44" max="44"/>
    <col width="15.7265625" customWidth="1" style="71" min="45" max="45"/>
    <col width="16.54296875" bestFit="1" customWidth="1" style="71" min="46" max="46"/>
    <col width="16.54296875" customWidth="1" style="71" min="47" max="50"/>
    <col width="13" customWidth="1" min="48" max="48"/>
    <col width="13" customWidth="1" min="49" max="49"/>
    <col width="13" customWidth="1" min="50" max="50"/>
    <col width="9.90625" bestFit="1" customWidth="1" style="71" min="51" max="52"/>
    <col width="13" customWidth="1" min="52" max="52"/>
    <col width="12.6328125" customWidth="1" style="71" min="53" max="53"/>
    <col width="16.54296875" bestFit="1" customWidth="1" style="71" min="54" max="54"/>
    <col width="15.7265625" customWidth="1" style="71" min="55" max="55"/>
    <col width="16.54296875" bestFit="1" customWidth="1" style="71" min="56" max="56"/>
    <col width="16.54296875" customWidth="1" style="71" min="57" max="60"/>
    <col width="13" customWidth="1" min="58" max="58"/>
    <col width="13" customWidth="1" min="59" max="59"/>
    <col width="13" customWidth="1" min="60" max="60"/>
    <col width="9.90625" bestFit="1" customWidth="1" style="71" min="61" max="62"/>
    <col width="13" customWidth="1" min="62" max="62"/>
    <col width="12.6328125" customWidth="1" style="71" min="63" max="63"/>
    <col width="16.54296875" bestFit="1" customWidth="1" style="71" min="64" max="64"/>
    <col width="15.7265625" customWidth="1" style="71" min="65" max="65"/>
    <col width="16.54296875" bestFit="1" customWidth="1" style="71" min="66" max="66"/>
    <col width="16.54296875" customWidth="1" style="71" min="67" max="70"/>
    <col width="13" customWidth="1" min="68" max="68"/>
    <col width="13" customWidth="1" min="69" max="69"/>
    <col width="13" customWidth="1" min="70" max="70"/>
    <col width="8.7265625" customWidth="1" style="71" min="71" max="16384"/>
  </cols>
  <sheetData>
    <row r="1" ht="15.75" customHeight="1">
      <c r="A1" s="70" t="inlineStr">
        <is>
          <t>ISZE — FY2027 GPS Extended Target</t>
        </is>
      </c>
      <c r="K1" s="105" t="inlineStr">
        <is>
          <t>GPS stretch FY27 (pt)</t>
        </is>
      </c>
      <c r="N1" s="106" t="n">
        <v>0.018</v>
      </c>
      <c r="O1" s="105" t="inlineStr">
        <is>
          <t>Share ceiling</t>
        </is>
      </c>
      <c r="Q1" s="107" t="n">
        <v>1</v>
      </c>
      <c r="R1" s="105" t="inlineStr">
        <is>
          <t>Price FY28-31 / yr</t>
        </is>
      </c>
      <c r="T1" s="106" t="n">
        <v>0.03</v>
      </c>
      <c r="V1" s="108" t="inlineStr">
        <is>
          <t>Blue/yellow = input. Stretch is capped per distributor so GPS share never passes the ceiling; a distributor already above it keeps its share flat (no stretch).</t>
        </is>
      </c>
    </row>
    <row r="2" ht="17.5" customHeight="1">
      <c r="A2" s="72" t="inlineStr">
        <is>
          <t>ISZE-&gt;DB level only. Stretch % lives on each DB tab. Everything here and on Waterfall VP is live. Dealer-level (DB-&gt;DLR) dropped — see WATCH.</t>
        </is>
      </c>
      <c r="K2" s="105" t="inlineStr">
        <is>
          <t>GPS stretch FY28-31 / yr (pt)</t>
        </is>
      </c>
      <c r="N2" s="106" t="n">
        <v>0.01</v>
      </c>
      <c r="V2" s="108" t="inlineStr">
        <is>
          <t>FY27 stretch must stay &gt;= ~1.1% to cover the EUR 952K the waterfall needs (Dashboard C25).</t>
        </is>
      </c>
    </row>
    <row r="3" ht="17.5" customHeight="1">
      <c r="K3" s="73" t="inlineStr">
        <is>
          <t>2025年度</t>
        </is>
      </c>
      <c r="L3" s="73" t="inlineStr">
        <is>
          <t>FY2026</t>
        </is>
      </c>
      <c r="M3" s="73" t="n"/>
      <c r="N3" s="73" t="n"/>
      <c r="O3" s="73" t="n"/>
      <c r="P3" s="73" t="n"/>
      <c r="Q3" s="73" t="n"/>
      <c r="R3" s="73" t="n"/>
      <c r="S3" s="73" t="n"/>
      <c r="T3" s="73" t="n"/>
      <c r="U3" s="74" t="inlineStr">
        <is>
          <t>2026年度</t>
        </is>
      </c>
      <c r="V3" s="74" t="inlineStr">
        <is>
          <t>FY2027</t>
        </is>
      </c>
      <c r="W3" s="74" t="n"/>
      <c r="X3" s="74" t="n"/>
      <c r="Y3" s="74" t="n"/>
      <c r="Z3" s="74" t="n"/>
      <c r="AA3" s="74" t="n"/>
      <c r="AB3" s="74" t="n"/>
      <c r="AC3" s="74" t="n"/>
      <c r="AD3" s="74" t="n"/>
      <c r="AE3" s="73" t="inlineStr">
        <is>
          <t>2027年度</t>
        </is>
      </c>
      <c r="AF3" s="73" t="inlineStr">
        <is>
          <t>FY2028</t>
        </is>
      </c>
      <c r="AG3" s="73" t="n"/>
      <c r="AH3" s="73" t="n"/>
      <c r="AI3" s="73" t="n"/>
      <c r="AJ3" s="73" t="n"/>
      <c r="AK3" s="73" t="n"/>
      <c r="AL3" s="73" t="n"/>
      <c r="AM3" s="73" t="n"/>
      <c r="AN3" s="73" t="n"/>
      <c r="AO3" s="74" t="inlineStr">
        <is>
          <t>2028年度</t>
        </is>
      </c>
      <c r="AP3" s="74" t="inlineStr">
        <is>
          <t>FY2029</t>
        </is>
      </c>
      <c r="AQ3" s="74" t="n"/>
      <c r="AR3" s="74" t="n"/>
      <c r="AS3" s="74" t="n"/>
      <c r="AT3" s="74" t="n"/>
      <c r="AU3" s="74" t="n"/>
      <c r="AV3" s="74" t="n"/>
      <c r="AW3" s="74" t="n"/>
      <c r="AX3" s="74" t="n"/>
      <c r="AY3" s="73" t="inlineStr">
        <is>
          <t>2029年度</t>
        </is>
      </c>
      <c r="AZ3" s="73" t="inlineStr">
        <is>
          <t>FY2030</t>
        </is>
      </c>
      <c r="BA3" s="73" t="n"/>
      <c r="BB3" s="73" t="n"/>
      <c r="BC3" s="73" t="n"/>
      <c r="BD3" s="73" t="n"/>
      <c r="BE3" s="73" t="n"/>
      <c r="BF3" s="73" t="n"/>
      <c r="BG3" s="73" t="n"/>
      <c r="BH3" s="73" t="n"/>
      <c r="BI3" s="100" t="inlineStr">
        <is>
          <t>2030年度</t>
        </is>
      </c>
      <c r="BJ3" s="101" t="inlineStr">
        <is>
          <t>FY2031</t>
        </is>
      </c>
      <c r="BK3" s="101" t="n"/>
      <c r="BL3" s="101" t="n"/>
      <c r="BM3" s="101" t="n"/>
      <c r="BN3" s="101" t="n"/>
      <c r="BO3" s="101" t="n"/>
      <c r="BP3" s="101" t="n"/>
      <c r="BQ3" s="101" t="n"/>
      <c r="BR3" s="102" t="n"/>
    </row>
    <row r="4" ht="52.5" customHeight="1">
      <c r="A4" s="75" t="inlineStr">
        <is>
          <t>DB</t>
        </is>
      </c>
      <c r="B4" s="75" t="inlineStr">
        <is>
          <t>Segment</t>
        </is>
      </c>
      <c r="C4" s="75" t="inlineStr">
        <is>
          <t>BP FY27</t>
        </is>
      </c>
      <c r="D4" s="75" t="inlineStr">
        <is>
          <t>Max spend</t>
        </is>
      </c>
      <c r="E4" s="75" t="inlineStr">
        <is>
          <t>GPS %</t>
        </is>
      </c>
      <c r="F4" s="75" t="inlineStr">
        <is>
          <t>Stretch%</t>
        </is>
      </c>
      <c r="G4" s="75" t="inlineStr">
        <is>
          <t>Stretch EUR</t>
        </is>
      </c>
      <c r="H4" s="75" t="inlineStr">
        <is>
          <t>New GPS</t>
        </is>
      </c>
      <c r="I4" s="75" t="inlineStr">
        <is>
          <t>EXT TARGET</t>
        </is>
      </c>
      <c r="J4" s="75" t="inlineStr">
        <is>
          <t>Note</t>
        </is>
      </c>
      <c r="K4" s="76" t="inlineStr">
        <is>
          <t>ISZE台当たり単価</t>
        </is>
      </c>
      <c r="L4" s="76" t="n"/>
      <c r="M4" s="77" t="inlineStr">
        <is>
          <t>UIO</t>
        </is>
      </c>
      <c r="N4" s="78" t="inlineStr">
        <is>
          <t>ISZE部品販売
ポテンシャル</t>
        </is>
      </c>
      <c r="O4" s="78" t="inlineStr">
        <is>
          <t>ISZE部品売上実績</t>
        </is>
      </c>
      <c r="P4" s="78" t="inlineStr">
        <is>
          <t>ISZE部品カバー率
(実績)</t>
        </is>
      </c>
      <c r="Q4" s="76" t="inlineStr">
        <is>
          <t>販社台当たり単価</t>
        </is>
      </c>
      <c r="R4" s="78" t="inlineStr">
        <is>
          <t>販社部品販売ポテンシャル</t>
        </is>
      </c>
      <c r="S4" s="78" t="inlineStr">
        <is>
          <t>販社部品販売
(実績)</t>
        </is>
      </c>
      <c r="T4" s="78" t="inlineStr">
        <is>
          <t>販社部品カバー率
(実績)</t>
        </is>
      </c>
      <c r="U4" s="79" t="inlineStr">
        <is>
          <t>ISZE台当たり単価</t>
        </is>
      </c>
      <c r="V4" s="79" t="n"/>
      <c r="W4" s="80" t="inlineStr">
        <is>
          <t>UIO</t>
        </is>
      </c>
      <c r="X4" s="81" t="inlineStr">
        <is>
          <t>ISZE 部品販売
ポテンシャル</t>
        </is>
      </c>
      <c r="Y4" s="81" t="inlineStr">
        <is>
          <t>ISZE 部品カバー率
(目標)</t>
        </is>
      </c>
      <c r="Z4" s="81" t="inlineStr">
        <is>
          <t>ISZE部品売上目標</t>
        </is>
      </c>
      <c r="AA4" s="81" t="inlineStr">
        <is>
          <t>販社台当たり単価</t>
        </is>
      </c>
      <c r="AB4" s="81" t="inlineStr">
        <is>
          <t>販社部品販売ポテンシャル</t>
        </is>
      </c>
      <c r="AC4" s="81" t="inlineStr">
        <is>
          <t>販社部品販売目標</t>
        </is>
      </c>
      <c r="AD4" s="81" t="inlineStr">
        <is>
          <t>販社部品カバー率(目標)</t>
        </is>
      </c>
      <c r="AE4" s="76" t="inlineStr">
        <is>
          <t>ISZE台当たり単価</t>
        </is>
      </c>
      <c r="AF4" s="76" t="n"/>
      <c r="AG4" s="77" t="inlineStr">
        <is>
          <t>UIO</t>
        </is>
      </c>
      <c r="AH4" s="78" t="inlineStr">
        <is>
          <t>ISZE 部品販売
ポテンシャル</t>
        </is>
      </c>
      <c r="AI4" s="78" t="inlineStr">
        <is>
          <t>ISZE 部品カバー率
(目標)</t>
        </is>
      </c>
      <c r="AJ4" s="78" t="inlineStr">
        <is>
          <t>ISZE部品売上目標</t>
        </is>
      </c>
      <c r="AK4" s="78" t="inlineStr">
        <is>
          <t>販社台当たり単価</t>
        </is>
      </c>
      <c r="AL4" s="78" t="inlineStr">
        <is>
          <t>販社部品販売ポテンシャル</t>
        </is>
      </c>
      <c r="AM4" s="78" t="inlineStr">
        <is>
          <t>販社部品販売目標</t>
        </is>
      </c>
      <c r="AN4" s="78" t="inlineStr">
        <is>
          <t>販社部品カバー率(目標)</t>
        </is>
      </c>
      <c r="AO4" s="79" t="inlineStr">
        <is>
          <t>ISZE台当たり単価</t>
        </is>
      </c>
      <c r="AP4" s="79" t="n"/>
      <c r="AQ4" s="80" t="inlineStr">
        <is>
          <t>UIO</t>
        </is>
      </c>
      <c r="AR4" s="81" t="inlineStr">
        <is>
          <t>ISZE 部品販売
ポテンシャル</t>
        </is>
      </c>
      <c r="AS4" s="81" t="inlineStr">
        <is>
          <t>ISZE 部品カバー率
(目標)</t>
        </is>
      </c>
      <c r="AT4" s="81" t="inlineStr">
        <is>
          <t>ISZE部品売上目標</t>
        </is>
      </c>
      <c r="AU4" s="81" t="inlineStr">
        <is>
          <t>販社台当たり単価</t>
        </is>
      </c>
      <c r="AV4" s="81" t="inlineStr">
        <is>
          <t>販社部品販売ポテンシャル</t>
        </is>
      </c>
      <c r="AW4" s="81" t="inlineStr">
        <is>
          <t>販社部品販売目標</t>
        </is>
      </c>
      <c r="AX4" s="81" t="inlineStr">
        <is>
          <t>販社部品カバー率(目標)</t>
        </is>
      </c>
      <c r="AY4" s="76" t="inlineStr">
        <is>
          <t>ISZE台当たり単価</t>
        </is>
      </c>
      <c r="AZ4" s="76" t="n"/>
      <c r="BA4" s="77" t="inlineStr">
        <is>
          <t>UIO</t>
        </is>
      </c>
      <c r="BB4" s="78" t="inlineStr">
        <is>
          <t>ISZE 部品販売
ポテンシャル</t>
        </is>
      </c>
      <c r="BC4" s="78" t="inlineStr">
        <is>
          <t>ISZE 部品カバー率
(目標)</t>
        </is>
      </c>
      <c r="BD4" s="78" t="inlineStr">
        <is>
          <t>ISZE部品売上目標</t>
        </is>
      </c>
      <c r="BE4" s="78" t="inlineStr">
        <is>
          <t>販社台当たり単価</t>
        </is>
      </c>
      <c r="BF4" s="78" t="inlineStr">
        <is>
          <t>販社部品販売ポテンシャル</t>
        </is>
      </c>
      <c r="BG4" s="78" t="inlineStr">
        <is>
          <t>販社部品販売目標</t>
        </is>
      </c>
      <c r="BH4" s="78" t="inlineStr">
        <is>
          <t>販社部品カバー率(目標)</t>
        </is>
      </c>
      <c r="BI4" s="79" t="inlineStr">
        <is>
          <t>ISZE台当たり単価</t>
        </is>
      </c>
      <c r="BJ4" s="79" t="n"/>
      <c r="BK4" s="80" t="inlineStr">
        <is>
          <t>UIO</t>
        </is>
      </c>
      <c r="BL4" s="81" t="inlineStr">
        <is>
          <t>ISZE 部品販売
ポテンシャル</t>
        </is>
      </c>
      <c r="BM4" s="81" t="inlineStr">
        <is>
          <t>ISZE 部品カバー率
(目標)</t>
        </is>
      </c>
      <c r="BN4" s="81" t="inlineStr">
        <is>
          <t>ISZE部品売上目標</t>
        </is>
      </c>
      <c r="BO4" s="81" t="inlineStr">
        <is>
          <t>販社台当たり単価</t>
        </is>
      </c>
      <c r="BP4" s="81" t="inlineStr">
        <is>
          <t>販社部品販売ポテンシャル</t>
        </is>
      </c>
      <c r="BQ4" s="81" t="inlineStr">
        <is>
          <t>販社部品販売目標</t>
        </is>
      </c>
      <c r="BR4" s="81" t="inlineStr">
        <is>
          <t>販社部品カバー率(目標)</t>
        </is>
      </c>
    </row>
    <row r="5" ht="52.5" customHeight="1">
      <c r="A5" s="75" t="n"/>
      <c r="B5" s="75" t="n"/>
      <c r="C5" s="75" t="n"/>
      <c r="D5" s="75" t="n"/>
      <c r="E5" s="75" t="n"/>
      <c r="F5" s="75" t="n"/>
      <c r="G5" s="75" t="n"/>
      <c r="H5" s="75" t="n"/>
      <c r="I5" s="75" t="n"/>
      <c r="J5" s="75" t="n"/>
      <c r="K5" s="76" t="inlineStr">
        <is>
          <t>ISZE Parts Sales per Unit</t>
        </is>
      </c>
      <c r="L5" s="76" t="n"/>
      <c r="M5" s="77" t="n"/>
      <c r="N5" s="78" t="inlineStr">
        <is>
          <t>ISZE Parts Sles Potential</t>
        </is>
      </c>
      <c r="O5" s="78" t="inlineStr">
        <is>
          <t>ISZE Parts Sales Actual</t>
        </is>
      </c>
      <c r="P5" s="78" t="inlineStr">
        <is>
          <t>ISZE Share Actual</t>
        </is>
      </c>
      <c r="Q5" s="78" t="inlineStr">
        <is>
          <t>Distributor's Parts Sales per Unit</t>
        </is>
      </c>
      <c r="R5" s="78" t="inlineStr">
        <is>
          <t>Distributor's Parts Sales Potential</t>
        </is>
      </c>
      <c r="S5" s="78" t="inlineStr">
        <is>
          <t>Distributor Parts Sales Actual</t>
        </is>
      </c>
      <c r="T5" s="78" t="inlineStr">
        <is>
          <t>Dist Parts Share Actual</t>
        </is>
      </c>
      <c r="U5" s="79" t="inlineStr">
        <is>
          <t>ISZE Parts Sales per Unit</t>
        </is>
      </c>
      <c r="V5" s="79" t="n"/>
      <c r="W5" s="80" t="n"/>
      <c r="X5" s="81" t="inlineStr">
        <is>
          <t>ISZE Parts Sles Potential</t>
        </is>
      </c>
      <c r="Y5" s="81" t="inlineStr">
        <is>
          <t>ISZE Target Share</t>
        </is>
      </c>
      <c r="Z5" s="81" t="inlineStr">
        <is>
          <t>ISZE Parts Sales Target</t>
        </is>
      </c>
      <c r="AA5" s="81" t="inlineStr">
        <is>
          <t>Distributor's Parts Sales per Unit</t>
        </is>
      </c>
      <c r="AB5" s="81" t="inlineStr">
        <is>
          <t>Distributor's Parts Sales Potential</t>
        </is>
      </c>
      <c r="AC5" s="81" t="inlineStr">
        <is>
          <t>Distributor Parts Sales Target</t>
        </is>
      </c>
      <c r="AD5" s="81" t="inlineStr">
        <is>
          <t>Distributor Parts Share target</t>
        </is>
      </c>
      <c r="AE5" s="76" t="inlineStr">
        <is>
          <t>ISZE Parts Sales per Unit</t>
        </is>
      </c>
      <c r="AF5" s="76" t="n"/>
      <c r="AG5" s="77" t="n"/>
      <c r="AH5" s="78" t="inlineStr">
        <is>
          <t>ISZE Parts Sles Potential</t>
        </is>
      </c>
      <c r="AI5" s="78" t="inlineStr">
        <is>
          <t>ISZE Target Share</t>
        </is>
      </c>
      <c r="AJ5" s="78" t="inlineStr">
        <is>
          <t>ISZE Parts Sales Target</t>
        </is>
      </c>
      <c r="AK5" s="78" t="inlineStr">
        <is>
          <t>Distributor's Parts Sales per Unit</t>
        </is>
      </c>
      <c r="AL5" s="78" t="inlineStr">
        <is>
          <t>Distributor's Parts Sales Potential</t>
        </is>
      </c>
      <c r="AM5" s="78" t="inlineStr">
        <is>
          <t>Distributor Parts Sales Target</t>
        </is>
      </c>
      <c r="AN5" s="78" t="inlineStr">
        <is>
          <t>Distributor Parts Share target</t>
        </is>
      </c>
      <c r="AO5" s="79" t="inlineStr">
        <is>
          <t>ISZE Parts Sales per Unit</t>
        </is>
      </c>
      <c r="AP5" s="79" t="n"/>
      <c r="AQ5" s="80" t="n"/>
      <c r="AR5" s="81" t="inlineStr">
        <is>
          <t>ISZE Parts Sles Potential</t>
        </is>
      </c>
      <c r="AS5" s="81" t="inlineStr">
        <is>
          <t>ISZE Target Share</t>
        </is>
      </c>
      <c r="AT5" s="81" t="inlineStr">
        <is>
          <t>ISZE Parts Sales Target</t>
        </is>
      </c>
      <c r="AU5" s="81" t="inlineStr">
        <is>
          <t>Distributor's Parts Sales per Unit</t>
        </is>
      </c>
      <c r="AV5" s="81" t="inlineStr">
        <is>
          <t>Distributor's Parts Sales Potential</t>
        </is>
      </c>
      <c r="AW5" s="81" t="inlineStr">
        <is>
          <t>Distributor Parts Sales Target</t>
        </is>
      </c>
      <c r="AX5" s="81" t="inlineStr">
        <is>
          <t>Distributor Parts Share target</t>
        </is>
      </c>
      <c r="AY5" s="76" t="inlineStr">
        <is>
          <t>ISZE Parts Sales per Unit</t>
        </is>
      </c>
      <c r="AZ5" s="76" t="n"/>
      <c r="BA5" s="77" t="n"/>
      <c r="BB5" s="78" t="inlineStr">
        <is>
          <t>ISZE Parts Sles Potential</t>
        </is>
      </c>
      <c r="BC5" s="78" t="inlineStr">
        <is>
          <t>ISZE Target Share</t>
        </is>
      </c>
      <c r="BD5" s="78" t="inlineStr">
        <is>
          <t>ISZE Parts Sales Target</t>
        </is>
      </c>
      <c r="BE5" s="78" t="inlineStr">
        <is>
          <t>Distributor's Parts Sales per Unit</t>
        </is>
      </c>
      <c r="BF5" s="78" t="inlineStr">
        <is>
          <t>Distributor's Parts Sales Potential</t>
        </is>
      </c>
      <c r="BG5" s="78" t="inlineStr">
        <is>
          <t>Distributor Parts Sales Target</t>
        </is>
      </c>
      <c r="BH5" s="78" t="inlineStr">
        <is>
          <t>Distributor Parts Share target</t>
        </is>
      </c>
      <c r="BI5" s="79" t="inlineStr">
        <is>
          <t>ISZE Parts Sales per Unit</t>
        </is>
      </c>
      <c r="BJ5" s="79" t="n"/>
      <c r="BK5" s="80" t="n"/>
      <c r="BL5" s="81" t="inlineStr">
        <is>
          <t>ISZE Parts Sles Potential</t>
        </is>
      </c>
      <c r="BM5" s="81" t="inlineStr">
        <is>
          <t>ISZE Target Share</t>
        </is>
      </c>
      <c r="BN5" s="81" t="inlineStr">
        <is>
          <t>ISZE Parts Sales Target</t>
        </is>
      </c>
      <c r="BO5" s="81" t="inlineStr">
        <is>
          <t>Distributor's Parts Sales per Unit</t>
        </is>
      </c>
      <c r="BP5" s="81" t="inlineStr">
        <is>
          <t>Distributor's Parts Sales Potential</t>
        </is>
      </c>
      <c r="BQ5" s="81" t="inlineStr">
        <is>
          <t>Distributor Parts Sales Target</t>
        </is>
      </c>
      <c r="BR5" s="81" t="inlineStr">
        <is>
          <t>Distributor Parts Share target</t>
        </is>
      </c>
    </row>
    <row r="6" ht="17.5" customHeight="1">
      <c r="A6" s="82" t="inlineStr">
        <is>
          <t>ITUK</t>
        </is>
      </c>
      <c r="B6" s="83" t="inlineStr">
        <is>
          <t>presented</t>
        </is>
      </c>
      <c r="C6" s="84">
        <f>Dashboard!C5</f>
        <v/>
      </c>
      <c r="D6" s="84">
        <f>Dashboard!D5</f>
        <v/>
      </c>
      <c r="E6" s="109">
        <f>Dashboard!E5</f>
        <v/>
      </c>
      <c r="F6" s="83">
        <f>Dashboard!F5</f>
        <v/>
      </c>
      <c r="G6" s="86">
        <f>Dashboard!G5</f>
        <v/>
      </c>
      <c r="H6" s="83">
        <f>Dashboard!H5</f>
        <v/>
      </c>
      <c r="I6" s="87">
        <f>Dashboard!I5</f>
        <v/>
      </c>
      <c r="J6" s="88" t="inlineStr">
        <is>
          <t>V4 basis (CY2027F, no +5%) — NOT rebased</t>
        </is>
      </c>
      <c r="K6" s="83" t="inlineStr">
        <is>
          <t>N35</t>
        </is>
      </c>
      <c r="L6" s="89" t="n">
        <v>281.6</v>
      </c>
      <c r="M6" s="89" t="n">
        <v>11444</v>
      </c>
      <c r="N6" s="89">
        <f>L6*M6</f>
        <v/>
      </c>
      <c r="O6" s="83" t="n"/>
      <c r="P6" s="83" t="n"/>
      <c r="Q6" s="83">
        <f>400*1.12</f>
        <v/>
      </c>
      <c r="R6" s="92">
        <f>Q6*M6</f>
        <v/>
      </c>
      <c r="S6" s="92" t="n"/>
      <c r="T6" s="83" t="n"/>
      <c r="U6" s="83" t="inlineStr">
        <is>
          <t>N35</t>
        </is>
      </c>
      <c r="V6" s="89" t="n">
        <v>295.68</v>
      </c>
      <c r="W6" s="89" t="n">
        <v>12345</v>
      </c>
      <c r="X6" s="89">
        <f>V6*W6</f>
        <v/>
      </c>
      <c r="Y6" s="83" t="n"/>
      <c r="Z6" s="83" t="n"/>
      <c r="AA6" s="83">
        <f>400*1.12*1.03</f>
        <v/>
      </c>
      <c r="AB6" s="92">
        <f>AA6*W6</f>
        <v/>
      </c>
      <c r="AC6" s="83" t="n"/>
      <c r="AD6" s="83" t="n"/>
      <c r="AE6" s="83" t="inlineStr">
        <is>
          <t>N35</t>
        </is>
      </c>
      <c r="AF6" s="89">
        <f>V6*(1+'Dashboard (2)'!$T$1)</f>
        <v/>
      </c>
      <c r="AG6" s="89">
        <f>ROUND(24336*($W$6/($W$6+$W$7)),0)</f>
        <v/>
      </c>
      <c r="AH6" s="89">
        <f>AF6*AG6</f>
        <v/>
      </c>
      <c r="AI6" s="83" t="n"/>
      <c r="AJ6" s="83" t="n"/>
      <c r="AK6" s="83">
        <f>AA6*(1+'Dashboard (2)'!$T$1)</f>
        <v/>
      </c>
      <c r="AL6" s="92">
        <f>AK6*AG6</f>
        <v/>
      </c>
      <c r="AM6" s="83" t="n"/>
      <c r="AN6" s="83" t="n"/>
      <c r="AO6" s="83" t="inlineStr">
        <is>
          <t>N35</t>
        </is>
      </c>
      <c r="AP6" s="89">
        <f>AF6*(1+'Dashboard (2)'!$T$1)</f>
        <v/>
      </c>
      <c r="AQ6" s="89">
        <f>ROUND(25294*($W$6/($W$6+$W$7)),0)</f>
        <v/>
      </c>
      <c r="AR6" s="89">
        <f>AP6*AQ6</f>
        <v/>
      </c>
      <c r="AS6" s="83" t="n"/>
      <c r="AT6" s="83" t="n"/>
      <c r="AU6" s="83">
        <f>AK6*(1+'Dashboard (2)'!$T$1)</f>
        <v/>
      </c>
      <c r="AV6" s="92">
        <f>AU6*AQ6</f>
        <v/>
      </c>
      <c r="AW6" s="83" t="n"/>
      <c r="AX6" s="83" t="n"/>
      <c r="AY6" s="83" t="inlineStr">
        <is>
          <t>N35</t>
        </is>
      </c>
      <c r="AZ6" s="89">
        <f>AP6*(1+'Dashboard (2)'!$T$1)</f>
        <v/>
      </c>
      <c r="BA6" s="89">
        <f>ROUND(26146*($W$6/($W$6+$W$7)),0)</f>
        <v/>
      </c>
      <c r="BB6" s="89">
        <f>AZ6*BA6</f>
        <v/>
      </c>
      <c r="BC6" s="83" t="n"/>
      <c r="BD6" s="83" t="n"/>
      <c r="BE6" s="83">
        <f>AU6*(1+'Dashboard (2)'!$T$1)</f>
        <v/>
      </c>
      <c r="BF6" s="92">
        <f>BE6*BA6</f>
        <v/>
      </c>
      <c r="BG6" s="83" t="n"/>
      <c r="BH6" s="83" t="n"/>
      <c r="BI6" s="83" t="inlineStr">
        <is>
          <t>N35</t>
        </is>
      </c>
      <c r="BJ6" s="89">
        <f>AZ6*(1+'Dashboard (2)'!$T$1)</f>
        <v/>
      </c>
      <c r="BK6" s="89">
        <f>ROUND(26923*($W$6/($W$6+$W$7)),0)</f>
        <v/>
      </c>
      <c r="BL6" s="89">
        <f>BJ6*BK6</f>
        <v/>
      </c>
      <c r="BM6" s="83" t="n"/>
      <c r="BN6" s="83" t="n"/>
      <c r="BO6" s="83">
        <f>BE6*(1+'Dashboard (2)'!$T$1)</f>
        <v/>
      </c>
      <c r="BP6" s="92">
        <f>BO6*BK6</f>
        <v/>
      </c>
      <c r="BQ6" s="83" t="n"/>
      <c r="BR6" s="83" t="n"/>
    </row>
    <row r="7" ht="17.5" customHeight="1">
      <c r="A7" s="82" t="n"/>
      <c r="B7" s="83" t="n"/>
      <c r="C7" s="84" t="n"/>
      <c r="D7" s="84" t="n"/>
      <c r="E7" s="109" t="n"/>
      <c r="F7" s="83" t="n"/>
      <c r="G7" s="86" t="n"/>
      <c r="H7" s="83" t="n"/>
      <c r="I7" s="87" t="n"/>
      <c r="J7" s="88" t="n"/>
      <c r="K7" s="83" t="inlineStr">
        <is>
          <t>N75</t>
        </is>
      </c>
      <c r="L7" s="89" t="n">
        <v>704</v>
      </c>
      <c r="M7" s="89" t="n">
        <v>10747</v>
      </c>
      <c r="N7" s="89">
        <f>L7*M7</f>
        <v/>
      </c>
      <c r="O7" s="83" t="n"/>
      <c r="P7" s="83" t="n"/>
      <c r="Q7" s="83">
        <f>1000*1.12</f>
        <v/>
      </c>
      <c r="R7" s="92">
        <f>Q7*M7</f>
        <v/>
      </c>
      <c r="S7" s="92" t="n"/>
      <c r="T7" s="83" t="n"/>
      <c r="U7" s="83" t="inlineStr">
        <is>
          <t>N75</t>
        </is>
      </c>
      <c r="V7" s="89" t="n">
        <v>739.2</v>
      </c>
      <c r="W7" s="89" t="n">
        <v>10865</v>
      </c>
      <c r="X7" s="89">
        <f>V7*W7</f>
        <v/>
      </c>
      <c r="Y7" s="83" t="n"/>
      <c r="Z7" s="83" t="n"/>
      <c r="AA7" s="83">
        <f>1000*1.12*1.03</f>
        <v/>
      </c>
      <c r="AB7" s="92">
        <f>AA7*W7</f>
        <v/>
      </c>
      <c r="AC7" s="83" t="n"/>
      <c r="AD7" s="83" t="n"/>
      <c r="AE7" s="83" t="inlineStr">
        <is>
          <t>N75</t>
        </is>
      </c>
      <c r="AF7" s="89">
        <f>V7*(1+'Dashboard (2)'!$T$1)</f>
        <v/>
      </c>
      <c r="AG7" s="89">
        <f>24336-AG6</f>
        <v/>
      </c>
      <c r="AH7" s="89">
        <f>AF7*AG7</f>
        <v/>
      </c>
      <c r="AI7" s="83" t="n"/>
      <c r="AJ7" s="83" t="n"/>
      <c r="AK7" s="83">
        <f>AA7*(1+'Dashboard (2)'!$T$1)</f>
        <v/>
      </c>
      <c r="AL7" s="92">
        <f>AK7*AG7</f>
        <v/>
      </c>
      <c r="AM7" s="83" t="n"/>
      <c r="AN7" s="83" t="n"/>
      <c r="AO7" s="83" t="inlineStr">
        <is>
          <t>N75</t>
        </is>
      </c>
      <c r="AP7" s="89">
        <f>AF7*(1+'Dashboard (2)'!$T$1)</f>
        <v/>
      </c>
      <c r="AQ7" s="89">
        <f>25294-AQ6</f>
        <v/>
      </c>
      <c r="AR7" s="89">
        <f>AP7*AQ7</f>
        <v/>
      </c>
      <c r="AS7" s="83" t="n"/>
      <c r="AT7" s="83" t="n"/>
      <c r="AU7" s="83">
        <f>AK7*(1+'Dashboard (2)'!$T$1)</f>
        <v/>
      </c>
      <c r="AV7" s="92">
        <f>AU7*AQ7</f>
        <v/>
      </c>
      <c r="AW7" s="83" t="n"/>
      <c r="AX7" s="83" t="n"/>
      <c r="AY7" s="83" t="inlineStr">
        <is>
          <t>N75</t>
        </is>
      </c>
      <c r="AZ7" s="89">
        <f>AP7*(1+'Dashboard (2)'!$T$1)</f>
        <v/>
      </c>
      <c r="BA7" s="89">
        <f>26146-BA6</f>
        <v/>
      </c>
      <c r="BB7" s="89">
        <f>AZ7*BA7</f>
        <v/>
      </c>
      <c r="BC7" s="83" t="n"/>
      <c r="BD7" s="83" t="n"/>
      <c r="BE7" s="83">
        <f>AU7*(1+'Dashboard (2)'!$T$1)</f>
        <v/>
      </c>
      <c r="BF7" s="92">
        <f>BE7*BA7</f>
        <v/>
      </c>
      <c r="BG7" s="83" t="n"/>
      <c r="BH7" s="83" t="n"/>
      <c r="BI7" s="83" t="inlineStr">
        <is>
          <t>N75</t>
        </is>
      </c>
      <c r="BJ7" s="89">
        <f>AZ7*(1+'Dashboard (2)'!$T$1)</f>
        <v/>
      </c>
      <c r="BK7" s="89">
        <f>26923-BK6</f>
        <v/>
      </c>
      <c r="BL7" s="89">
        <f>BJ7*BK7</f>
        <v/>
      </c>
      <c r="BM7" s="83" t="n"/>
      <c r="BN7" s="83" t="n"/>
      <c r="BO7" s="83">
        <f>BE7*(1+'Dashboard (2)'!$T$1)</f>
        <v/>
      </c>
      <c r="BP7" s="92">
        <f>BO7*BK7</f>
        <v/>
      </c>
      <c r="BQ7" s="83" t="n"/>
      <c r="BR7" s="83" t="n"/>
    </row>
    <row r="8" ht="17.5" customHeight="1">
      <c r="A8" s="82" t="n"/>
      <c r="B8" s="83" t="n"/>
      <c r="C8" s="84" t="n"/>
      <c r="D8" s="84" t="n"/>
      <c r="E8" s="109" t="n"/>
      <c r="F8" s="83" t="n"/>
      <c r="G8" s="86" t="n"/>
      <c r="H8" s="83" t="n"/>
      <c r="I8" s="87" t="n"/>
      <c r="J8" s="88" t="n"/>
      <c r="K8" s="83" t="inlineStr">
        <is>
          <t>F</t>
        </is>
      </c>
      <c r="L8" s="89" t="n">
        <v>844.8000000000001</v>
      </c>
      <c r="M8" s="89" t="n">
        <v>877</v>
      </c>
      <c r="N8" s="89">
        <f>L8*M8</f>
        <v/>
      </c>
      <c r="O8" s="83" t="n"/>
      <c r="P8" s="83" t="n"/>
      <c r="Q8" s="83">
        <f>1200*1.12</f>
        <v/>
      </c>
      <c r="R8" s="92">
        <f>Q8*M8</f>
        <v/>
      </c>
      <c r="S8" s="92" t="n"/>
      <c r="T8" s="83" t="n"/>
      <c r="U8" s="83" t="inlineStr">
        <is>
          <t>F</t>
        </is>
      </c>
      <c r="V8" s="89" t="n">
        <v>887.0400000000001</v>
      </c>
      <c r="W8" s="89" t="n">
        <v>963</v>
      </c>
      <c r="X8" s="89">
        <f>V8*W8</f>
        <v/>
      </c>
      <c r="Y8" s="83" t="n"/>
      <c r="Z8" s="83" t="n"/>
      <c r="AA8" s="83">
        <f>1200*1.12*1.03</f>
        <v/>
      </c>
      <c r="AB8" s="92">
        <f>AA8*W8</f>
        <v/>
      </c>
      <c r="AC8" s="83" t="n"/>
      <c r="AD8" s="83" t="n"/>
      <c r="AE8" s="83" t="inlineStr">
        <is>
          <t>F</t>
        </is>
      </c>
      <c r="AF8" s="89">
        <f>V8*(1+'Dashboard (2)'!$T$1)</f>
        <v/>
      </c>
      <c r="AG8" s="89" t="n">
        <v>1055</v>
      </c>
      <c r="AH8" s="89">
        <f>AF8*AG8</f>
        <v/>
      </c>
      <c r="AI8" s="83" t="n"/>
      <c r="AJ8" s="83" t="n"/>
      <c r="AK8" s="83">
        <f>AA8*(1+'Dashboard (2)'!$T$1)</f>
        <v/>
      </c>
      <c r="AL8" s="92">
        <f>AK8*AG8</f>
        <v/>
      </c>
      <c r="AM8" s="83" t="n"/>
      <c r="AN8" s="83" t="n"/>
      <c r="AO8" s="83" t="inlineStr">
        <is>
          <t>F</t>
        </is>
      </c>
      <c r="AP8" s="89">
        <f>AF8*(1+'Dashboard (2)'!$T$1)</f>
        <v/>
      </c>
      <c r="AQ8" s="89" t="n">
        <v>1141</v>
      </c>
      <c r="AR8" s="89">
        <f>AP8*AQ8</f>
        <v/>
      </c>
      <c r="AS8" s="83" t="n"/>
      <c r="AT8" s="83" t="n"/>
      <c r="AU8" s="83">
        <f>AK8*(1+'Dashboard (2)'!$T$1)</f>
        <v/>
      </c>
      <c r="AV8" s="92">
        <f>AU8*AQ8</f>
        <v/>
      </c>
      <c r="AW8" s="83" t="n"/>
      <c r="AX8" s="83" t="n"/>
      <c r="AY8" s="83" t="inlineStr">
        <is>
          <t>F</t>
        </is>
      </c>
      <c r="AZ8" s="89">
        <f>AP8*(1+'Dashboard (2)'!$T$1)</f>
        <v/>
      </c>
      <c r="BA8" s="89" t="n">
        <v>1218</v>
      </c>
      <c r="BB8" s="89">
        <f>AZ8*BA8</f>
        <v/>
      </c>
      <c r="BC8" s="83" t="n"/>
      <c r="BD8" s="83" t="n"/>
      <c r="BE8" s="83">
        <f>AU8*(1+'Dashboard (2)'!$T$1)</f>
        <v/>
      </c>
      <c r="BF8" s="92">
        <f>BE8*BA8</f>
        <v/>
      </c>
      <c r="BG8" s="83" t="n"/>
      <c r="BH8" s="83" t="n"/>
      <c r="BI8" s="83" t="inlineStr">
        <is>
          <t>F</t>
        </is>
      </c>
      <c r="BJ8" s="89">
        <f>AZ8*(1+'Dashboard (2)'!$T$1)</f>
        <v/>
      </c>
      <c r="BK8" s="89" t="n">
        <v>1286</v>
      </c>
      <c r="BL8" s="89">
        <f>BJ8*BK8</f>
        <v/>
      </c>
      <c r="BM8" s="83" t="n"/>
      <c r="BN8" s="83" t="n"/>
      <c r="BO8" s="83">
        <f>BE8*(1+'Dashboard (2)'!$T$1)</f>
        <v/>
      </c>
      <c r="BP8" s="92">
        <f>BO8*BK8</f>
        <v/>
      </c>
      <c r="BQ8" s="83" t="n"/>
      <c r="BR8" s="83" t="n"/>
    </row>
    <row r="9" ht="17.5" customHeight="1">
      <c r="A9" s="82" t="n"/>
      <c r="B9" s="83" t="n"/>
      <c r="C9" s="84" t="n"/>
      <c r="D9" s="84" t="n"/>
      <c r="E9" s="109" t="n"/>
      <c r="F9" s="83" t="n"/>
      <c r="G9" s="86" t="n"/>
      <c r="H9" s="83" t="n"/>
      <c r="I9" s="87" t="n"/>
      <c r="J9" s="88" t="n"/>
      <c r="K9" s="83" t="n"/>
      <c r="L9" s="89" t="n"/>
      <c r="M9" s="89">
        <f>SUM(M6:M8)</f>
        <v/>
      </c>
      <c r="N9" s="89">
        <f>SUM(N6:N8)</f>
        <v/>
      </c>
      <c r="O9" s="89" t="n">
        <v>6805719.58</v>
      </c>
      <c r="P9" s="90">
        <f>O9/N9</f>
        <v/>
      </c>
      <c r="Q9" s="90" t="n"/>
      <c r="R9" s="103">
        <f>SUM(R6:R8)</f>
        <v/>
      </c>
      <c r="S9" s="103">
        <f>12873997.67*1.12</f>
        <v/>
      </c>
      <c r="T9" s="110">
        <f>S9/R9</f>
        <v/>
      </c>
      <c r="U9" s="83" t="n"/>
      <c r="V9" s="111" t="n"/>
      <c r="W9" s="92">
        <f>SUM(W6:W8)</f>
        <v/>
      </c>
      <c r="X9" s="92">
        <f>SUM(X6:X8)</f>
        <v/>
      </c>
      <c r="Y9" s="90">
        <f>Z9/X9</f>
        <v/>
      </c>
      <c r="Z9" s="89">
        <f>Dashboard!I5</f>
        <v/>
      </c>
      <c r="AA9" s="89" t="n"/>
      <c r="AB9" s="89">
        <f>SUM(AB6:AB8)</f>
        <v/>
      </c>
      <c r="AC9" s="89">
        <f>AB9*AD9</f>
        <v/>
      </c>
      <c r="AD9" s="110">
        <f>IF(T9&gt;='Dashboard (2)'!$Q$1,T9,MIN(T9+'Dashboard (2)'!$N$1,'Dashboard (2)'!$Q$1))</f>
        <v/>
      </c>
      <c r="AE9" s="83" t="n"/>
      <c r="AF9" s="111" t="n"/>
      <c r="AG9" s="92">
        <f>SUM(AG6:AG8)</f>
        <v/>
      </c>
      <c r="AH9" s="92">
        <f>SUM(AH6:AH8)</f>
        <v/>
      </c>
      <c r="AI9" s="90">
        <f>IF(Y9&gt;='Dashboard (2)'!$Q$1,Y9,MIN(Y9+'Dashboard (2)'!$N$2,'Dashboard (2)'!$Q$1))</f>
        <v/>
      </c>
      <c r="AJ9" s="89">
        <f>AH9*AI9</f>
        <v/>
      </c>
      <c r="AK9" s="89" t="n"/>
      <c r="AL9" s="89">
        <f>SUM(AL6:AL8)</f>
        <v/>
      </c>
      <c r="AM9" s="89">
        <f>AL9*AN9</f>
        <v/>
      </c>
      <c r="AN9" s="110">
        <f>IF(AD9&gt;='Dashboard (2)'!$Q$1,AD9,MIN(AD9+'Dashboard (2)'!$N$2,'Dashboard (2)'!$Q$1))</f>
        <v/>
      </c>
      <c r="AO9" s="83" t="n"/>
      <c r="AP9" s="111" t="n"/>
      <c r="AQ9" s="92">
        <f>SUM(AQ6:AQ8)</f>
        <v/>
      </c>
      <c r="AR9" s="92">
        <f>SUM(AR6:AR8)</f>
        <v/>
      </c>
      <c r="AS9" s="90">
        <f>IF(AI9&gt;='Dashboard (2)'!$Q$1,AI9,MIN(AI9+'Dashboard (2)'!$N$2,'Dashboard (2)'!$Q$1))</f>
        <v/>
      </c>
      <c r="AT9" s="89">
        <f>AR9*AS9</f>
        <v/>
      </c>
      <c r="AU9" s="89" t="n"/>
      <c r="AV9" s="89">
        <f>SUM(AV6:AV8)</f>
        <v/>
      </c>
      <c r="AW9" s="89">
        <f>AV9*AX9</f>
        <v/>
      </c>
      <c r="AX9" s="110">
        <f>IF(AN9&gt;='Dashboard (2)'!$Q$1,AN9,MIN(AN9+'Dashboard (2)'!$N$2,'Dashboard (2)'!$Q$1))</f>
        <v/>
      </c>
      <c r="AY9" s="83" t="n"/>
      <c r="AZ9" s="111" t="n"/>
      <c r="BA9" s="92">
        <f>SUM(BA6:BA8)</f>
        <v/>
      </c>
      <c r="BB9" s="92">
        <f>SUM(BB6:BB8)</f>
        <v/>
      </c>
      <c r="BC9" s="90">
        <f>IF(AS9&gt;='Dashboard (2)'!$Q$1,AS9,MIN(AS9+'Dashboard (2)'!$N$2,'Dashboard (2)'!$Q$1))</f>
        <v/>
      </c>
      <c r="BD9" s="89">
        <f>BB9*BC9</f>
        <v/>
      </c>
      <c r="BE9" s="89" t="n"/>
      <c r="BF9" s="89">
        <f>SUM(BF6:BF8)</f>
        <v/>
      </c>
      <c r="BG9" s="89">
        <f>BF9*BH9</f>
        <v/>
      </c>
      <c r="BH9" s="110">
        <f>IF(AX9&gt;='Dashboard (2)'!$Q$1,AX9,MIN(AX9+'Dashboard (2)'!$N$2,'Dashboard (2)'!$Q$1))</f>
        <v/>
      </c>
      <c r="BI9" s="83" t="n"/>
      <c r="BJ9" s="111" t="n"/>
      <c r="BK9" s="92">
        <f>SUM(BK6:BK8)</f>
        <v/>
      </c>
      <c r="BL9" s="92">
        <f>SUM(BL6:BL8)</f>
        <v/>
      </c>
      <c r="BM9" s="90">
        <f>IF(BC9&gt;='Dashboard (2)'!$Q$1,BC9,MIN(BC9+'Dashboard (2)'!$N$2,'Dashboard (2)'!$Q$1))</f>
        <v/>
      </c>
      <c r="BN9" s="89">
        <f>BL9*BM9</f>
        <v/>
      </c>
      <c r="BO9" s="89" t="n"/>
      <c r="BP9" s="89">
        <f>SUM(BP6:BP8)</f>
        <v/>
      </c>
      <c r="BQ9" s="89">
        <f>BP9*BR9</f>
        <v/>
      </c>
      <c r="BR9" s="110">
        <f>IF(BH9&gt;='Dashboard (2)'!$Q$1,BH9,MIN(BH9+'Dashboard (2)'!$N$2,'Dashboard (2)'!$Q$1))</f>
        <v/>
      </c>
    </row>
    <row r="10" ht="17.5" customHeight="1">
      <c r="A10" s="82" t="inlineStr">
        <is>
          <t>UTI</t>
        </is>
      </c>
      <c r="B10" s="83" t="inlineStr">
        <is>
          <t>presented</t>
        </is>
      </c>
      <c r="C10" s="84">
        <f>Dashboard!C6</f>
        <v/>
      </c>
      <c r="D10" s="84">
        <f>Dashboard!D6</f>
        <v/>
      </c>
      <c r="E10" s="109">
        <f>Dashboard!E6</f>
        <v/>
      </c>
      <c r="F10" s="83">
        <f>Dashboard!F6</f>
        <v/>
      </c>
      <c r="G10" s="86">
        <f>Dashboard!G6</f>
        <v/>
      </c>
      <c r="H10" s="83">
        <f>Dashboard!H6</f>
        <v/>
      </c>
      <c r="I10" s="87">
        <f>Dashboard!I6</f>
        <v/>
      </c>
      <c r="J10" s="88" t="inlineStr">
        <is>
          <t>V4 basis (CY2027F, no +5%) — NOT rebased</t>
        </is>
      </c>
      <c r="K10" s="83" t="inlineStr">
        <is>
          <t>CV</t>
        </is>
      </c>
      <c r="L10" s="89">
        <f>V10/1.05</f>
        <v/>
      </c>
      <c r="M10" s="89" t="n">
        <v>10336</v>
      </c>
      <c r="N10" s="89">
        <f>L10*M10</f>
        <v/>
      </c>
      <c r="O10" s="89" t="n">
        <v>3056797.06</v>
      </c>
      <c r="P10" s="90">
        <f>O10/N10</f>
        <v/>
      </c>
      <c r="Q10" s="90" t="n"/>
      <c r="R10" s="103" t="n"/>
      <c r="S10" s="103" t="n"/>
      <c r="T10" s="110" t="n"/>
      <c r="U10" s="83" t="inlineStr">
        <is>
          <t>CV</t>
        </is>
      </c>
      <c r="V10" s="89">
        <f>X10/W10</f>
        <v/>
      </c>
      <c r="W10" s="89" t="n">
        <v>10760</v>
      </c>
      <c r="X10" s="89" t="n">
        <v>8485128.960000001</v>
      </c>
      <c r="Y10" s="90">
        <f>Z10/X10</f>
        <v/>
      </c>
      <c r="Z10" s="89">
        <f>Dashboard!I6</f>
        <v/>
      </c>
      <c r="AA10" s="89" t="n"/>
      <c r="AB10" s="89" t="n"/>
      <c r="AC10" s="89" t="n"/>
      <c r="AD10" s="110" t="n"/>
      <c r="AE10" s="83" t="inlineStr">
        <is>
          <t>CV</t>
        </is>
      </c>
      <c r="AF10" s="89">
        <f>V10*(1+'Dashboard (2)'!$T$1)</f>
        <v/>
      </c>
      <c r="AG10" s="89" t="n">
        <v>10972</v>
      </c>
      <c r="AH10" s="89">
        <f>AF10*AG10</f>
        <v/>
      </c>
      <c r="AI10" s="90">
        <f>IF(Y10&gt;='Dashboard (2)'!$Q$1,Y10,MIN(Y10+'Dashboard (2)'!$N$2,'Dashboard (2)'!$Q$1))</f>
        <v/>
      </c>
      <c r="AJ10" s="89">
        <f>AH10*AI10</f>
        <v/>
      </c>
      <c r="AK10" s="89" t="n"/>
      <c r="AL10" s="89" t="n"/>
      <c r="AM10" s="89" t="n"/>
      <c r="AN10" s="110" t="n"/>
      <c r="AO10" s="83" t="inlineStr">
        <is>
          <t>CV</t>
        </is>
      </c>
      <c r="AP10" s="89">
        <f>AF10*(1+'Dashboard (2)'!$T$1)</f>
        <v/>
      </c>
      <c r="AQ10" s="89" t="n">
        <v>11280</v>
      </c>
      <c r="AR10" s="89">
        <f>AP10*AQ10</f>
        <v/>
      </c>
      <c r="AS10" s="90">
        <f>IF(AI10&gt;='Dashboard (2)'!$Q$1,AI10,MIN(AI10+'Dashboard (2)'!$N$2,'Dashboard (2)'!$Q$1))</f>
        <v/>
      </c>
      <c r="AT10" s="89">
        <f>AR10*AS10</f>
        <v/>
      </c>
      <c r="AU10" s="89" t="n"/>
      <c r="AV10" s="89" t="n"/>
      <c r="AW10" s="89" t="n"/>
      <c r="AX10" s="110" t="n"/>
      <c r="AY10" s="83" t="inlineStr">
        <is>
          <t>CV</t>
        </is>
      </c>
      <c r="AZ10" s="89">
        <f>AP10*(1+'Dashboard (2)'!$T$1)</f>
        <v/>
      </c>
      <c r="BA10" s="89" t="n">
        <v>11581</v>
      </c>
      <c r="BB10" s="89">
        <f>AZ10*BA10</f>
        <v/>
      </c>
      <c r="BC10" s="90">
        <f>IF(AS10&gt;='Dashboard (2)'!$Q$1,AS10,MIN(AS10+'Dashboard (2)'!$N$2,'Dashboard (2)'!$Q$1))</f>
        <v/>
      </c>
      <c r="BD10" s="89">
        <f>BB10*BC10</f>
        <v/>
      </c>
      <c r="BE10" s="89" t="n"/>
      <c r="BF10" s="89" t="n"/>
      <c r="BG10" s="89" t="n"/>
      <c r="BH10" s="110" t="n"/>
      <c r="BI10" s="83" t="inlineStr">
        <is>
          <t>CV</t>
        </is>
      </c>
      <c r="BJ10" s="89">
        <f>AZ10*(1+'Dashboard (2)'!$T$1)</f>
        <v/>
      </c>
      <c r="BK10" s="89" t="n">
        <v>11882</v>
      </c>
      <c r="BL10" s="89">
        <f>BJ10*BK10</f>
        <v/>
      </c>
      <c r="BM10" s="90">
        <f>IF(BC10&gt;='Dashboard (2)'!$Q$1,BC10,MIN(BC10+'Dashboard (2)'!$N$2,'Dashboard (2)'!$Q$1))</f>
        <v/>
      </c>
      <c r="BN10" s="89">
        <f>BL10*BM10</f>
        <v/>
      </c>
      <c r="BO10" s="89" t="n"/>
      <c r="BP10" s="89" t="n"/>
      <c r="BQ10" s="89" t="n"/>
      <c r="BR10" s="110" t="n"/>
    </row>
    <row r="11" ht="17.5" customHeight="1">
      <c r="A11" s="82" t="inlineStr">
        <is>
          <t>IUK</t>
        </is>
      </c>
      <c r="B11" s="83" t="inlineStr">
        <is>
          <t>LCV</t>
        </is>
      </c>
      <c r="C11" s="84">
        <f>Dashboard!C7</f>
        <v/>
      </c>
      <c r="D11" s="84">
        <f>Dashboard!D7</f>
        <v/>
      </c>
      <c r="E11" s="109">
        <f>Dashboard!E7</f>
        <v/>
      </c>
      <c r="F11" s="109">
        <f>Dashboard!F7</f>
        <v/>
      </c>
      <c r="G11" s="84">
        <f>Dashboard!G7</f>
        <v/>
      </c>
      <c r="H11" s="109">
        <f>Dashboard!H7</f>
        <v/>
      </c>
      <c r="I11" s="93">
        <f>Dashboard!I7</f>
        <v/>
      </c>
      <c r="J11" s="83" t="n"/>
      <c r="K11" s="83" t="inlineStr">
        <is>
          <t>LCV</t>
        </is>
      </c>
      <c r="L11" s="89">
        <f>IUK!D14</f>
        <v/>
      </c>
      <c r="M11" s="89">
        <f>IUK!D9</f>
        <v/>
      </c>
      <c r="N11" s="89">
        <f>L11*M11</f>
        <v/>
      </c>
      <c r="O11" s="89">
        <f>IUK!D20</f>
        <v/>
      </c>
      <c r="P11" s="90">
        <f>O11/N11</f>
        <v/>
      </c>
      <c r="Q11" s="90" t="n"/>
      <c r="R11" s="103" t="n"/>
      <c r="S11" s="103" t="n"/>
      <c r="T11" s="110" t="n"/>
      <c r="U11" s="83" t="inlineStr">
        <is>
          <t>LCV</t>
        </is>
      </c>
      <c r="V11" s="89">
        <f>IUK!E14</f>
        <v/>
      </c>
      <c r="W11" s="89">
        <f>IUK!E9</f>
        <v/>
      </c>
      <c r="X11" s="89">
        <f>V11*W11</f>
        <v/>
      </c>
      <c r="Y11" s="90">
        <f>Z11/X11</f>
        <v/>
      </c>
      <c r="Z11" s="89">
        <f>IUK!E24</f>
        <v/>
      </c>
      <c r="AA11" s="89" t="n"/>
      <c r="AB11" s="89" t="n"/>
      <c r="AC11" s="89" t="n"/>
      <c r="AD11" s="110" t="n"/>
      <c r="AE11" s="83" t="inlineStr">
        <is>
          <t>LCV</t>
        </is>
      </c>
      <c r="AF11" s="89">
        <f>IUK!F14</f>
        <v/>
      </c>
      <c r="AG11" s="89">
        <f>IUK!F9</f>
        <v/>
      </c>
      <c r="AH11" s="89">
        <f>AF11*AG11</f>
        <v/>
      </c>
      <c r="AI11" s="90">
        <f>IF(Y11&gt;='Dashboard (2)'!$Q$1,Y11,MIN(Y11+'Dashboard (2)'!$N$2,'Dashboard (2)'!$Q$1))</f>
        <v/>
      </c>
      <c r="AJ11" s="89">
        <f>AH11*AI11</f>
        <v/>
      </c>
      <c r="AK11" s="89" t="n"/>
      <c r="AL11" s="89" t="n"/>
      <c r="AM11" s="89" t="n"/>
      <c r="AN11" s="110" t="n"/>
      <c r="AO11" s="83" t="inlineStr">
        <is>
          <t>LCV</t>
        </is>
      </c>
      <c r="AP11" s="89">
        <f>IUK!G14</f>
        <v/>
      </c>
      <c r="AQ11" s="89">
        <f>IUK!G9</f>
        <v/>
      </c>
      <c r="AR11" s="89">
        <f>AP11*AQ11</f>
        <v/>
      </c>
      <c r="AS11" s="90">
        <f>IF(AI11&gt;='Dashboard (2)'!$Q$1,AI11,MIN(AI11+'Dashboard (2)'!$N$2,'Dashboard (2)'!$Q$1))</f>
        <v/>
      </c>
      <c r="AT11" s="89">
        <f>AR11*AS11</f>
        <v/>
      </c>
      <c r="AU11" s="89" t="n"/>
      <c r="AV11" s="89" t="n"/>
      <c r="AW11" s="89" t="n"/>
      <c r="AX11" s="110" t="n"/>
      <c r="AY11" s="83" t="inlineStr">
        <is>
          <t>LCV</t>
        </is>
      </c>
      <c r="AZ11" s="89">
        <f>IUK!H14</f>
        <v/>
      </c>
      <c r="BA11" s="89">
        <f>IUK!H9</f>
        <v/>
      </c>
      <c r="BB11" s="89">
        <f>AZ11*BA11</f>
        <v/>
      </c>
      <c r="BC11" s="90">
        <f>IF(AS11&gt;='Dashboard (2)'!$Q$1,AS11,MIN(AS11+'Dashboard (2)'!$N$2,'Dashboard (2)'!$Q$1))</f>
        <v/>
      </c>
      <c r="BD11" s="89">
        <f>BB11*BC11</f>
        <v/>
      </c>
      <c r="BE11" s="89" t="n"/>
      <c r="BF11" s="89" t="n"/>
      <c r="BG11" s="89" t="n"/>
      <c r="BH11" s="110" t="n"/>
      <c r="BI11" s="83" t="inlineStr">
        <is>
          <t>LCV</t>
        </is>
      </c>
      <c r="BJ11" s="89">
        <f>IUK!I14</f>
        <v/>
      </c>
      <c r="BK11" s="89">
        <f>IUK!I9</f>
        <v/>
      </c>
      <c r="BL11" s="89">
        <f>BJ11*BK11</f>
        <v/>
      </c>
      <c r="BM11" s="90">
        <f>IF(BC11&gt;='Dashboard (2)'!$Q$1,BC11,MIN(BC11+'Dashboard (2)'!$N$2,'Dashboard (2)'!$Q$1))</f>
        <v/>
      </c>
      <c r="BN11" s="89">
        <f>BL11*BM11</f>
        <v/>
      </c>
      <c r="BO11" s="89" t="n"/>
      <c r="BP11" s="89" t="n"/>
      <c r="BQ11" s="89" t="n"/>
      <c r="BR11" s="110" t="n"/>
    </row>
    <row r="12" ht="17.5" customHeight="1">
      <c r="A12" s="82" t="inlineStr">
        <is>
          <t>UMI</t>
        </is>
      </c>
      <c r="B12" s="83" t="inlineStr">
        <is>
          <t>LCV</t>
        </is>
      </c>
      <c r="C12" s="84">
        <f>Dashboard!C8</f>
        <v/>
      </c>
      <c r="D12" s="84">
        <f>Dashboard!D8</f>
        <v/>
      </c>
      <c r="E12" s="109">
        <f>Dashboard!E8</f>
        <v/>
      </c>
      <c r="F12" s="109">
        <f>Dashboard!F8</f>
        <v/>
      </c>
      <c r="G12" s="84">
        <f>Dashboard!G8</f>
        <v/>
      </c>
      <c r="H12" s="109">
        <f>Dashboard!H8</f>
        <v/>
      </c>
      <c r="I12" s="93">
        <f>Dashboard!I8</f>
        <v/>
      </c>
      <c r="J12" s="83" t="n"/>
      <c r="K12" s="83" t="inlineStr">
        <is>
          <t>LCV</t>
        </is>
      </c>
      <c r="L12" s="89">
        <f>UMI!D14</f>
        <v/>
      </c>
      <c r="M12" s="89">
        <f>UMI!D9</f>
        <v/>
      </c>
      <c r="N12" s="89">
        <f>L12*M12</f>
        <v/>
      </c>
      <c r="O12" s="89">
        <f>UMI!D20</f>
        <v/>
      </c>
      <c r="P12" s="90">
        <f>O12/N12</f>
        <v/>
      </c>
      <c r="Q12" s="90" t="n"/>
      <c r="R12" s="103" t="n"/>
      <c r="S12" s="103" t="n"/>
      <c r="T12" s="110" t="n"/>
      <c r="U12" s="83" t="inlineStr">
        <is>
          <t>LCV</t>
        </is>
      </c>
      <c r="V12" s="89">
        <f>UMI!E14</f>
        <v/>
      </c>
      <c r="W12" s="89">
        <f>UMI!E9</f>
        <v/>
      </c>
      <c r="X12" s="89">
        <f>V12*W12</f>
        <v/>
      </c>
      <c r="Y12" s="90">
        <f>Z12/X12</f>
        <v/>
      </c>
      <c r="Z12" s="89">
        <f>UMI!E24</f>
        <v/>
      </c>
      <c r="AA12" s="89" t="n"/>
      <c r="AB12" s="89" t="n"/>
      <c r="AC12" s="89" t="n"/>
      <c r="AD12" s="110" t="n"/>
      <c r="AE12" s="83" t="inlineStr">
        <is>
          <t>LCV</t>
        </is>
      </c>
      <c r="AF12" s="89">
        <f>UMI!F14</f>
        <v/>
      </c>
      <c r="AG12" s="89">
        <f>UMI!F9</f>
        <v/>
      </c>
      <c r="AH12" s="89">
        <f>AF12*AG12</f>
        <v/>
      </c>
      <c r="AI12" s="90">
        <f>IF(Y12&gt;='Dashboard (2)'!$Q$1,Y12,MIN(Y12+'Dashboard (2)'!$N$2,'Dashboard (2)'!$Q$1))</f>
        <v/>
      </c>
      <c r="AJ12" s="89">
        <f>AH12*AI12</f>
        <v/>
      </c>
      <c r="AK12" s="89" t="n"/>
      <c r="AL12" s="89" t="n"/>
      <c r="AM12" s="89" t="n"/>
      <c r="AN12" s="110" t="n"/>
      <c r="AO12" s="83" t="inlineStr">
        <is>
          <t>LCV</t>
        </is>
      </c>
      <c r="AP12" s="89">
        <f>UMI!G14</f>
        <v/>
      </c>
      <c r="AQ12" s="89">
        <f>UMI!G9</f>
        <v/>
      </c>
      <c r="AR12" s="89">
        <f>AP12*AQ12</f>
        <v/>
      </c>
      <c r="AS12" s="90">
        <f>IF(AI12&gt;='Dashboard (2)'!$Q$1,AI12,MIN(AI12+'Dashboard (2)'!$N$2,'Dashboard (2)'!$Q$1))</f>
        <v/>
      </c>
      <c r="AT12" s="89">
        <f>AR12*AS12</f>
        <v/>
      </c>
      <c r="AU12" s="89" t="n"/>
      <c r="AV12" s="89" t="n"/>
      <c r="AW12" s="89" t="n"/>
      <c r="AX12" s="110" t="n"/>
      <c r="AY12" s="83" t="inlineStr">
        <is>
          <t>LCV</t>
        </is>
      </c>
      <c r="AZ12" s="89">
        <f>UMI!H14</f>
        <v/>
      </c>
      <c r="BA12" s="89">
        <f>UMI!H9</f>
        <v/>
      </c>
      <c r="BB12" s="89">
        <f>AZ12*BA12</f>
        <v/>
      </c>
      <c r="BC12" s="90">
        <f>IF(AS12&gt;='Dashboard (2)'!$Q$1,AS12,MIN(AS12+'Dashboard (2)'!$N$2,'Dashboard (2)'!$Q$1))</f>
        <v/>
      </c>
      <c r="BD12" s="89">
        <f>BB12*BC12</f>
        <v/>
      </c>
      <c r="BE12" s="89" t="n"/>
      <c r="BF12" s="89" t="n"/>
      <c r="BG12" s="89" t="n"/>
      <c r="BH12" s="110" t="n"/>
      <c r="BI12" s="83" t="inlineStr">
        <is>
          <t>LCV</t>
        </is>
      </c>
      <c r="BJ12" s="89">
        <f>UMI!I14</f>
        <v/>
      </c>
      <c r="BK12" s="89">
        <f>UMI!I9</f>
        <v/>
      </c>
      <c r="BL12" s="89">
        <f>BJ12*BK12</f>
        <v/>
      </c>
      <c r="BM12" s="90">
        <f>IF(BC12&gt;='Dashboard (2)'!$Q$1,BC12,MIN(BC12+'Dashboard (2)'!$N$2,'Dashboard (2)'!$Q$1))</f>
        <v/>
      </c>
      <c r="BN12" s="89">
        <f>BL12*BM12</f>
        <v/>
      </c>
      <c r="BO12" s="89" t="n"/>
      <c r="BP12" s="89" t="n"/>
      <c r="BQ12" s="89" t="n"/>
      <c r="BR12" s="110" t="n"/>
    </row>
    <row r="13" ht="17.5" customHeight="1">
      <c r="A13" s="82" t="inlineStr">
        <is>
          <t>NORWAY</t>
        </is>
      </c>
      <c r="B13" s="83" t="inlineStr">
        <is>
          <t>LCV</t>
        </is>
      </c>
      <c r="C13" s="84">
        <f>Dashboard!C9</f>
        <v/>
      </c>
      <c r="D13" s="84">
        <f>Dashboard!D9</f>
        <v/>
      </c>
      <c r="E13" s="109">
        <f>Dashboard!E9</f>
        <v/>
      </c>
      <c r="F13" s="109">
        <f>Dashboard!F9</f>
        <v/>
      </c>
      <c r="G13" s="84">
        <f>Dashboard!G9</f>
        <v/>
      </c>
      <c r="H13" s="109">
        <f>Dashboard!H9</f>
        <v/>
      </c>
      <c r="I13" s="93">
        <f>Dashboard!I9</f>
        <v/>
      </c>
      <c r="J13" s="83" t="n"/>
      <c r="K13" s="83" t="inlineStr">
        <is>
          <t>LCV</t>
        </is>
      </c>
      <c r="L13" s="89">
        <f>NORWAY!D14</f>
        <v/>
      </c>
      <c r="M13" s="89">
        <f>NORWAY!D9</f>
        <v/>
      </c>
      <c r="N13" s="89">
        <f>L13*M13</f>
        <v/>
      </c>
      <c r="O13" s="89">
        <f>NORWAY!D20</f>
        <v/>
      </c>
      <c r="P13" s="90">
        <f>O13/N13</f>
        <v/>
      </c>
      <c r="Q13" s="90" t="n"/>
      <c r="R13" s="103" t="n"/>
      <c r="S13" s="103" t="n"/>
      <c r="T13" s="110" t="n"/>
      <c r="U13" s="83" t="inlineStr">
        <is>
          <t>LCV</t>
        </is>
      </c>
      <c r="V13" s="89">
        <f>NORWAY!E14</f>
        <v/>
      </c>
      <c r="W13" s="89">
        <f>NORWAY!E9</f>
        <v/>
      </c>
      <c r="X13" s="89">
        <f>V13*W13</f>
        <v/>
      </c>
      <c r="Y13" s="90">
        <f>Z13/X13</f>
        <v/>
      </c>
      <c r="Z13" s="89">
        <f>NORWAY!E24</f>
        <v/>
      </c>
      <c r="AA13" s="89" t="n"/>
      <c r="AB13" s="89" t="n"/>
      <c r="AC13" s="89" t="n"/>
      <c r="AD13" s="110" t="n"/>
      <c r="AE13" s="83" t="inlineStr">
        <is>
          <t>LCV</t>
        </is>
      </c>
      <c r="AF13" s="89">
        <f>NORWAY!F14</f>
        <v/>
      </c>
      <c r="AG13" s="89">
        <f>NORWAY!F9</f>
        <v/>
      </c>
      <c r="AH13" s="89">
        <f>AF13*AG13</f>
        <v/>
      </c>
      <c r="AI13" s="90">
        <f>IF(Y13&gt;='Dashboard (2)'!$Q$1,Y13,MIN(Y13+'Dashboard (2)'!$N$2,'Dashboard (2)'!$Q$1))</f>
        <v/>
      </c>
      <c r="AJ13" s="89">
        <f>AH13*AI13</f>
        <v/>
      </c>
      <c r="AK13" s="89" t="n"/>
      <c r="AL13" s="89" t="n"/>
      <c r="AM13" s="89" t="n"/>
      <c r="AN13" s="110" t="n"/>
      <c r="AO13" s="83" t="inlineStr">
        <is>
          <t>LCV</t>
        </is>
      </c>
      <c r="AP13" s="89">
        <f>NORWAY!G14</f>
        <v/>
      </c>
      <c r="AQ13" s="89">
        <f>NORWAY!G9</f>
        <v/>
      </c>
      <c r="AR13" s="89">
        <f>AP13*AQ13</f>
        <v/>
      </c>
      <c r="AS13" s="90">
        <f>IF(AI13&gt;='Dashboard (2)'!$Q$1,AI13,MIN(AI13+'Dashboard (2)'!$N$2,'Dashboard (2)'!$Q$1))</f>
        <v/>
      </c>
      <c r="AT13" s="89">
        <f>AR13*AS13</f>
        <v/>
      </c>
      <c r="AU13" s="89" t="n"/>
      <c r="AV13" s="89" t="n"/>
      <c r="AW13" s="89" t="n"/>
      <c r="AX13" s="110" t="n"/>
      <c r="AY13" s="83" t="inlineStr">
        <is>
          <t>LCV</t>
        </is>
      </c>
      <c r="AZ13" s="89">
        <f>NORWAY!H14</f>
        <v/>
      </c>
      <c r="BA13" s="89">
        <f>NORWAY!H9</f>
        <v/>
      </c>
      <c r="BB13" s="89">
        <f>AZ13*BA13</f>
        <v/>
      </c>
      <c r="BC13" s="90">
        <f>IF(AS13&gt;='Dashboard (2)'!$Q$1,AS13,MIN(AS13+'Dashboard (2)'!$N$2,'Dashboard (2)'!$Q$1))</f>
        <v/>
      </c>
      <c r="BD13" s="89">
        <f>BB13*BC13</f>
        <v/>
      </c>
      <c r="BE13" s="89" t="n"/>
      <c r="BF13" s="89" t="n"/>
      <c r="BG13" s="89" t="n"/>
      <c r="BH13" s="110" t="n"/>
      <c r="BI13" s="83" t="inlineStr">
        <is>
          <t>LCV</t>
        </is>
      </c>
      <c r="BJ13" s="89">
        <f>NORWAY!I14</f>
        <v/>
      </c>
      <c r="BK13" s="89">
        <f>NORWAY!I9</f>
        <v/>
      </c>
      <c r="BL13" s="89">
        <f>BJ13*BK13</f>
        <v/>
      </c>
      <c r="BM13" s="90">
        <f>IF(BC13&gt;='Dashboard (2)'!$Q$1,BC13,MIN(BC13+'Dashboard (2)'!$N$2,'Dashboard (2)'!$Q$1))</f>
        <v/>
      </c>
      <c r="BN13" s="89">
        <f>BL13*BM13</f>
        <v/>
      </c>
      <c r="BO13" s="89" t="n"/>
      <c r="BP13" s="89" t="n"/>
      <c r="BQ13" s="89" t="n"/>
      <c r="BR13" s="110" t="n"/>
    </row>
    <row r="14" ht="17.5" customHeight="1">
      <c r="A14" s="82" t="inlineStr">
        <is>
          <t>SWEDEN</t>
        </is>
      </c>
      <c r="B14" s="83" t="inlineStr">
        <is>
          <t>LCV</t>
        </is>
      </c>
      <c r="C14" s="84">
        <f>Dashboard!C10</f>
        <v/>
      </c>
      <c r="D14" s="84">
        <f>Dashboard!D10</f>
        <v/>
      </c>
      <c r="E14" s="109">
        <f>Dashboard!E10</f>
        <v/>
      </c>
      <c r="F14" s="109">
        <f>Dashboard!F10</f>
        <v/>
      </c>
      <c r="G14" s="84">
        <f>Dashboard!G10</f>
        <v/>
      </c>
      <c r="H14" s="109">
        <f>Dashboard!H10</f>
        <v/>
      </c>
      <c r="I14" s="93">
        <f>Dashboard!I10</f>
        <v/>
      </c>
      <c r="J14" s="83" t="n"/>
      <c r="K14" s="83" t="inlineStr">
        <is>
          <t>LCV</t>
        </is>
      </c>
      <c r="L14" s="89">
        <f>SWEDEN!D14</f>
        <v/>
      </c>
      <c r="M14" s="89">
        <f>SWEDEN!D9</f>
        <v/>
      </c>
      <c r="N14" s="89">
        <f>L14*M14</f>
        <v/>
      </c>
      <c r="O14" s="89">
        <f>SWEDEN!D20</f>
        <v/>
      </c>
      <c r="P14" s="90">
        <f>O14/N14</f>
        <v/>
      </c>
      <c r="Q14" s="90" t="n"/>
      <c r="R14" s="103" t="n"/>
      <c r="S14" s="103" t="n"/>
      <c r="T14" s="110" t="n"/>
      <c r="U14" s="83" t="inlineStr">
        <is>
          <t>LCV</t>
        </is>
      </c>
      <c r="V14" s="89">
        <f>SWEDEN!E14</f>
        <v/>
      </c>
      <c r="W14" s="89">
        <f>SWEDEN!E9</f>
        <v/>
      </c>
      <c r="X14" s="89">
        <f>V14*W14</f>
        <v/>
      </c>
      <c r="Y14" s="90">
        <f>Z14/X14</f>
        <v/>
      </c>
      <c r="Z14" s="89">
        <f>SWEDEN!E24</f>
        <v/>
      </c>
      <c r="AA14" s="89" t="n"/>
      <c r="AB14" s="89" t="n"/>
      <c r="AC14" s="89" t="n"/>
      <c r="AD14" s="110" t="n"/>
      <c r="AE14" s="83" t="inlineStr">
        <is>
          <t>LCV</t>
        </is>
      </c>
      <c r="AF14" s="89">
        <f>SWEDEN!F14</f>
        <v/>
      </c>
      <c r="AG14" s="89">
        <f>SWEDEN!F9</f>
        <v/>
      </c>
      <c r="AH14" s="89">
        <f>AF14*AG14</f>
        <v/>
      </c>
      <c r="AI14" s="90">
        <f>IF(Y14&gt;='Dashboard (2)'!$Q$1,Y14,MIN(Y14+'Dashboard (2)'!$N$2,'Dashboard (2)'!$Q$1))</f>
        <v/>
      </c>
      <c r="AJ14" s="89">
        <f>AH14*AI14</f>
        <v/>
      </c>
      <c r="AK14" s="89" t="n"/>
      <c r="AL14" s="89" t="n"/>
      <c r="AM14" s="89" t="n"/>
      <c r="AN14" s="110" t="n"/>
      <c r="AO14" s="83" t="inlineStr">
        <is>
          <t>LCV</t>
        </is>
      </c>
      <c r="AP14" s="89">
        <f>SWEDEN!G14</f>
        <v/>
      </c>
      <c r="AQ14" s="89">
        <f>SWEDEN!G9</f>
        <v/>
      </c>
      <c r="AR14" s="89">
        <f>AP14*AQ14</f>
        <v/>
      </c>
      <c r="AS14" s="90">
        <f>IF(AI14&gt;='Dashboard (2)'!$Q$1,AI14,MIN(AI14+'Dashboard (2)'!$N$2,'Dashboard (2)'!$Q$1))</f>
        <v/>
      </c>
      <c r="AT14" s="89">
        <f>AR14*AS14</f>
        <v/>
      </c>
      <c r="AU14" s="89" t="n"/>
      <c r="AV14" s="89" t="n"/>
      <c r="AW14" s="89" t="n"/>
      <c r="AX14" s="110" t="n"/>
      <c r="AY14" s="83" t="inlineStr">
        <is>
          <t>LCV</t>
        </is>
      </c>
      <c r="AZ14" s="89">
        <f>SWEDEN!H14</f>
        <v/>
      </c>
      <c r="BA14" s="89">
        <f>SWEDEN!H9</f>
        <v/>
      </c>
      <c r="BB14" s="89">
        <f>AZ14*BA14</f>
        <v/>
      </c>
      <c r="BC14" s="90">
        <f>IF(AS14&gt;='Dashboard (2)'!$Q$1,AS14,MIN(AS14+'Dashboard (2)'!$N$2,'Dashboard (2)'!$Q$1))</f>
        <v/>
      </c>
      <c r="BD14" s="89">
        <f>BB14*BC14</f>
        <v/>
      </c>
      <c r="BE14" s="89" t="n"/>
      <c r="BF14" s="89" t="n"/>
      <c r="BG14" s="89" t="n"/>
      <c r="BH14" s="110" t="n"/>
      <c r="BI14" s="83" t="inlineStr">
        <is>
          <t>LCV</t>
        </is>
      </c>
      <c r="BJ14" s="89">
        <f>SWEDEN!I14</f>
        <v/>
      </c>
      <c r="BK14" s="89">
        <f>SWEDEN!I9</f>
        <v/>
      </c>
      <c r="BL14" s="89">
        <f>BJ14*BK14</f>
        <v/>
      </c>
      <c r="BM14" s="90">
        <f>IF(BC14&gt;='Dashboard (2)'!$Q$1,BC14,MIN(BC14+'Dashboard (2)'!$N$2,'Dashboard (2)'!$Q$1))</f>
        <v/>
      </c>
      <c r="BN14" s="89">
        <f>BL14*BM14</f>
        <v/>
      </c>
      <c r="BO14" s="89" t="n"/>
      <c r="BP14" s="89" t="n"/>
      <c r="BQ14" s="89" t="n"/>
      <c r="BR14" s="110" t="n"/>
    </row>
    <row r="15" ht="17.5" customHeight="1">
      <c r="A15" s="82" t="inlineStr">
        <is>
          <t>HUNGARY</t>
        </is>
      </c>
      <c r="B15" s="83" t="inlineStr">
        <is>
          <t>LCV</t>
        </is>
      </c>
      <c r="C15" s="84">
        <f>Dashboard!C11</f>
        <v/>
      </c>
      <c r="D15" s="84">
        <f>Dashboard!D11</f>
        <v/>
      </c>
      <c r="E15" s="109">
        <f>Dashboard!E11</f>
        <v/>
      </c>
      <c r="F15" s="109">
        <f>Dashboard!F11</f>
        <v/>
      </c>
      <c r="G15" s="84">
        <f>Dashboard!G11</f>
        <v/>
      </c>
      <c r="H15" s="109">
        <f>Dashboard!H11</f>
        <v/>
      </c>
      <c r="I15" s="93">
        <f>Dashboard!I11</f>
        <v/>
      </c>
      <c r="J15" s="83" t="n"/>
      <c r="K15" s="83" t="inlineStr">
        <is>
          <t>LCV</t>
        </is>
      </c>
      <c r="L15" s="89">
        <f>HUNGARY!D14</f>
        <v/>
      </c>
      <c r="M15" s="89">
        <f>HUNGARY!D9</f>
        <v/>
      </c>
      <c r="N15" s="89">
        <f>L15*M15</f>
        <v/>
      </c>
      <c r="O15" s="89">
        <f>HUNGARY!D20</f>
        <v/>
      </c>
      <c r="P15" s="90">
        <f>O15/N15</f>
        <v/>
      </c>
      <c r="Q15" s="90" t="n"/>
      <c r="R15" s="103" t="n"/>
      <c r="S15" s="103" t="n"/>
      <c r="T15" s="110" t="n"/>
      <c r="U15" s="83" t="inlineStr">
        <is>
          <t>LCV</t>
        </is>
      </c>
      <c r="V15" s="89">
        <f>HUNGARY!E14</f>
        <v/>
      </c>
      <c r="W15" s="89">
        <f>HUNGARY!E9</f>
        <v/>
      </c>
      <c r="X15" s="89">
        <f>V15*W15</f>
        <v/>
      </c>
      <c r="Y15" s="90">
        <f>Z15/X15</f>
        <v/>
      </c>
      <c r="Z15" s="89">
        <f>HUNGARY!E24</f>
        <v/>
      </c>
      <c r="AA15" s="89" t="n"/>
      <c r="AB15" s="89" t="n"/>
      <c r="AC15" s="89" t="n"/>
      <c r="AD15" s="110" t="n"/>
      <c r="AE15" s="83" t="inlineStr">
        <is>
          <t>LCV</t>
        </is>
      </c>
      <c r="AF15" s="89">
        <f>HUNGARY!F14</f>
        <v/>
      </c>
      <c r="AG15" s="89">
        <f>HUNGARY!F9</f>
        <v/>
      </c>
      <c r="AH15" s="89">
        <f>AF15*AG15</f>
        <v/>
      </c>
      <c r="AI15" s="90">
        <f>IF(Y15&gt;='Dashboard (2)'!$Q$1,Y15,MIN(Y15+'Dashboard (2)'!$N$2,'Dashboard (2)'!$Q$1))</f>
        <v/>
      </c>
      <c r="AJ15" s="89">
        <f>AH15*AI15</f>
        <v/>
      </c>
      <c r="AK15" s="89" t="n"/>
      <c r="AL15" s="89" t="n"/>
      <c r="AM15" s="89" t="n"/>
      <c r="AN15" s="110" t="n"/>
      <c r="AO15" s="83" t="inlineStr">
        <is>
          <t>LCV</t>
        </is>
      </c>
      <c r="AP15" s="89">
        <f>HUNGARY!G14</f>
        <v/>
      </c>
      <c r="AQ15" s="89">
        <f>HUNGARY!G9</f>
        <v/>
      </c>
      <c r="AR15" s="89">
        <f>AP15*AQ15</f>
        <v/>
      </c>
      <c r="AS15" s="90">
        <f>IF(AI15&gt;='Dashboard (2)'!$Q$1,AI15,MIN(AI15+'Dashboard (2)'!$N$2,'Dashboard (2)'!$Q$1))</f>
        <v/>
      </c>
      <c r="AT15" s="89">
        <f>AR15*AS15</f>
        <v/>
      </c>
      <c r="AU15" s="89" t="n"/>
      <c r="AV15" s="89" t="n"/>
      <c r="AW15" s="89" t="n"/>
      <c r="AX15" s="110" t="n"/>
      <c r="AY15" s="83" t="inlineStr">
        <is>
          <t>LCV</t>
        </is>
      </c>
      <c r="AZ15" s="89">
        <f>HUNGARY!H14</f>
        <v/>
      </c>
      <c r="BA15" s="89">
        <f>HUNGARY!H9</f>
        <v/>
      </c>
      <c r="BB15" s="89">
        <f>AZ15*BA15</f>
        <v/>
      </c>
      <c r="BC15" s="90">
        <f>IF(AS15&gt;='Dashboard (2)'!$Q$1,AS15,MIN(AS15+'Dashboard (2)'!$N$2,'Dashboard (2)'!$Q$1))</f>
        <v/>
      </c>
      <c r="BD15" s="89">
        <f>BB15*BC15</f>
        <v/>
      </c>
      <c r="BE15" s="89" t="n"/>
      <c r="BF15" s="89" t="n"/>
      <c r="BG15" s="89" t="n"/>
      <c r="BH15" s="110" t="n"/>
      <c r="BI15" s="83" t="inlineStr">
        <is>
          <t>LCV</t>
        </is>
      </c>
      <c r="BJ15" s="89">
        <f>HUNGARY!I14</f>
        <v/>
      </c>
      <c r="BK15" s="89">
        <f>HUNGARY!I9</f>
        <v/>
      </c>
      <c r="BL15" s="89">
        <f>BJ15*BK15</f>
        <v/>
      </c>
      <c r="BM15" s="90">
        <f>IF(BC15&gt;='Dashboard (2)'!$Q$1,BC15,MIN(BC15+'Dashboard (2)'!$N$2,'Dashboard (2)'!$Q$1))</f>
        <v/>
      </c>
      <c r="BN15" s="89">
        <f>BL15*BM15</f>
        <v/>
      </c>
      <c r="BO15" s="89" t="n"/>
      <c r="BP15" s="89" t="n"/>
      <c r="BQ15" s="89" t="n"/>
      <c r="BR15" s="110" t="n"/>
    </row>
    <row r="16" ht="17.5" customHeight="1">
      <c r="A16" s="82" t="inlineStr">
        <is>
          <t>FINLAND</t>
        </is>
      </c>
      <c r="B16" s="83" t="inlineStr">
        <is>
          <t>LCV</t>
        </is>
      </c>
      <c r="C16" s="84">
        <f>Dashboard!C12</f>
        <v/>
      </c>
      <c r="D16" s="84">
        <f>Dashboard!D12</f>
        <v/>
      </c>
      <c r="E16" s="109">
        <f>Dashboard!E12</f>
        <v/>
      </c>
      <c r="F16" s="109">
        <f>Dashboard!F12</f>
        <v/>
      </c>
      <c r="G16" s="84">
        <f>Dashboard!G12</f>
        <v/>
      </c>
      <c r="H16" s="109">
        <f>Dashboard!H12</f>
        <v/>
      </c>
      <c r="I16" s="93">
        <f>Dashboard!I12</f>
        <v/>
      </c>
      <c r="J16" s="83" t="n"/>
      <c r="K16" s="83" t="inlineStr">
        <is>
          <t>LCV</t>
        </is>
      </c>
      <c r="L16" s="89">
        <f>FINLAND!D14</f>
        <v/>
      </c>
      <c r="M16" s="89">
        <f>FINLAND!D9</f>
        <v/>
      </c>
      <c r="N16" s="89">
        <f>L16*M16</f>
        <v/>
      </c>
      <c r="O16" s="89">
        <f>FINLAND!D20</f>
        <v/>
      </c>
      <c r="P16" s="90">
        <f>O16/N16</f>
        <v/>
      </c>
      <c r="Q16" s="90" t="n"/>
      <c r="R16" s="103" t="n"/>
      <c r="S16" s="103" t="n"/>
      <c r="T16" s="110" t="n"/>
      <c r="U16" s="83" t="inlineStr">
        <is>
          <t>LCV</t>
        </is>
      </c>
      <c r="V16" s="89">
        <f>FINLAND!E14</f>
        <v/>
      </c>
      <c r="W16" s="89">
        <f>FINLAND!E9</f>
        <v/>
      </c>
      <c r="X16" s="89">
        <f>V16*W16</f>
        <v/>
      </c>
      <c r="Y16" s="90">
        <f>Z16/X16</f>
        <v/>
      </c>
      <c r="Z16" s="89">
        <f>FINLAND!E24</f>
        <v/>
      </c>
      <c r="AA16" s="89" t="n"/>
      <c r="AB16" s="89" t="n"/>
      <c r="AC16" s="89" t="n"/>
      <c r="AD16" s="110" t="n"/>
      <c r="AE16" s="83" t="inlineStr">
        <is>
          <t>LCV</t>
        </is>
      </c>
      <c r="AF16" s="89">
        <f>FINLAND!F14</f>
        <v/>
      </c>
      <c r="AG16" s="89">
        <f>FINLAND!F9</f>
        <v/>
      </c>
      <c r="AH16" s="89">
        <f>AF16*AG16</f>
        <v/>
      </c>
      <c r="AI16" s="90">
        <f>IF(Y16&gt;='Dashboard (2)'!$Q$1,Y16,MIN(Y16+'Dashboard (2)'!$N$2,'Dashboard (2)'!$Q$1))</f>
        <v/>
      </c>
      <c r="AJ16" s="89">
        <f>AH16*AI16</f>
        <v/>
      </c>
      <c r="AK16" s="89" t="n"/>
      <c r="AL16" s="89" t="n"/>
      <c r="AM16" s="89" t="n"/>
      <c r="AN16" s="110" t="n"/>
      <c r="AO16" s="83" t="inlineStr">
        <is>
          <t>LCV</t>
        </is>
      </c>
      <c r="AP16" s="89">
        <f>FINLAND!G14</f>
        <v/>
      </c>
      <c r="AQ16" s="89">
        <f>FINLAND!G9</f>
        <v/>
      </c>
      <c r="AR16" s="89">
        <f>AP16*AQ16</f>
        <v/>
      </c>
      <c r="AS16" s="90">
        <f>IF(AI16&gt;='Dashboard (2)'!$Q$1,AI16,MIN(AI16+'Dashboard (2)'!$N$2,'Dashboard (2)'!$Q$1))</f>
        <v/>
      </c>
      <c r="AT16" s="89">
        <f>AR16*AS16</f>
        <v/>
      </c>
      <c r="AU16" s="89" t="n"/>
      <c r="AV16" s="89" t="n"/>
      <c r="AW16" s="89" t="n"/>
      <c r="AX16" s="110" t="n"/>
      <c r="AY16" s="83" t="inlineStr">
        <is>
          <t>LCV</t>
        </is>
      </c>
      <c r="AZ16" s="89">
        <f>FINLAND!H14</f>
        <v/>
      </c>
      <c r="BA16" s="89">
        <f>FINLAND!H9</f>
        <v/>
      </c>
      <c r="BB16" s="89">
        <f>AZ16*BA16</f>
        <v/>
      </c>
      <c r="BC16" s="90">
        <f>IF(AS16&gt;='Dashboard (2)'!$Q$1,AS16,MIN(AS16+'Dashboard (2)'!$N$2,'Dashboard (2)'!$Q$1))</f>
        <v/>
      </c>
      <c r="BD16" s="89">
        <f>BB16*BC16</f>
        <v/>
      </c>
      <c r="BE16" s="89" t="n"/>
      <c r="BF16" s="89" t="n"/>
      <c r="BG16" s="89" t="n"/>
      <c r="BH16" s="110" t="n"/>
      <c r="BI16" s="83" t="inlineStr">
        <is>
          <t>LCV</t>
        </is>
      </c>
      <c r="BJ16" s="89">
        <f>FINLAND!I14</f>
        <v/>
      </c>
      <c r="BK16" s="89">
        <f>FINLAND!I9</f>
        <v/>
      </c>
      <c r="BL16" s="89">
        <f>BJ16*BK16</f>
        <v/>
      </c>
      <c r="BM16" s="90">
        <f>IF(BC16&gt;='Dashboard (2)'!$Q$1,BC16,MIN(BC16+'Dashboard (2)'!$N$2,'Dashboard (2)'!$Q$1))</f>
        <v/>
      </c>
      <c r="BN16" s="89">
        <f>BL16*BM16</f>
        <v/>
      </c>
      <c r="BO16" s="89" t="n"/>
      <c r="BP16" s="89" t="n"/>
      <c r="BQ16" s="89" t="n"/>
      <c r="BR16" s="110" t="n"/>
    </row>
    <row r="17" ht="17.5" customHeight="1">
      <c r="A17" s="82" t="inlineStr">
        <is>
          <t>ROMANIA</t>
        </is>
      </c>
      <c r="B17" s="83" t="inlineStr">
        <is>
          <t>LCV</t>
        </is>
      </c>
      <c r="C17" s="84">
        <f>Dashboard!C13</f>
        <v/>
      </c>
      <c r="D17" s="84">
        <f>Dashboard!D13</f>
        <v/>
      </c>
      <c r="E17" s="109">
        <f>Dashboard!E13</f>
        <v/>
      </c>
      <c r="F17" s="109">
        <f>Dashboard!F13</f>
        <v/>
      </c>
      <c r="G17" s="84">
        <f>Dashboard!G13</f>
        <v/>
      </c>
      <c r="H17" s="109">
        <f>Dashboard!H13</f>
        <v/>
      </c>
      <c r="I17" s="93">
        <f>Dashboard!I13</f>
        <v/>
      </c>
      <c r="J17" s="83" t="n"/>
      <c r="K17" s="83" t="inlineStr">
        <is>
          <t>LCV</t>
        </is>
      </c>
      <c r="L17" s="89">
        <f>ROMANIA!D14</f>
        <v/>
      </c>
      <c r="M17" s="89">
        <f>ROMANIA!D9</f>
        <v/>
      </c>
      <c r="N17" s="89">
        <f>L17*M17</f>
        <v/>
      </c>
      <c r="O17" s="89">
        <f>ROMANIA!D20</f>
        <v/>
      </c>
      <c r="P17" s="90">
        <f>O17/N17</f>
        <v/>
      </c>
      <c r="Q17" s="90" t="n"/>
      <c r="R17" s="103" t="n"/>
      <c r="S17" s="103" t="n"/>
      <c r="T17" s="110" t="n"/>
      <c r="U17" s="83" t="inlineStr">
        <is>
          <t>LCV</t>
        </is>
      </c>
      <c r="V17" s="89">
        <f>ROMANIA!E14</f>
        <v/>
      </c>
      <c r="W17" s="89">
        <f>ROMANIA!E9</f>
        <v/>
      </c>
      <c r="X17" s="89">
        <f>V17*W17</f>
        <v/>
      </c>
      <c r="Y17" s="90">
        <f>Z17/X17</f>
        <v/>
      </c>
      <c r="Z17" s="89">
        <f>ROMANIA!E24</f>
        <v/>
      </c>
      <c r="AA17" s="89" t="n"/>
      <c r="AB17" s="89" t="n"/>
      <c r="AC17" s="89" t="n"/>
      <c r="AD17" s="110" t="n"/>
      <c r="AE17" s="83" t="inlineStr">
        <is>
          <t>LCV</t>
        </is>
      </c>
      <c r="AF17" s="89">
        <f>ROMANIA!F14</f>
        <v/>
      </c>
      <c r="AG17" s="89">
        <f>ROMANIA!F9</f>
        <v/>
      </c>
      <c r="AH17" s="89">
        <f>AF17*AG17</f>
        <v/>
      </c>
      <c r="AI17" s="90">
        <f>IF(Y17&gt;='Dashboard (2)'!$Q$1,Y17,MIN(Y17+'Dashboard (2)'!$N$2,'Dashboard (2)'!$Q$1))</f>
        <v/>
      </c>
      <c r="AJ17" s="89">
        <f>AH17*AI17</f>
        <v/>
      </c>
      <c r="AK17" s="89" t="n"/>
      <c r="AL17" s="89" t="n"/>
      <c r="AM17" s="89" t="n"/>
      <c r="AN17" s="110" t="n"/>
      <c r="AO17" s="83" t="inlineStr">
        <is>
          <t>LCV</t>
        </is>
      </c>
      <c r="AP17" s="89">
        <f>ROMANIA!G14</f>
        <v/>
      </c>
      <c r="AQ17" s="89">
        <f>ROMANIA!G9</f>
        <v/>
      </c>
      <c r="AR17" s="89">
        <f>AP17*AQ17</f>
        <v/>
      </c>
      <c r="AS17" s="90">
        <f>IF(AI17&gt;='Dashboard (2)'!$Q$1,AI17,MIN(AI17+'Dashboard (2)'!$N$2,'Dashboard (2)'!$Q$1))</f>
        <v/>
      </c>
      <c r="AT17" s="89">
        <f>AR17*AS17</f>
        <v/>
      </c>
      <c r="AU17" s="89" t="n"/>
      <c r="AV17" s="89" t="n"/>
      <c r="AW17" s="89" t="n"/>
      <c r="AX17" s="110" t="n"/>
      <c r="AY17" s="83" t="inlineStr">
        <is>
          <t>LCV</t>
        </is>
      </c>
      <c r="AZ17" s="89">
        <f>ROMANIA!H14</f>
        <v/>
      </c>
      <c r="BA17" s="89">
        <f>ROMANIA!H9</f>
        <v/>
      </c>
      <c r="BB17" s="89">
        <f>AZ17*BA17</f>
        <v/>
      </c>
      <c r="BC17" s="90">
        <f>IF(AS17&gt;='Dashboard (2)'!$Q$1,AS17,MIN(AS17+'Dashboard (2)'!$N$2,'Dashboard (2)'!$Q$1))</f>
        <v/>
      </c>
      <c r="BD17" s="89">
        <f>BB17*BC17</f>
        <v/>
      </c>
      <c r="BE17" s="89" t="n"/>
      <c r="BF17" s="89" t="n"/>
      <c r="BG17" s="89" t="n"/>
      <c r="BH17" s="110" t="n"/>
      <c r="BI17" s="83" t="inlineStr">
        <is>
          <t>LCV</t>
        </is>
      </c>
      <c r="BJ17" s="89">
        <f>ROMANIA!I14</f>
        <v/>
      </c>
      <c r="BK17" s="89">
        <f>ROMANIA!I9</f>
        <v/>
      </c>
      <c r="BL17" s="89">
        <f>BJ17*BK17</f>
        <v/>
      </c>
      <c r="BM17" s="90">
        <f>IF(BC17&gt;='Dashboard (2)'!$Q$1,BC17,MIN(BC17+'Dashboard (2)'!$N$2,'Dashboard (2)'!$Q$1))</f>
        <v/>
      </c>
      <c r="BN17" s="89">
        <f>BL17*BM17</f>
        <v/>
      </c>
      <c r="BO17" s="89" t="n"/>
      <c r="BP17" s="89" t="n"/>
      <c r="BQ17" s="89" t="n"/>
      <c r="BR17" s="110" t="n"/>
    </row>
    <row r="18" ht="17.5" customHeight="1">
      <c r="A18" s="82" t="inlineStr">
        <is>
          <t>DENMARK</t>
        </is>
      </c>
      <c r="B18" s="83" t="inlineStr">
        <is>
          <t>LCV</t>
        </is>
      </c>
      <c r="C18" s="84">
        <f>Dashboard!C14</f>
        <v/>
      </c>
      <c r="D18" s="84">
        <f>Dashboard!D14</f>
        <v/>
      </c>
      <c r="E18" s="109">
        <f>Dashboard!E14</f>
        <v/>
      </c>
      <c r="F18" s="109">
        <f>Dashboard!F14</f>
        <v/>
      </c>
      <c r="G18" s="84">
        <f>Dashboard!G14</f>
        <v/>
      </c>
      <c r="H18" s="109">
        <f>Dashboard!H14</f>
        <v/>
      </c>
      <c r="I18" s="93">
        <f>Dashboard!I14</f>
        <v/>
      </c>
      <c r="J18" s="83" t="n"/>
      <c r="K18" s="83" t="inlineStr">
        <is>
          <t>LCV</t>
        </is>
      </c>
      <c r="L18" s="89">
        <f>DENMARK!D14</f>
        <v/>
      </c>
      <c r="M18" s="89">
        <f>DENMARK!D9</f>
        <v/>
      </c>
      <c r="N18" s="89">
        <f>L18*M18</f>
        <v/>
      </c>
      <c r="O18" s="89">
        <f>DENMARK!D20</f>
        <v/>
      </c>
      <c r="P18" s="90">
        <f>O18/N18</f>
        <v/>
      </c>
      <c r="Q18" s="90" t="n"/>
      <c r="R18" s="103" t="n"/>
      <c r="S18" s="103" t="n"/>
      <c r="T18" s="110" t="n"/>
      <c r="U18" s="83" t="inlineStr">
        <is>
          <t>LCV</t>
        </is>
      </c>
      <c r="V18" s="89">
        <f>DENMARK!E14</f>
        <v/>
      </c>
      <c r="W18" s="89">
        <f>DENMARK!E9</f>
        <v/>
      </c>
      <c r="X18" s="89">
        <f>V18*W18</f>
        <v/>
      </c>
      <c r="Y18" s="90">
        <f>Z18/X18</f>
        <v/>
      </c>
      <c r="Z18" s="89">
        <f>DENMARK!E24</f>
        <v/>
      </c>
      <c r="AA18" s="89" t="n"/>
      <c r="AB18" s="89" t="n"/>
      <c r="AC18" s="89" t="n"/>
      <c r="AD18" s="110" t="n"/>
      <c r="AE18" s="83" t="inlineStr">
        <is>
          <t>LCV</t>
        </is>
      </c>
      <c r="AF18" s="89">
        <f>DENMARK!F14</f>
        <v/>
      </c>
      <c r="AG18" s="89">
        <f>DENMARK!F9</f>
        <v/>
      </c>
      <c r="AH18" s="89">
        <f>AF18*AG18</f>
        <v/>
      </c>
      <c r="AI18" s="90">
        <f>IF(Y18&gt;='Dashboard (2)'!$Q$1,Y18,MIN(Y18+'Dashboard (2)'!$N$2,'Dashboard (2)'!$Q$1))</f>
        <v/>
      </c>
      <c r="AJ18" s="89">
        <f>AH18*AI18</f>
        <v/>
      </c>
      <c r="AK18" s="89" t="n"/>
      <c r="AL18" s="89" t="n"/>
      <c r="AM18" s="89" t="n"/>
      <c r="AN18" s="110" t="n"/>
      <c r="AO18" s="83" t="inlineStr">
        <is>
          <t>LCV</t>
        </is>
      </c>
      <c r="AP18" s="89">
        <f>DENMARK!G14</f>
        <v/>
      </c>
      <c r="AQ18" s="89">
        <f>DENMARK!G9</f>
        <v/>
      </c>
      <c r="AR18" s="89">
        <f>AP18*AQ18</f>
        <v/>
      </c>
      <c r="AS18" s="90">
        <f>IF(AI18&gt;='Dashboard (2)'!$Q$1,AI18,MIN(AI18+'Dashboard (2)'!$N$2,'Dashboard (2)'!$Q$1))</f>
        <v/>
      </c>
      <c r="AT18" s="89">
        <f>AR18*AS18</f>
        <v/>
      </c>
      <c r="AU18" s="89" t="n"/>
      <c r="AV18" s="89" t="n"/>
      <c r="AW18" s="89" t="n"/>
      <c r="AX18" s="110" t="n"/>
      <c r="AY18" s="83" t="inlineStr">
        <is>
          <t>LCV</t>
        </is>
      </c>
      <c r="AZ18" s="89">
        <f>DENMARK!H14</f>
        <v/>
      </c>
      <c r="BA18" s="89">
        <f>DENMARK!H9</f>
        <v/>
      </c>
      <c r="BB18" s="89">
        <f>AZ18*BA18</f>
        <v/>
      </c>
      <c r="BC18" s="90">
        <f>IF(AS18&gt;='Dashboard (2)'!$Q$1,AS18,MIN(AS18+'Dashboard (2)'!$N$2,'Dashboard (2)'!$Q$1))</f>
        <v/>
      </c>
      <c r="BD18" s="89">
        <f>BB18*BC18</f>
        <v/>
      </c>
      <c r="BE18" s="89" t="n"/>
      <c r="BF18" s="89" t="n"/>
      <c r="BG18" s="89" t="n"/>
      <c r="BH18" s="110" t="n"/>
      <c r="BI18" s="83" t="inlineStr">
        <is>
          <t>LCV</t>
        </is>
      </c>
      <c r="BJ18" s="89">
        <f>DENMARK!I14</f>
        <v/>
      </c>
      <c r="BK18" s="89">
        <f>DENMARK!I9</f>
        <v/>
      </c>
      <c r="BL18" s="89">
        <f>BJ18*BK18</f>
        <v/>
      </c>
      <c r="BM18" s="90">
        <f>IF(BC18&gt;='Dashboard (2)'!$Q$1,BC18,MIN(BC18+'Dashboard (2)'!$N$2,'Dashboard (2)'!$Q$1))</f>
        <v/>
      </c>
      <c r="BN18" s="89">
        <f>BL18*BM18</f>
        <v/>
      </c>
      <c r="BO18" s="89" t="n"/>
      <c r="BP18" s="89" t="n"/>
      <c r="BQ18" s="89" t="n"/>
      <c r="BR18" s="110" t="n"/>
    </row>
    <row r="19" ht="17.5" customHeight="1">
      <c r="A19" s="82" t="inlineStr">
        <is>
          <t>ICELAND</t>
        </is>
      </c>
      <c r="B19" s="83" t="inlineStr">
        <is>
          <t>LCV</t>
        </is>
      </c>
      <c r="C19" s="84">
        <f>Dashboard!C15</f>
        <v/>
      </c>
      <c r="D19" s="84">
        <f>Dashboard!D15</f>
        <v/>
      </c>
      <c r="E19" s="109">
        <f>Dashboard!E15</f>
        <v/>
      </c>
      <c r="F19" s="109">
        <f>Dashboard!F15</f>
        <v/>
      </c>
      <c r="G19" s="84">
        <f>Dashboard!G15</f>
        <v/>
      </c>
      <c r="H19" s="109">
        <f>Dashboard!H15</f>
        <v/>
      </c>
      <c r="I19" s="93">
        <f>Dashboard!I15</f>
        <v/>
      </c>
      <c r="J19" s="83" t="n"/>
      <c r="K19" s="83" t="inlineStr">
        <is>
          <t>LCV</t>
        </is>
      </c>
      <c r="L19" s="89">
        <f>ICELAND!D14</f>
        <v/>
      </c>
      <c r="M19" s="89">
        <f>ICELAND!D9</f>
        <v/>
      </c>
      <c r="N19" s="89">
        <f>L19*M19</f>
        <v/>
      </c>
      <c r="O19" s="89">
        <f>ICELAND!D20</f>
        <v/>
      </c>
      <c r="P19" s="90">
        <f>O19/N19</f>
        <v/>
      </c>
      <c r="Q19" s="90" t="n"/>
      <c r="R19" s="103" t="n"/>
      <c r="S19" s="103" t="n"/>
      <c r="T19" s="110" t="n"/>
      <c r="U19" s="83" t="inlineStr">
        <is>
          <t>LCV</t>
        </is>
      </c>
      <c r="V19" s="89">
        <f>ICELAND!E14</f>
        <v/>
      </c>
      <c r="W19" s="89">
        <f>ICELAND!E9</f>
        <v/>
      </c>
      <c r="X19" s="89">
        <f>V19*W19</f>
        <v/>
      </c>
      <c r="Y19" s="90">
        <f>Z19/X19</f>
        <v/>
      </c>
      <c r="Z19" s="89">
        <f>ICELAND!E24</f>
        <v/>
      </c>
      <c r="AA19" s="89" t="n"/>
      <c r="AB19" s="89" t="n"/>
      <c r="AC19" s="89" t="n"/>
      <c r="AD19" s="110" t="n"/>
      <c r="AE19" s="83" t="inlineStr">
        <is>
          <t>LCV</t>
        </is>
      </c>
      <c r="AF19" s="89">
        <f>ICELAND!F14</f>
        <v/>
      </c>
      <c r="AG19" s="89">
        <f>ICELAND!F9</f>
        <v/>
      </c>
      <c r="AH19" s="89">
        <f>AF19*AG19</f>
        <v/>
      </c>
      <c r="AI19" s="90">
        <f>IF(Y19&gt;='Dashboard (2)'!$Q$1,Y19,MIN(Y19+'Dashboard (2)'!$N$2,'Dashboard (2)'!$Q$1))</f>
        <v/>
      </c>
      <c r="AJ19" s="89">
        <f>AH19*AI19</f>
        <v/>
      </c>
      <c r="AK19" s="89" t="n"/>
      <c r="AL19" s="89" t="n"/>
      <c r="AM19" s="89" t="n"/>
      <c r="AN19" s="110" t="n"/>
      <c r="AO19" s="83" t="inlineStr">
        <is>
          <t>LCV</t>
        </is>
      </c>
      <c r="AP19" s="89">
        <f>ICELAND!G14</f>
        <v/>
      </c>
      <c r="AQ19" s="89">
        <f>ICELAND!G9</f>
        <v/>
      </c>
      <c r="AR19" s="89">
        <f>AP19*AQ19</f>
        <v/>
      </c>
      <c r="AS19" s="90">
        <f>IF(AI19&gt;='Dashboard (2)'!$Q$1,AI19,MIN(AI19+'Dashboard (2)'!$N$2,'Dashboard (2)'!$Q$1))</f>
        <v/>
      </c>
      <c r="AT19" s="89">
        <f>AR19*AS19</f>
        <v/>
      </c>
      <c r="AU19" s="89" t="n"/>
      <c r="AV19" s="89" t="n"/>
      <c r="AW19" s="89" t="n"/>
      <c r="AX19" s="110" t="n"/>
      <c r="AY19" s="83" t="inlineStr">
        <is>
          <t>LCV</t>
        </is>
      </c>
      <c r="AZ19" s="89">
        <f>ICELAND!H14</f>
        <v/>
      </c>
      <c r="BA19" s="89">
        <f>ICELAND!H9</f>
        <v/>
      </c>
      <c r="BB19" s="89">
        <f>AZ19*BA19</f>
        <v/>
      </c>
      <c r="BC19" s="90">
        <f>IF(AS19&gt;='Dashboard (2)'!$Q$1,AS19,MIN(AS19+'Dashboard (2)'!$N$2,'Dashboard (2)'!$Q$1))</f>
        <v/>
      </c>
      <c r="BD19" s="89">
        <f>BB19*BC19</f>
        <v/>
      </c>
      <c r="BE19" s="89" t="n"/>
      <c r="BF19" s="89" t="n"/>
      <c r="BG19" s="89" t="n"/>
      <c r="BH19" s="110" t="n"/>
      <c r="BI19" s="83" t="inlineStr">
        <is>
          <t>LCV</t>
        </is>
      </c>
      <c r="BJ19" s="89">
        <f>ICELAND!I14</f>
        <v/>
      </c>
      <c r="BK19" s="89">
        <f>ICELAND!I9</f>
        <v/>
      </c>
      <c r="BL19" s="89">
        <f>BJ19*BK19</f>
        <v/>
      </c>
      <c r="BM19" s="90">
        <f>IF(BC19&gt;='Dashboard (2)'!$Q$1,BC19,MIN(BC19+'Dashboard (2)'!$N$2,'Dashboard (2)'!$Q$1))</f>
        <v/>
      </c>
      <c r="BN19" s="89">
        <f>BL19*BM19</f>
        <v/>
      </c>
      <c r="BO19" s="89" t="n"/>
      <c r="BP19" s="89" t="n"/>
      <c r="BQ19" s="89" t="n"/>
      <c r="BR19" s="110" t="n"/>
    </row>
    <row r="20" ht="17.5" customHeight="1">
      <c r="A20" s="82" t="inlineStr">
        <is>
          <t>GERMANY</t>
        </is>
      </c>
      <c r="B20" s="83" t="inlineStr">
        <is>
          <t>mixed</t>
        </is>
      </c>
      <c r="C20" s="84">
        <f>Dashboard!C16</f>
        <v/>
      </c>
      <c r="D20" s="84">
        <f>Dashboard!D16</f>
        <v/>
      </c>
      <c r="E20" s="109">
        <f>Dashboard!E16</f>
        <v/>
      </c>
      <c r="F20" s="109">
        <f>Dashboard!F16</f>
        <v/>
      </c>
      <c r="G20" s="84">
        <f>Dashboard!G16</f>
        <v/>
      </c>
      <c r="H20" s="109">
        <f>Dashboard!H16</f>
        <v/>
      </c>
      <c r="I20" s="93">
        <f>Dashboard!I16</f>
        <v/>
      </c>
      <c r="J20" s="83" t="n"/>
      <c r="K20" s="83" t="inlineStr">
        <is>
          <t>CV LD</t>
        </is>
      </c>
      <c r="L20" s="89">
        <f>GERMANY!C17</f>
        <v/>
      </c>
      <c r="M20" s="89">
        <f>GERMANY!D9</f>
        <v/>
      </c>
      <c r="N20" s="89">
        <f>L20*M20</f>
        <v/>
      </c>
      <c r="P20" s="90" t="n"/>
      <c r="Q20" s="90" t="n"/>
      <c r="R20" s="103" t="n"/>
      <c r="S20" s="103" t="n"/>
      <c r="T20" s="110" t="n"/>
      <c r="U20" s="83" t="inlineStr">
        <is>
          <t>CV LD</t>
        </is>
      </c>
      <c r="V20" s="89">
        <f>GERMANY!D17</f>
        <v/>
      </c>
      <c r="W20" s="89">
        <f>GERMANY!E9</f>
        <v/>
      </c>
      <c r="X20" s="89">
        <f>V20*W20</f>
        <v/>
      </c>
      <c r="Y20" s="90" t="n"/>
      <c r="Z20" s="89" t="n"/>
      <c r="AA20" s="89" t="n"/>
      <c r="AB20" s="89" t="n"/>
      <c r="AC20" s="89" t="n"/>
      <c r="AD20" s="110" t="n"/>
      <c r="AE20" s="83" t="inlineStr">
        <is>
          <t>CV LD</t>
        </is>
      </c>
      <c r="AF20" s="89">
        <f>GERMANY!E17</f>
        <v/>
      </c>
      <c r="AG20" s="89">
        <f>GERMANY!F9</f>
        <v/>
      </c>
      <c r="AH20" s="89">
        <f>AF20*AG20</f>
        <v/>
      </c>
      <c r="AI20" s="90" t="n"/>
      <c r="AJ20" s="89" t="n"/>
      <c r="AK20" s="89" t="n"/>
      <c r="AL20" s="89" t="n"/>
      <c r="AM20" s="89" t="n"/>
      <c r="AN20" s="110" t="n"/>
      <c r="AO20" s="83" t="inlineStr">
        <is>
          <t>CV LD</t>
        </is>
      </c>
      <c r="AP20" s="89">
        <f>GERMANY!F17</f>
        <v/>
      </c>
      <c r="AQ20" s="89">
        <f>GERMANY!G9</f>
        <v/>
      </c>
      <c r="AR20" s="89">
        <f>AP20*AQ20</f>
        <v/>
      </c>
      <c r="AS20" s="90" t="n"/>
      <c r="AT20" s="89" t="n"/>
      <c r="AU20" s="89" t="n"/>
      <c r="AV20" s="89" t="n"/>
      <c r="AW20" s="89" t="n"/>
      <c r="AX20" s="110" t="n"/>
      <c r="AY20" s="83" t="inlineStr">
        <is>
          <t>CV LD</t>
        </is>
      </c>
      <c r="AZ20" s="89">
        <f>GERMANY!G17</f>
        <v/>
      </c>
      <c r="BA20" s="89">
        <f>GERMANY!H9</f>
        <v/>
      </c>
      <c r="BB20" s="89">
        <f>AZ20*BA20</f>
        <v/>
      </c>
      <c r="BC20" s="90" t="n"/>
      <c r="BD20" s="89" t="n"/>
      <c r="BE20" s="89" t="n"/>
      <c r="BF20" s="89" t="n"/>
      <c r="BG20" s="89" t="n"/>
      <c r="BH20" s="110" t="n"/>
      <c r="BI20" s="83" t="inlineStr">
        <is>
          <t>CV LD</t>
        </is>
      </c>
      <c r="BJ20" s="89">
        <f>GERMANY!H17</f>
        <v/>
      </c>
      <c r="BK20" s="89">
        <f>GERMANY!I9</f>
        <v/>
      </c>
      <c r="BL20" s="89">
        <f>BJ20*BK20</f>
        <v/>
      </c>
      <c r="BM20" s="90" t="n"/>
      <c r="BN20" s="89" t="n"/>
      <c r="BO20" s="89" t="n"/>
      <c r="BP20" s="89" t="n"/>
      <c r="BQ20" s="89" t="n"/>
      <c r="BR20" s="110" t="n"/>
    </row>
    <row r="21" ht="17.5" customHeight="1">
      <c r="A21" s="82" t="n"/>
      <c r="B21" s="83" t="n"/>
      <c r="C21" s="84" t="n"/>
      <c r="D21" s="84" t="n"/>
      <c r="E21" s="109" t="n"/>
      <c r="F21" s="109" t="n"/>
      <c r="G21" s="84" t="n"/>
      <c r="H21" s="109" t="n"/>
      <c r="I21" s="93" t="n"/>
      <c r="J21" s="83" t="n"/>
      <c r="K21" s="83" t="inlineStr">
        <is>
          <t>CV MD</t>
        </is>
      </c>
      <c r="L21" s="89">
        <f>GERMANY!C18</f>
        <v/>
      </c>
      <c r="M21" s="89">
        <f>GERMANY!D10</f>
        <v/>
      </c>
      <c r="N21" s="89">
        <f>L21*M21</f>
        <v/>
      </c>
      <c r="O21" s="89" t="n"/>
      <c r="P21" s="90" t="n"/>
      <c r="Q21" s="90" t="n"/>
      <c r="R21" s="103" t="n"/>
      <c r="S21" s="103" t="n"/>
      <c r="T21" s="110" t="n"/>
      <c r="U21" s="83" t="inlineStr">
        <is>
          <t>CV MD</t>
        </is>
      </c>
      <c r="V21" s="89">
        <f>GERMANY!D18</f>
        <v/>
      </c>
      <c r="W21" s="89">
        <f>GERMANY!E10</f>
        <v/>
      </c>
      <c r="X21" s="89">
        <f>V21*W21</f>
        <v/>
      </c>
      <c r="Y21" s="90" t="n"/>
      <c r="Z21" s="89" t="n"/>
      <c r="AA21" s="89" t="n"/>
      <c r="AB21" s="89" t="n"/>
      <c r="AC21" s="89" t="n"/>
      <c r="AD21" s="110" t="n"/>
      <c r="AE21" s="83" t="inlineStr">
        <is>
          <t>CV MD</t>
        </is>
      </c>
      <c r="AF21" s="89">
        <f>GERMANY!E18</f>
        <v/>
      </c>
      <c r="AG21" s="89">
        <f>GERMANY!F10</f>
        <v/>
      </c>
      <c r="AH21" s="89">
        <f>AF21*AG21</f>
        <v/>
      </c>
      <c r="AI21" s="90" t="n"/>
      <c r="AJ21" s="89" t="n"/>
      <c r="AK21" s="89" t="n"/>
      <c r="AL21" s="89" t="n"/>
      <c r="AM21" s="89" t="n"/>
      <c r="AN21" s="110" t="n"/>
      <c r="AO21" s="83" t="inlineStr">
        <is>
          <t>CV MD</t>
        </is>
      </c>
      <c r="AP21" s="89">
        <f>GERMANY!F18</f>
        <v/>
      </c>
      <c r="AQ21" s="89">
        <f>GERMANY!G10</f>
        <v/>
      </c>
      <c r="AR21" s="89">
        <f>AP21*AQ21</f>
        <v/>
      </c>
      <c r="AS21" s="90" t="n"/>
      <c r="AT21" s="89" t="n"/>
      <c r="AU21" s="89" t="n"/>
      <c r="AV21" s="89" t="n"/>
      <c r="AW21" s="89" t="n"/>
      <c r="AX21" s="110" t="n"/>
      <c r="AY21" s="83" t="inlineStr">
        <is>
          <t>CV MD</t>
        </is>
      </c>
      <c r="AZ21" s="89">
        <f>GERMANY!G18</f>
        <v/>
      </c>
      <c r="BA21" s="89">
        <f>GERMANY!H10</f>
        <v/>
      </c>
      <c r="BB21" s="89">
        <f>AZ21*BA21</f>
        <v/>
      </c>
      <c r="BC21" s="90" t="n"/>
      <c r="BD21" s="89" t="n"/>
      <c r="BE21" s="89" t="n"/>
      <c r="BF21" s="89" t="n"/>
      <c r="BG21" s="89" t="n"/>
      <c r="BH21" s="110" t="n"/>
      <c r="BI21" s="83" t="inlineStr">
        <is>
          <t>CV MD</t>
        </is>
      </c>
      <c r="BJ21" s="89">
        <f>GERMANY!H18</f>
        <v/>
      </c>
      <c r="BK21" s="89">
        <f>GERMANY!I10</f>
        <v/>
      </c>
      <c r="BL21" s="89">
        <f>BJ21*BK21</f>
        <v/>
      </c>
      <c r="BM21" s="90" t="n"/>
      <c r="BN21" s="89" t="n"/>
      <c r="BO21" s="89" t="n"/>
      <c r="BP21" s="89" t="n"/>
      <c r="BQ21" s="89" t="n"/>
      <c r="BR21" s="110" t="n"/>
    </row>
    <row r="22" ht="17.5" customHeight="1">
      <c r="A22" s="82" t="n"/>
      <c r="B22" s="83" t="n"/>
      <c r="C22" s="84" t="n"/>
      <c r="D22" s="84" t="n"/>
      <c r="E22" s="109" t="n"/>
      <c r="F22" s="109" t="n"/>
      <c r="G22" s="84" t="n"/>
      <c r="H22" s="109" t="n"/>
      <c r="I22" s="93" t="n"/>
      <c r="J22" s="83" t="n"/>
      <c r="K22" s="83" t="inlineStr">
        <is>
          <t>LCV</t>
        </is>
      </c>
      <c r="L22" s="89">
        <f>GERMANY!C20</f>
        <v/>
      </c>
      <c r="M22" s="89">
        <f>GERMANY!D12</f>
        <v/>
      </c>
      <c r="N22" s="89">
        <f>L22*M22</f>
        <v/>
      </c>
      <c r="O22" s="89" t="n"/>
      <c r="P22" s="90" t="n"/>
      <c r="Q22" s="90" t="n"/>
      <c r="R22" s="103" t="n"/>
      <c r="S22" s="103" t="n"/>
      <c r="T22" s="110" t="n"/>
      <c r="U22" s="83" t="inlineStr">
        <is>
          <t>LCV</t>
        </is>
      </c>
      <c r="V22" s="89">
        <f>GERMANY!D20</f>
        <v/>
      </c>
      <c r="W22" s="89">
        <f>GERMANY!E12</f>
        <v/>
      </c>
      <c r="X22" s="89">
        <f>V22*W22</f>
        <v/>
      </c>
      <c r="Y22" s="90" t="n"/>
      <c r="Z22" s="89" t="n"/>
      <c r="AA22" s="89" t="n"/>
      <c r="AB22" s="89" t="n"/>
      <c r="AC22" s="89" t="n"/>
      <c r="AD22" s="110" t="n"/>
      <c r="AE22" s="83" t="inlineStr">
        <is>
          <t>LCV</t>
        </is>
      </c>
      <c r="AF22" s="89">
        <f>GERMANY!E20</f>
        <v/>
      </c>
      <c r="AG22" s="89">
        <f>GERMANY!F12</f>
        <v/>
      </c>
      <c r="AH22" s="89">
        <f>AF22*AG22</f>
        <v/>
      </c>
      <c r="AI22" s="90" t="n"/>
      <c r="AJ22" s="89" t="n"/>
      <c r="AK22" s="89" t="n"/>
      <c r="AL22" s="89" t="n"/>
      <c r="AM22" s="89" t="n"/>
      <c r="AN22" s="110" t="n"/>
      <c r="AO22" s="83" t="inlineStr">
        <is>
          <t>LCV</t>
        </is>
      </c>
      <c r="AP22" s="89">
        <f>GERMANY!F20</f>
        <v/>
      </c>
      <c r="AQ22" s="89">
        <f>GERMANY!G12</f>
        <v/>
      </c>
      <c r="AR22" s="89">
        <f>AP22*AQ22</f>
        <v/>
      </c>
      <c r="AS22" s="90" t="n"/>
      <c r="AT22" s="89" t="n"/>
      <c r="AU22" s="89" t="n"/>
      <c r="AV22" s="89" t="n"/>
      <c r="AW22" s="89" t="n"/>
      <c r="AX22" s="110" t="n"/>
      <c r="AY22" s="83" t="inlineStr">
        <is>
          <t>LCV</t>
        </is>
      </c>
      <c r="AZ22" s="89">
        <f>GERMANY!G20</f>
        <v/>
      </c>
      <c r="BA22" s="89">
        <f>GERMANY!H12</f>
        <v/>
      </c>
      <c r="BB22" s="89">
        <f>AZ22*BA22</f>
        <v/>
      </c>
      <c r="BC22" s="90" t="n"/>
      <c r="BD22" s="89" t="n"/>
      <c r="BE22" s="89" t="n"/>
      <c r="BF22" s="89" t="n"/>
      <c r="BG22" s="89" t="n"/>
      <c r="BH22" s="110" t="n"/>
      <c r="BI22" s="83" t="inlineStr">
        <is>
          <t>LCV</t>
        </is>
      </c>
      <c r="BJ22" s="89">
        <f>GERMANY!H20</f>
        <v/>
      </c>
      <c r="BK22" s="89">
        <f>GERMANY!I12</f>
        <v/>
      </c>
      <c r="BL22" s="89">
        <f>BJ22*BK22</f>
        <v/>
      </c>
      <c r="BM22" s="90" t="n"/>
      <c r="BN22" s="89" t="n"/>
      <c r="BO22" s="89" t="n"/>
      <c r="BP22" s="89" t="n"/>
      <c r="BQ22" s="89" t="n"/>
      <c r="BR22" s="110" t="n"/>
    </row>
    <row r="23" ht="17.5" customHeight="1">
      <c r="A23" s="82" t="n"/>
      <c r="B23" s="83" t="n"/>
      <c r="C23" s="84" t="n"/>
      <c r="D23" s="84" t="n"/>
      <c r="E23" s="109" t="n"/>
      <c r="F23" s="109" t="n"/>
      <c r="G23" s="84" t="n"/>
      <c r="H23" s="109" t="n"/>
      <c r="I23" s="93" t="n"/>
      <c r="J23" s="83" t="n"/>
      <c r="K23" s="83" t="n"/>
      <c r="L23" s="89" t="n"/>
      <c r="M23" s="89">
        <f>SUM(M20:M22)</f>
        <v/>
      </c>
      <c r="N23" s="89">
        <f>SUM(N20:N22)</f>
        <v/>
      </c>
      <c r="O23" s="89">
        <f>GERMANY!D26</f>
        <v/>
      </c>
      <c r="P23" s="90">
        <f>O23/N23</f>
        <v/>
      </c>
      <c r="Q23" s="90" t="n"/>
      <c r="R23" s="103" t="n"/>
      <c r="S23" s="103" t="n"/>
      <c r="T23" s="110" t="n"/>
      <c r="U23" s="83" t="n"/>
      <c r="V23" s="89" t="n"/>
      <c r="W23" s="89">
        <f>SUM(W20:W22)</f>
        <v/>
      </c>
      <c r="X23" s="89">
        <f>SUM(X20:X22)</f>
        <v/>
      </c>
      <c r="Y23" s="90">
        <f>Z23/X23</f>
        <v/>
      </c>
      <c r="Z23" s="89">
        <f>GERMANY!E30</f>
        <v/>
      </c>
      <c r="AA23" s="89" t="n"/>
      <c r="AB23" s="89" t="n"/>
      <c r="AC23" s="89" t="n"/>
      <c r="AD23" s="110" t="n"/>
      <c r="AE23" s="83" t="n"/>
      <c r="AF23" s="89" t="n"/>
      <c r="AG23" s="89">
        <f>SUM(AG20:AG22)</f>
        <v/>
      </c>
      <c r="AH23" s="89">
        <f>SUM(AH20:AH22)</f>
        <v/>
      </c>
      <c r="AI23" s="90">
        <f>IF(Y23&gt;='Dashboard (2)'!$Q$1,Y23,MIN(Y23+'Dashboard (2)'!$N$2,'Dashboard (2)'!$Q$1))</f>
        <v/>
      </c>
      <c r="AJ23" s="89">
        <f>AH23*AI23</f>
        <v/>
      </c>
      <c r="AK23" s="89" t="n"/>
      <c r="AL23" s="89" t="n"/>
      <c r="AM23" s="89" t="n"/>
      <c r="AN23" s="110" t="n"/>
      <c r="AO23" s="83" t="n"/>
      <c r="AP23" s="89" t="n"/>
      <c r="AQ23" s="89">
        <f>SUM(AQ20:AQ22)</f>
        <v/>
      </c>
      <c r="AR23" s="89">
        <f>SUM(AR20:AR22)</f>
        <v/>
      </c>
      <c r="AS23" s="90">
        <f>IF(AI23&gt;='Dashboard (2)'!$Q$1,AI23,MIN(AI23+'Dashboard (2)'!$N$2,'Dashboard (2)'!$Q$1))</f>
        <v/>
      </c>
      <c r="AT23" s="89">
        <f>AR23*AS23</f>
        <v/>
      </c>
      <c r="AU23" s="89" t="n"/>
      <c r="AV23" s="89" t="n"/>
      <c r="AW23" s="89" t="n"/>
      <c r="AX23" s="110" t="n"/>
      <c r="AY23" s="83" t="n"/>
      <c r="AZ23" s="89" t="n"/>
      <c r="BA23" s="89">
        <f>SUM(BA20:BA22)</f>
        <v/>
      </c>
      <c r="BB23" s="89">
        <f>SUM(BB20:BB22)</f>
        <v/>
      </c>
      <c r="BC23" s="90">
        <f>IF(AS23&gt;='Dashboard (2)'!$Q$1,AS23,MIN(AS23+'Dashboard (2)'!$N$2,'Dashboard (2)'!$Q$1))</f>
        <v/>
      </c>
      <c r="BD23" s="89">
        <f>BB23*BC23</f>
        <v/>
      </c>
      <c r="BE23" s="89" t="n"/>
      <c r="BF23" s="89" t="n"/>
      <c r="BG23" s="89" t="n"/>
      <c r="BH23" s="110" t="n"/>
      <c r="BI23" s="83" t="n"/>
      <c r="BJ23" s="89" t="n"/>
      <c r="BK23" s="89">
        <f>SUM(BK20:BK22)</f>
        <v/>
      </c>
      <c r="BL23" s="89">
        <f>SUM(BL20:BL22)</f>
        <v/>
      </c>
      <c r="BM23" s="90">
        <f>IF(BC23&gt;='Dashboard (2)'!$Q$1,BC23,MIN(BC23+'Dashboard (2)'!$N$2,'Dashboard (2)'!$Q$1))</f>
        <v/>
      </c>
      <c r="BN23" s="89">
        <f>BL23*BM23</f>
        <v/>
      </c>
      <c r="BO23" s="89" t="n"/>
      <c r="BP23" s="89" t="n"/>
      <c r="BQ23" s="89" t="n"/>
      <c r="BR23" s="110" t="n"/>
    </row>
    <row r="24" ht="17.5" customHeight="1">
      <c r="A24" s="82" t="inlineStr">
        <is>
          <t>BELGIUM</t>
        </is>
      </c>
      <c r="B24" s="83" t="inlineStr">
        <is>
          <t>mixed</t>
        </is>
      </c>
      <c r="C24" s="84">
        <f>Dashboard!C17</f>
        <v/>
      </c>
      <c r="D24" s="84">
        <f>Dashboard!D17</f>
        <v/>
      </c>
      <c r="E24" s="109">
        <f>Dashboard!E17</f>
        <v/>
      </c>
      <c r="F24" s="109">
        <f>Dashboard!F17</f>
        <v/>
      </c>
      <c r="G24" s="84">
        <f>Dashboard!G17</f>
        <v/>
      </c>
      <c r="H24" s="109">
        <f>Dashboard!H17</f>
        <v/>
      </c>
      <c r="I24" s="93">
        <f>Dashboard!I17</f>
        <v/>
      </c>
      <c r="J24" s="83" t="n"/>
      <c r="K24" s="83" t="inlineStr">
        <is>
          <t>CV LD</t>
        </is>
      </c>
      <c r="L24" s="89">
        <f>BELGIUM!C17</f>
        <v/>
      </c>
      <c r="M24" s="89">
        <f>BELGIUM!D9</f>
        <v/>
      </c>
      <c r="N24" s="89">
        <f>L24*M24</f>
        <v/>
      </c>
      <c r="P24" s="90" t="n"/>
      <c r="Q24" s="90" t="n"/>
      <c r="R24" s="103" t="n"/>
      <c r="S24" s="103" t="n"/>
      <c r="T24" s="110" t="n"/>
      <c r="U24" s="83" t="inlineStr">
        <is>
          <t>CV LD</t>
        </is>
      </c>
      <c r="V24" s="89">
        <f>BELGIUM!D17</f>
        <v/>
      </c>
      <c r="W24" s="89">
        <f>BELGIUM!E9</f>
        <v/>
      </c>
      <c r="X24" s="89">
        <f>V24*W24</f>
        <v/>
      </c>
      <c r="Y24" s="90" t="n"/>
      <c r="Z24" s="89" t="n"/>
      <c r="AA24" s="89" t="n"/>
      <c r="AB24" s="89" t="n"/>
      <c r="AC24" s="89" t="n"/>
      <c r="AD24" s="110" t="n"/>
      <c r="AE24" s="83" t="inlineStr">
        <is>
          <t>CV LD</t>
        </is>
      </c>
      <c r="AF24" s="89">
        <f>BELGIUM!E17</f>
        <v/>
      </c>
      <c r="AG24" s="89">
        <f>BELGIUM!F9</f>
        <v/>
      </c>
      <c r="AH24" s="89">
        <f>AF24*AG24</f>
        <v/>
      </c>
      <c r="AI24" s="90" t="n"/>
      <c r="AJ24" s="89" t="n"/>
      <c r="AK24" s="89" t="n"/>
      <c r="AL24" s="89" t="n"/>
      <c r="AM24" s="89" t="n"/>
      <c r="AN24" s="110" t="n"/>
      <c r="AO24" s="83" t="inlineStr">
        <is>
          <t>CV LD</t>
        </is>
      </c>
      <c r="AP24" s="89">
        <f>BELGIUM!F17</f>
        <v/>
      </c>
      <c r="AQ24" s="89">
        <f>BELGIUM!G9</f>
        <v/>
      </c>
      <c r="AR24" s="89">
        <f>AP24*AQ24</f>
        <v/>
      </c>
      <c r="AS24" s="90" t="n"/>
      <c r="AT24" s="89" t="n"/>
      <c r="AU24" s="89" t="n"/>
      <c r="AV24" s="89" t="n"/>
      <c r="AW24" s="89" t="n"/>
      <c r="AX24" s="110" t="n"/>
      <c r="AY24" s="83" t="inlineStr">
        <is>
          <t>CV LD</t>
        </is>
      </c>
      <c r="AZ24" s="89">
        <f>BELGIUM!G17</f>
        <v/>
      </c>
      <c r="BA24" s="89">
        <f>BELGIUM!H9</f>
        <v/>
      </c>
      <c r="BB24" s="89">
        <f>AZ24*BA24</f>
        <v/>
      </c>
      <c r="BC24" s="90" t="n"/>
      <c r="BD24" s="89" t="n"/>
      <c r="BE24" s="89" t="n"/>
      <c r="BF24" s="89" t="n"/>
      <c r="BG24" s="89" t="n"/>
      <c r="BH24" s="110" t="n"/>
      <c r="BI24" s="83" t="inlineStr">
        <is>
          <t>CV LD</t>
        </is>
      </c>
      <c r="BJ24" s="89">
        <f>BELGIUM!H17</f>
        <v/>
      </c>
      <c r="BK24" s="89">
        <f>BELGIUM!I9</f>
        <v/>
      </c>
      <c r="BL24" s="89">
        <f>BJ24*BK24</f>
        <v/>
      </c>
      <c r="BM24" s="90" t="n"/>
      <c r="BN24" s="89" t="n"/>
      <c r="BO24" s="89" t="n"/>
      <c r="BP24" s="89" t="n"/>
      <c r="BQ24" s="89" t="n"/>
      <c r="BR24" s="110" t="n"/>
    </row>
    <row r="25" ht="17.5" customHeight="1">
      <c r="A25" s="82" t="n"/>
      <c r="B25" s="83" t="n"/>
      <c r="C25" s="84" t="n"/>
      <c r="D25" s="84" t="n"/>
      <c r="E25" s="109" t="n"/>
      <c r="F25" s="109" t="n"/>
      <c r="G25" s="84" t="n"/>
      <c r="H25" s="109" t="n"/>
      <c r="I25" s="93" t="n"/>
      <c r="J25" s="83" t="n"/>
      <c r="K25" s="83" t="inlineStr">
        <is>
          <t>LCV</t>
        </is>
      </c>
      <c r="L25" s="89">
        <f>BELGIUM!C20</f>
        <v/>
      </c>
      <c r="M25" s="89">
        <f>BELGIUM!D12</f>
        <v/>
      </c>
      <c r="N25" s="89">
        <f>L25*M25</f>
        <v/>
      </c>
      <c r="O25" s="89" t="n"/>
      <c r="P25" s="90" t="n"/>
      <c r="Q25" s="90" t="n"/>
      <c r="R25" s="103" t="n"/>
      <c r="S25" s="103" t="n"/>
      <c r="T25" s="110" t="n"/>
      <c r="U25" s="83" t="inlineStr">
        <is>
          <t>LCV</t>
        </is>
      </c>
      <c r="V25" s="89">
        <f>BELGIUM!D20</f>
        <v/>
      </c>
      <c r="W25" s="89">
        <f>BELGIUM!E12</f>
        <v/>
      </c>
      <c r="X25" s="89">
        <f>V25*W25</f>
        <v/>
      </c>
      <c r="Y25" s="90" t="n"/>
      <c r="Z25" s="89" t="n"/>
      <c r="AA25" s="89" t="n"/>
      <c r="AB25" s="89" t="n"/>
      <c r="AC25" s="89" t="n"/>
      <c r="AD25" s="110" t="n"/>
      <c r="AE25" s="83" t="inlineStr">
        <is>
          <t>LCV</t>
        </is>
      </c>
      <c r="AF25" s="89">
        <f>BELGIUM!E20</f>
        <v/>
      </c>
      <c r="AG25" s="89">
        <f>BELGIUM!F12</f>
        <v/>
      </c>
      <c r="AH25" s="89">
        <f>AF25*AG25</f>
        <v/>
      </c>
      <c r="AI25" s="90" t="n"/>
      <c r="AJ25" s="89" t="n"/>
      <c r="AK25" s="89" t="n"/>
      <c r="AL25" s="89" t="n"/>
      <c r="AM25" s="89" t="n"/>
      <c r="AN25" s="110" t="n"/>
      <c r="AO25" s="83" t="inlineStr">
        <is>
          <t>LCV</t>
        </is>
      </c>
      <c r="AP25" s="89">
        <f>BELGIUM!F20</f>
        <v/>
      </c>
      <c r="AQ25" s="89">
        <f>BELGIUM!G12</f>
        <v/>
      </c>
      <c r="AR25" s="89">
        <f>AP25*AQ25</f>
        <v/>
      </c>
      <c r="AS25" s="90" t="n"/>
      <c r="AT25" s="89" t="n"/>
      <c r="AU25" s="89" t="n"/>
      <c r="AV25" s="89" t="n"/>
      <c r="AW25" s="89" t="n"/>
      <c r="AX25" s="110" t="n"/>
      <c r="AY25" s="83" t="inlineStr">
        <is>
          <t>LCV</t>
        </is>
      </c>
      <c r="AZ25" s="89">
        <f>BELGIUM!G20</f>
        <v/>
      </c>
      <c r="BA25" s="89">
        <f>BELGIUM!H12</f>
        <v/>
      </c>
      <c r="BB25" s="89">
        <f>AZ25*BA25</f>
        <v/>
      </c>
      <c r="BC25" s="90" t="n"/>
      <c r="BD25" s="89" t="n"/>
      <c r="BE25" s="89" t="n"/>
      <c r="BF25" s="89" t="n"/>
      <c r="BG25" s="89" t="n"/>
      <c r="BH25" s="110" t="n"/>
      <c r="BI25" s="83" t="inlineStr">
        <is>
          <t>LCV</t>
        </is>
      </c>
      <c r="BJ25" s="89">
        <f>BELGIUM!H20</f>
        <v/>
      </c>
      <c r="BK25" s="89">
        <f>BELGIUM!I12</f>
        <v/>
      </c>
      <c r="BL25" s="89">
        <f>BJ25*BK25</f>
        <v/>
      </c>
      <c r="BM25" s="90" t="n"/>
      <c r="BN25" s="89" t="n"/>
      <c r="BO25" s="89" t="n"/>
      <c r="BP25" s="89" t="n"/>
      <c r="BQ25" s="89" t="n"/>
      <c r="BR25" s="110" t="n"/>
    </row>
    <row r="26" ht="17.5" customHeight="1">
      <c r="A26" s="82" t="n"/>
      <c r="B26" s="83" t="n"/>
      <c r="C26" s="84" t="n"/>
      <c r="D26" s="84" t="n"/>
      <c r="E26" s="109" t="n"/>
      <c r="F26" s="109" t="n"/>
      <c r="G26" s="84" t="n"/>
      <c r="H26" s="109" t="n"/>
      <c r="I26" s="93" t="n"/>
      <c r="J26" s="83" t="n"/>
      <c r="K26" s="83" t="n"/>
      <c r="L26" s="89" t="n"/>
      <c r="M26" s="89">
        <f>SUM(M24:M25)</f>
        <v/>
      </c>
      <c r="N26" s="89">
        <f>SUM(N24:N25)</f>
        <v/>
      </c>
      <c r="O26" s="89">
        <f>BELGIUM!D26</f>
        <v/>
      </c>
      <c r="P26" s="90">
        <f>O26/N26</f>
        <v/>
      </c>
      <c r="Q26" s="90" t="n"/>
      <c r="R26" s="103" t="n"/>
      <c r="S26" s="103" t="n"/>
      <c r="T26" s="110" t="n"/>
      <c r="U26" s="83" t="n"/>
      <c r="V26" s="89" t="n"/>
      <c r="W26" s="89">
        <f>SUM(W24:W25)</f>
        <v/>
      </c>
      <c r="X26" s="89">
        <f>SUM(X24:X25)</f>
        <v/>
      </c>
      <c r="Y26" s="90">
        <f>Z26/X26</f>
        <v/>
      </c>
      <c r="Z26" s="89">
        <f>BELGIUM!E30</f>
        <v/>
      </c>
      <c r="AA26" s="89" t="n"/>
      <c r="AB26" s="89" t="n"/>
      <c r="AC26" s="89" t="n"/>
      <c r="AD26" s="110" t="n"/>
      <c r="AE26" s="83" t="n"/>
      <c r="AF26" s="89" t="n"/>
      <c r="AG26" s="89">
        <f>SUM(AG24:AG25)</f>
        <v/>
      </c>
      <c r="AH26" s="89">
        <f>SUM(AH24:AH25)</f>
        <v/>
      </c>
      <c r="AI26" s="90">
        <f>IF(Y26&gt;='Dashboard (2)'!$Q$1,Y26,MIN(Y26+'Dashboard (2)'!$N$2,'Dashboard (2)'!$Q$1))</f>
        <v/>
      </c>
      <c r="AJ26" s="89">
        <f>AH26*AI26</f>
        <v/>
      </c>
      <c r="AK26" s="89" t="n"/>
      <c r="AL26" s="89" t="n"/>
      <c r="AM26" s="89" t="n"/>
      <c r="AN26" s="110" t="n"/>
      <c r="AO26" s="83" t="n"/>
      <c r="AP26" s="89" t="n"/>
      <c r="AQ26" s="89">
        <f>SUM(AQ24:AQ25)</f>
        <v/>
      </c>
      <c r="AR26" s="89">
        <f>SUM(AR24:AR25)</f>
        <v/>
      </c>
      <c r="AS26" s="90">
        <f>IF(AI26&gt;='Dashboard (2)'!$Q$1,AI26,MIN(AI26+'Dashboard (2)'!$N$2,'Dashboard (2)'!$Q$1))</f>
        <v/>
      </c>
      <c r="AT26" s="89">
        <f>AR26*AS26</f>
        <v/>
      </c>
      <c r="AU26" s="89" t="n"/>
      <c r="AV26" s="89" t="n"/>
      <c r="AW26" s="89" t="n"/>
      <c r="AX26" s="110" t="n"/>
      <c r="AY26" s="83" t="n"/>
      <c r="AZ26" s="89" t="n"/>
      <c r="BA26" s="89">
        <f>SUM(BA24:BA25)</f>
        <v/>
      </c>
      <c r="BB26" s="89">
        <f>SUM(BB24:BB25)</f>
        <v/>
      </c>
      <c r="BC26" s="90">
        <f>IF(AS26&gt;='Dashboard (2)'!$Q$1,AS26,MIN(AS26+'Dashboard (2)'!$N$2,'Dashboard (2)'!$Q$1))</f>
        <v/>
      </c>
      <c r="BD26" s="89">
        <f>BB26*BC26</f>
        <v/>
      </c>
      <c r="BE26" s="89" t="n"/>
      <c r="BF26" s="89" t="n"/>
      <c r="BG26" s="89" t="n"/>
      <c r="BH26" s="110" t="n"/>
      <c r="BI26" s="83" t="n"/>
      <c r="BJ26" s="89" t="n"/>
      <c r="BK26" s="89">
        <f>SUM(BK24:BK25)</f>
        <v/>
      </c>
      <c r="BL26" s="89">
        <f>SUM(BL24:BL25)</f>
        <v/>
      </c>
      <c r="BM26" s="90">
        <f>IF(BC26&gt;='Dashboard (2)'!$Q$1,BC26,MIN(BC26+'Dashboard (2)'!$N$2,'Dashboard (2)'!$Q$1))</f>
        <v/>
      </c>
      <c r="BN26" s="89">
        <f>BL26*BM26</f>
        <v/>
      </c>
      <c r="BO26" s="89" t="n"/>
      <c r="BP26" s="89" t="n"/>
      <c r="BQ26" s="89" t="n"/>
      <c r="BR26" s="110" t="n"/>
    </row>
    <row r="27" ht="17.5" customHeight="1">
      <c r="A27" s="82" t="inlineStr">
        <is>
          <t>PORTUGAL</t>
        </is>
      </c>
      <c r="B27" s="83" t="inlineStr">
        <is>
          <t>mixed</t>
        </is>
      </c>
      <c r="C27" s="84">
        <f>Dashboard!C18</f>
        <v/>
      </c>
      <c r="D27" s="84">
        <f>Dashboard!D18</f>
        <v/>
      </c>
      <c r="E27" s="109">
        <f>Dashboard!E18</f>
        <v/>
      </c>
      <c r="F27" s="109">
        <f>Dashboard!F18</f>
        <v/>
      </c>
      <c r="G27" s="84">
        <f>Dashboard!G18</f>
        <v/>
      </c>
      <c r="H27" s="109">
        <f>Dashboard!H18</f>
        <v/>
      </c>
      <c r="I27" s="93">
        <f>Dashboard!I18</f>
        <v/>
      </c>
      <c r="J27" s="83" t="n"/>
      <c r="K27" s="83" t="inlineStr">
        <is>
          <t>CV N</t>
        </is>
      </c>
      <c r="L27" s="89">
        <f>PORTUGAL!C17</f>
        <v/>
      </c>
      <c r="M27" s="89">
        <f>PORTUGAL!D9</f>
        <v/>
      </c>
      <c r="N27" s="89">
        <f>L27*M27</f>
        <v/>
      </c>
      <c r="P27" s="90" t="n"/>
      <c r="Q27" s="90" t="n"/>
      <c r="R27" s="103" t="n"/>
      <c r="S27" s="103" t="n"/>
      <c r="T27" s="110" t="n"/>
      <c r="U27" s="83" t="inlineStr">
        <is>
          <t>CV N</t>
        </is>
      </c>
      <c r="V27" s="89">
        <f>PORTUGAL!D17</f>
        <v/>
      </c>
      <c r="W27" s="89">
        <f>PORTUGAL!E9</f>
        <v/>
      </c>
      <c r="X27" s="89">
        <f>V27*W27</f>
        <v/>
      </c>
      <c r="Y27" s="90" t="n"/>
      <c r="Z27" s="89" t="n"/>
      <c r="AA27" s="89" t="n"/>
      <c r="AB27" s="89" t="n"/>
      <c r="AC27" s="89" t="n"/>
      <c r="AD27" s="110" t="n"/>
      <c r="AE27" s="83" t="inlineStr">
        <is>
          <t>CV N</t>
        </is>
      </c>
      <c r="AF27" s="89">
        <f>PORTUGAL!E17</f>
        <v/>
      </c>
      <c r="AG27" s="89">
        <f>PORTUGAL!F9</f>
        <v/>
      </c>
      <c r="AH27" s="89">
        <f>AF27*AG27</f>
        <v/>
      </c>
      <c r="AI27" s="90" t="n"/>
      <c r="AJ27" s="89" t="n"/>
      <c r="AK27" s="89" t="n"/>
      <c r="AL27" s="89" t="n"/>
      <c r="AM27" s="89" t="n"/>
      <c r="AN27" s="110" t="n"/>
      <c r="AO27" s="83" t="inlineStr">
        <is>
          <t>CV N</t>
        </is>
      </c>
      <c r="AP27" s="89">
        <f>PORTUGAL!F17</f>
        <v/>
      </c>
      <c r="AQ27" s="89">
        <f>PORTUGAL!G9</f>
        <v/>
      </c>
      <c r="AR27" s="89">
        <f>AP27*AQ27</f>
        <v/>
      </c>
      <c r="AS27" s="90" t="n"/>
      <c r="AT27" s="89" t="n"/>
      <c r="AU27" s="89" t="n"/>
      <c r="AV27" s="89" t="n"/>
      <c r="AW27" s="89" t="n"/>
      <c r="AX27" s="110" t="n"/>
      <c r="AY27" s="83" t="inlineStr">
        <is>
          <t>CV N</t>
        </is>
      </c>
      <c r="AZ27" s="89">
        <f>PORTUGAL!G17</f>
        <v/>
      </c>
      <c r="BA27" s="89">
        <f>PORTUGAL!H9</f>
        <v/>
      </c>
      <c r="BB27" s="89">
        <f>AZ27*BA27</f>
        <v/>
      </c>
      <c r="BC27" s="90" t="n"/>
      <c r="BD27" s="89" t="n"/>
      <c r="BE27" s="89" t="n"/>
      <c r="BF27" s="89" t="n"/>
      <c r="BG27" s="89" t="n"/>
      <c r="BH27" s="110" t="n"/>
      <c r="BI27" s="83" t="inlineStr">
        <is>
          <t>CV N</t>
        </is>
      </c>
      <c r="BJ27" s="89">
        <f>PORTUGAL!H17</f>
        <v/>
      </c>
      <c r="BK27" s="89">
        <f>PORTUGAL!I9</f>
        <v/>
      </c>
      <c r="BL27" s="89">
        <f>BJ27*BK27</f>
        <v/>
      </c>
      <c r="BM27" s="90" t="n"/>
      <c r="BN27" s="89" t="n"/>
      <c r="BO27" s="89" t="n"/>
      <c r="BP27" s="89" t="n"/>
      <c r="BQ27" s="89" t="n"/>
      <c r="BR27" s="110" t="n"/>
    </row>
    <row r="28" ht="17.5" customHeight="1">
      <c r="A28" s="82" t="n"/>
      <c r="B28" s="83" t="n"/>
      <c r="C28" s="84" t="n"/>
      <c r="D28" s="84" t="n"/>
      <c r="E28" s="109" t="n"/>
      <c r="F28" s="109" t="n"/>
      <c r="G28" s="84" t="n"/>
      <c r="H28" s="109" t="n"/>
      <c r="I28" s="93" t="n"/>
      <c r="J28" s="83" t="n"/>
      <c r="K28" s="83" t="inlineStr">
        <is>
          <t>CV F</t>
        </is>
      </c>
      <c r="L28" s="89">
        <f>IFERROR(N28/M28,0)</f>
        <v/>
      </c>
      <c r="M28" s="89">
        <f>PORTUGAL!D10+PORTUGAL!D11</f>
        <v/>
      </c>
      <c r="N28" s="89">
        <f>PORTUGAL!C18*PORTUGAL!D10+PORTUGAL!C19*PORTUGAL!D11</f>
        <v/>
      </c>
      <c r="O28" s="89" t="n"/>
      <c r="P28" s="90" t="n"/>
      <c r="Q28" s="90" t="n"/>
      <c r="R28" s="103" t="n"/>
      <c r="S28" s="103" t="n"/>
      <c r="T28" s="110" t="n"/>
      <c r="U28" s="83" t="inlineStr">
        <is>
          <t>CV F</t>
        </is>
      </c>
      <c r="V28" s="89">
        <f>IFERROR(X28/W28,0)</f>
        <v/>
      </c>
      <c r="W28" s="89">
        <f>PORTUGAL!E10+PORTUGAL!E11</f>
        <v/>
      </c>
      <c r="X28" s="89">
        <f>PORTUGAL!D18*PORTUGAL!E10+PORTUGAL!D19*PORTUGAL!E11</f>
        <v/>
      </c>
      <c r="Y28" s="90" t="n"/>
      <c r="Z28" s="89" t="n"/>
      <c r="AA28" s="89" t="n"/>
      <c r="AB28" s="89" t="n"/>
      <c r="AC28" s="89" t="n"/>
      <c r="AD28" s="110" t="n"/>
      <c r="AE28" s="83" t="inlineStr">
        <is>
          <t>CV F</t>
        </is>
      </c>
      <c r="AF28" s="89">
        <f>IFERROR(AH28/AG28,0)</f>
        <v/>
      </c>
      <c r="AG28" s="89">
        <f>PORTUGAL!F10+PORTUGAL!F11</f>
        <v/>
      </c>
      <c r="AH28" s="89">
        <f>PORTUGAL!E18*PORTUGAL!F10+PORTUGAL!E19*PORTUGAL!F11</f>
        <v/>
      </c>
      <c r="AI28" s="90" t="n"/>
      <c r="AJ28" s="89" t="n"/>
      <c r="AK28" s="89" t="n"/>
      <c r="AL28" s="89" t="n"/>
      <c r="AM28" s="89" t="n"/>
      <c r="AN28" s="110" t="n"/>
      <c r="AO28" s="83" t="inlineStr">
        <is>
          <t>CV F</t>
        </is>
      </c>
      <c r="AP28" s="89">
        <f>IFERROR(AR28/AQ28,0)</f>
        <v/>
      </c>
      <c r="AQ28" s="89">
        <f>PORTUGAL!G10+PORTUGAL!G11</f>
        <v/>
      </c>
      <c r="AR28" s="89">
        <f>PORTUGAL!F18*PORTUGAL!G10+PORTUGAL!F19*PORTUGAL!G11</f>
        <v/>
      </c>
      <c r="AS28" s="90" t="n"/>
      <c r="AT28" s="89" t="n"/>
      <c r="AU28" s="89" t="n"/>
      <c r="AV28" s="89" t="n"/>
      <c r="AW28" s="89" t="n"/>
      <c r="AX28" s="110" t="n"/>
      <c r="AY28" s="83" t="inlineStr">
        <is>
          <t>CV F</t>
        </is>
      </c>
      <c r="AZ28" s="89">
        <f>IFERROR(BB28/BA28,0)</f>
        <v/>
      </c>
      <c r="BA28" s="89">
        <f>PORTUGAL!H10+PORTUGAL!H11</f>
        <v/>
      </c>
      <c r="BB28" s="89">
        <f>PORTUGAL!G18*PORTUGAL!H10+PORTUGAL!G19*PORTUGAL!H11</f>
        <v/>
      </c>
      <c r="BC28" s="90" t="n"/>
      <c r="BD28" s="89" t="n"/>
      <c r="BE28" s="89" t="n"/>
      <c r="BF28" s="89" t="n"/>
      <c r="BG28" s="89" t="n"/>
      <c r="BH28" s="110" t="n"/>
      <c r="BI28" s="83" t="inlineStr">
        <is>
          <t>CV F</t>
        </is>
      </c>
      <c r="BJ28" s="89">
        <f>IFERROR(BL28/BK28,0)</f>
        <v/>
      </c>
      <c r="BK28" s="89">
        <f>PORTUGAL!I10+PORTUGAL!I11</f>
        <v/>
      </c>
      <c r="BL28" s="89">
        <f>PORTUGAL!H18*PORTUGAL!I10+PORTUGAL!H19*PORTUGAL!I11</f>
        <v/>
      </c>
      <c r="BM28" s="90" t="n"/>
      <c r="BN28" s="89" t="n"/>
      <c r="BO28" s="89" t="n"/>
      <c r="BP28" s="89" t="n"/>
      <c r="BQ28" s="89" t="n"/>
      <c r="BR28" s="110" t="n"/>
    </row>
    <row r="29" ht="17.5" customHeight="1">
      <c r="A29" s="82" t="n"/>
      <c r="B29" s="83" t="n"/>
      <c r="C29" s="84" t="n"/>
      <c r="D29" s="84" t="n"/>
      <c r="E29" s="109" t="n"/>
      <c r="F29" s="109" t="n"/>
      <c r="G29" s="84" t="n"/>
      <c r="H29" s="109" t="n"/>
      <c r="I29" s="93" t="n"/>
      <c r="J29" s="83" t="n"/>
      <c r="K29" s="83" t="inlineStr">
        <is>
          <t>LCV</t>
        </is>
      </c>
      <c r="L29" s="89">
        <f>PORTUGAL!C20</f>
        <v/>
      </c>
      <c r="M29" s="89">
        <f>PORTUGAL!D12</f>
        <v/>
      </c>
      <c r="N29" s="89">
        <f>L29*M29</f>
        <v/>
      </c>
      <c r="O29" s="89" t="n"/>
      <c r="P29" s="90" t="n"/>
      <c r="Q29" s="90" t="n"/>
      <c r="R29" s="103" t="n"/>
      <c r="S29" s="103" t="n"/>
      <c r="T29" s="110" t="n"/>
      <c r="U29" s="83" t="inlineStr">
        <is>
          <t>LCV</t>
        </is>
      </c>
      <c r="V29" s="89">
        <f>PORTUGAL!D20</f>
        <v/>
      </c>
      <c r="W29" s="89">
        <f>PORTUGAL!E12</f>
        <v/>
      </c>
      <c r="X29" s="89">
        <f>V29*W29</f>
        <v/>
      </c>
      <c r="Y29" s="90" t="n"/>
      <c r="Z29" s="89" t="n"/>
      <c r="AA29" s="89" t="n"/>
      <c r="AB29" s="89" t="n"/>
      <c r="AC29" s="89" t="n"/>
      <c r="AD29" s="110" t="n"/>
      <c r="AE29" s="83" t="inlineStr">
        <is>
          <t>LCV</t>
        </is>
      </c>
      <c r="AF29" s="89">
        <f>PORTUGAL!E20</f>
        <v/>
      </c>
      <c r="AG29" s="89">
        <f>PORTUGAL!F12</f>
        <v/>
      </c>
      <c r="AH29" s="89">
        <f>AF29*AG29</f>
        <v/>
      </c>
      <c r="AI29" s="90" t="n"/>
      <c r="AJ29" s="89" t="n"/>
      <c r="AK29" s="89" t="n"/>
      <c r="AL29" s="89" t="n"/>
      <c r="AM29" s="89" t="n"/>
      <c r="AN29" s="110" t="n"/>
      <c r="AO29" s="83" t="inlineStr">
        <is>
          <t>LCV</t>
        </is>
      </c>
      <c r="AP29" s="89">
        <f>PORTUGAL!F20</f>
        <v/>
      </c>
      <c r="AQ29" s="89">
        <f>PORTUGAL!G12</f>
        <v/>
      </c>
      <c r="AR29" s="89">
        <f>AP29*AQ29</f>
        <v/>
      </c>
      <c r="AS29" s="90" t="n"/>
      <c r="AT29" s="89" t="n"/>
      <c r="AU29" s="89" t="n"/>
      <c r="AV29" s="89" t="n"/>
      <c r="AW29" s="89" t="n"/>
      <c r="AX29" s="110" t="n"/>
      <c r="AY29" s="83" t="inlineStr">
        <is>
          <t>LCV</t>
        </is>
      </c>
      <c r="AZ29" s="89">
        <f>PORTUGAL!G20</f>
        <v/>
      </c>
      <c r="BA29" s="89">
        <f>PORTUGAL!H12</f>
        <v/>
      </c>
      <c r="BB29" s="89">
        <f>AZ29*BA29</f>
        <v/>
      </c>
      <c r="BC29" s="90" t="n"/>
      <c r="BD29" s="89" t="n"/>
      <c r="BE29" s="89" t="n"/>
      <c r="BF29" s="89" t="n"/>
      <c r="BG29" s="89" t="n"/>
      <c r="BH29" s="110" t="n"/>
      <c r="BI29" s="83" t="inlineStr">
        <is>
          <t>LCV</t>
        </is>
      </c>
      <c r="BJ29" s="89">
        <f>PORTUGAL!H20</f>
        <v/>
      </c>
      <c r="BK29" s="89">
        <f>PORTUGAL!I12</f>
        <v/>
      </c>
      <c r="BL29" s="89">
        <f>BJ29*BK29</f>
        <v/>
      </c>
      <c r="BM29" s="90" t="n"/>
      <c r="BN29" s="89" t="n"/>
      <c r="BO29" s="89" t="n"/>
      <c r="BP29" s="89" t="n"/>
      <c r="BQ29" s="89" t="n"/>
      <c r="BR29" s="110" t="n"/>
    </row>
    <row r="30" ht="17.5" customHeight="1">
      <c r="A30" s="82" t="n"/>
      <c r="B30" s="83" t="n"/>
      <c r="C30" s="84" t="n"/>
      <c r="D30" s="84" t="n"/>
      <c r="E30" s="109" t="n"/>
      <c r="F30" s="109" t="n"/>
      <c r="G30" s="84" t="n"/>
      <c r="H30" s="109" t="n"/>
      <c r="I30" s="93" t="n"/>
      <c r="J30" s="83" t="n"/>
      <c r="K30" s="83" t="n"/>
      <c r="L30" s="89" t="n"/>
      <c r="M30" s="89">
        <f>SUM(M27:M29)</f>
        <v/>
      </c>
      <c r="N30" s="89">
        <f>SUM(N27:N29)</f>
        <v/>
      </c>
      <c r="O30" s="89">
        <f>PORTUGAL!D26</f>
        <v/>
      </c>
      <c r="P30" s="90">
        <f>O30/N30</f>
        <v/>
      </c>
      <c r="Q30" s="90" t="n"/>
      <c r="R30" s="103" t="n"/>
      <c r="S30" s="103" t="n"/>
      <c r="T30" s="110" t="n"/>
      <c r="U30" s="83" t="n"/>
      <c r="V30" s="89" t="n"/>
      <c r="W30" s="89">
        <f>SUM(W27:W29)</f>
        <v/>
      </c>
      <c r="X30" s="89">
        <f>SUM(X27:X29)</f>
        <v/>
      </c>
      <c r="Y30" s="90">
        <f>Z30/X30</f>
        <v/>
      </c>
      <c r="Z30" s="89">
        <f>PORTUGAL!E30</f>
        <v/>
      </c>
      <c r="AA30" s="89" t="n"/>
      <c r="AB30" s="89" t="n"/>
      <c r="AC30" s="89" t="n"/>
      <c r="AD30" s="110" t="n"/>
      <c r="AE30" s="83" t="n"/>
      <c r="AF30" s="89" t="n"/>
      <c r="AG30" s="89">
        <f>SUM(AG27:AG29)</f>
        <v/>
      </c>
      <c r="AH30" s="89">
        <f>SUM(AH27:AH29)</f>
        <v/>
      </c>
      <c r="AI30" s="90">
        <f>IF(Y30&gt;='Dashboard (2)'!$Q$1,Y30,MIN(Y30+'Dashboard (2)'!$N$2,'Dashboard (2)'!$Q$1))</f>
        <v/>
      </c>
      <c r="AJ30" s="89">
        <f>AH30*AI30</f>
        <v/>
      </c>
      <c r="AK30" s="89" t="n"/>
      <c r="AL30" s="89" t="n"/>
      <c r="AM30" s="89" t="n"/>
      <c r="AN30" s="110" t="n"/>
      <c r="AO30" s="83" t="n"/>
      <c r="AP30" s="89" t="n"/>
      <c r="AQ30" s="89">
        <f>SUM(AQ27:AQ29)</f>
        <v/>
      </c>
      <c r="AR30" s="89">
        <f>SUM(AR27:AR29)</f>
        <v/>
      </c>
      <c r="AS30" s="90">
        <f>IF(AI30&gt;='Dashboard (2)'!$Q$1,AI30,MIN(AI30+'Dashboard (2)'!$N$2,'Dashboard (2)'!$Q$1))</f>
        <v/>
      </c>
      <c r="AT30" s="89">
        <f>AR30*AS30</f>
        <v/>
      </c>
      <c r="AU30" s="89" t="n"/>
      <c r="AV30" s="89" t="n"/>
      <c r="AW30" s="89" t="n"/>
      <c r="AX30" s="110" t="n"/>
      <c r="AY30" s="83" t="n"/>
      <c r="AZ30" s="89" t="n"/>
      <c r="BA30" s="89">
        <f>SUM(BA27:BA29)</f>
        <v/>
      </c>
      <c r="BB30" s="89">
        <f>SUM(BB27:BB29)</f>
        <v/>
      </c>
      <c r="BC30" s="90">
        <f>IF(AS30&gt;='Dashboard (2)'!$Q$1,AS30,MIN(AS30+'Dashboard (2)'!$N$2,'Dashboard (2)'!$Q$1))</f>
        <v/>
      </c>
      <c r="BD30" s="89">
        <f>BB30*BC30</f>
        <v/>
      </c>
      <c r="BE30" s="89" t="n"/>
      <c r="BF30" s="89" t="n"/>
      <c r="BG30" s="89" t="n"/>
      <c r="BH30" s="110" t="n"/>
      <c r="BI30" s="83" t="n"/>
      <c r="BJ30" s="89" t="n"/>
      <c r="BK30" s="89">
        <f>SUM(BK27:BK29)</f>
        <v/>
      </c>
      <c r="BL30" s="89">
        <f>SUM(BL27:BL29)</f>
        <v/>
      </c>
      <c r="BM30" s="90">
        <f>IF(BC30&gt;='Dashboard (2)'!$Q$1,BC30,MIN(BC30+'Dashboard (2)'!$N$2,'Dashboard (2)'!$Q$1))</f>
        <v/>
      </c>
      <c r="BN30" s="89">
        <f>BL30*BM30</f>
        <v/>
      </c>
      <c r="BO30" s="89" t="n"/>
      <c r="BP30" s="89" t="n"/>
      <c r="BQ30" s="89" t="n"/>
      <c r="BR30" s="110" t="n"/>
    </row>
    <row r="31" ht="17.5" customHeight="1">
      <c r="A31" s="82" t="inlineStr">
        <is>
          <t>IRELAND</t>
        </is>
      </c>
      <c r="B31" s="83" t="inlineStr">
        <is>
          <t>mixed</t>
        </is>
      </c>
      <c r="C31" s="84">
        <f>Dashboard!C19</f>
        <v/>
      </c>
      <c r="D31" s="84">
        <f>Dashboard!D19</f>
        <v/>
      </c>
      <c r="E31" s="109">
        <f>Dashboard!E19</f>
        <v/>
      </c>
      <c r="F31" s="109">
        <f>Dashboard!F19</f>
        <v/>
      </c>
      <c r="G31" s="84">
        <f>Dashboard!G19</f>
        <v/>
      </c>
      <c r="H31" s="109">
        <f>Dashboard!H19</f>
        <v/>
      </c>
      <c r="I31" s="93">
        <f>Dashboard!I19</f>
        <v/>
      </c>
      <c r="J31" s="83" t="n"/>
      <c r="K31" s="83" t="inlineStr">
        <is>
          <t>CV N</t>
        </is>
      </c>
      <c r="L31" s="89">
        <f>IRELAND!C17</f>
        <v/>
      </c>
      <c r="M31" s="89">
        <f>IRELAND!D9</f>
        <v/>
      </c>
      <c r="N31" s="89">
        <f>L31*M31</f>
        <v/>
      </c>
      <c r="P31" s="90" t="n"/>
      <c r="Q31" s="90" t="n"/>
      <c r="R31" s="103" t="n"/>
      <c r="S31" s="103" t="n"/>
      <c r="T31" s="110" t="n"/>
      <c r="U31" s="83" t="inlineStr">
        <is>
          <t>CV N</t>
        </is>
      </c>
      <c r="V31" s="89">
        <f>IRELAND!D17</f>
        <v/>
      </c>
      <c r="W31" s="89">
        <f>IRELAND!E9</f>
        <v/>
      </c>
      <c r="X31" s="89">
        <f>V31*W31</f>
        <v/>
      </c>
      <c r="Y31" s="90" t="n"/>
      <c r="Z31" s="89" t="n"/>
      <c r="AA31" s="89" t="n"/>
      <c r="AB31" s="89" t="n"/>
      <c r="AC31" s="89" t="n"/>
      <c r="AD31" s="110" t="n"/>
      <c r="AE31" s="83" t="inlineStr">
        <is>
          <t>CV N</t>
        </is>
      </c>
      <c r="AF31" s="89">
        <f>IRELAND!E17</f>
        <v/>
      </c>
      <c r="AG31" s="89">
        <f>IRELAND!F9</f>
        <v/>
      </c>
      <c r="AH31" s="89">
        <f>AF31*AG31</f>
        <v/>
      </c>
      <c r="AI31" s="90" t="n"/>
      <c r="AJ31" s="89" t="n"/>
      <c r="AK31" s="89" t="n"/>
      <c r="AL31" s="89" t="n"/>
      <c r="AM31" s="89" t="n"/>
      <c r="AN31" s="110" t="n"/>
      <c r="AO31" s="83" t="inlineStr">
        <is>
          <t>CV N</t>
        </is>
      </c>
      <c r="AP31" s="89">
        <f>IRELAND!F17</f>
        <v/>
      </c>
      <c r="AQ31" s="89">
        <f>IRELAND!G9</f>
        <v/>
      </c>
      <c r="AR31" s="89">
        <f>AP31*AQ31</f>
        <v/>
      </c>
      <c r="AS31" s="90" t="n"/>
      <c r="AT31" s="89" t="n"/>
      <c r="AU31" s="89" t="n"/>
      <c r="AV31" s="89" t="n"/>
      <c r="AW31" s="89" t="n"/>
      <c r="AX31" s="110" t="n"/>
      <c r="AY31" s="83" t="inlineStr">
        <is>
          <t>CV N</t>
        </is>
      </c>
      <c r="AZ31" s="89">
        <f>IRELAND!G17</f>
        <v/>
      </c>
      <c r="BA31" s="89">
        <f>IRELAND!H9</f>
        <v/>
      </c>
      <c r="BB31" s="89">
        <f>AZ31*BA31</f>
        <v/>
      </c>
      <c r="BC31" s="90" t="n"/>
      <c r="BD31" s="89" t="n"/>
      <c r="BE31" s="89" t="n"/>
      <c r="BF31" s="89" t="n"/>
      <c r="BG31" s="89" t="n"/>
      <c r="BH31" s="110" t="n"/>
      <c r="BI31" s="83" t="inlineStr">
        <is>
          <t>CV N</t>
        </is>
      </c>
      <c r="BJ31" s="89">
        <f>IRELAND!H17</f>
        <v/>
      </c>
      <c r="BK31" s="89">
        <f>IRELAND!I9</f>
        <v/>
      </c>
      <c r="BL31" s="89">
        <f>BJ31*BK31</f>
        <v/>
      </c>
      <c r="BM31" s="90" t="n"/>
      <c r="BN31" s="89" t="n"/>
      <c r="BO31" s="89" t="n"/>
      <c r="BP31" s="89" t="n"/>
      <c r="BQ31" s="89" t="n"/>
      <c r="BR31" s="110" t="n"/>
    </row>
    <row r="32" ht="17.5" customHeight="1">
      <c r="A32" s="82" t="n"/>
      <c r="B32" s="83" t="n"/>
      <c r="C32" s="84" t="n"/>
      <c r="D32" s="84" t="n"/>
      <c r="E32" s="109" t="n"/>
      <c r="F32" s="109" t="n"/>
      <c r="G32" s="84" t="n"/>
      <c r="H32" s="109" t="n"/>
      <c r="I32" s="93" t="n"/>
      <c r="J32" s="83" t="n"/>
      <c r="K32" s="83" t="inlineStr">
        <is>
          <t>CV F</t>
        </is>
      </c>
      <c r="L32" s="89">
        <f>IFERROR(N32/M32,0)</f>
        <v/>
      </c>
      <c r="M32" s="89">
        <f>IRELAND!D10+IRELAND!D11</f>
        <v/>
      </c>
      <c r="N32" s="89">
        <f>IRELAND!C18*IRELAND!D10+IRELAND!C19*IRELAND!D11</f>
        <v/>
      </c>
      <c r="O32" s="89" t="n"/>
      <c r="P32" s="90" t="n"/>
      <c r="Q32" s="90" t="n"/>
      <c r="R32" s="103" t="n"/>
      <c r="S32" s="103" t="n"/>
      <c r="T32" s="110" t="n"/>
      <c r="U32" s="83" t="inlineStr">
        <is>
          <t>CV F</t>
        </is>
      </c>
      <c r="V32" s="89">
        <f>IFERROR(X32/W32,0)</f>
        <v/>
      </c>
      <c r="W32" s="89">
        <f>IRELAND!E10+IRELAND!E11</f>
        <v/>
      </c>
      <c r="X32" s="89">
        <f>IRELAND!D18*IRELAND!E10+IRELAND!D19*IRELAND!E11</f>
        <v/>
      </c>
      <c r="Y32" s="90" t="n"/>
      <c r="Z32" s="89" t="n"/>
      <c r="AA32" s="89" t="n"/>
      <c r="AB32" s="89" t="n"/>
      <c r="AC32" s="89" t="n"/>
      <c r="AD32" s="110" t="n"/>
      <c r="AE32" s="83" t="inlineStr">
        <is>
          <t>CV F</t>
        </is>
      </c>
      <c r="AF32" s="89">
        <f>IFERROR(AH32/AG32,0)</f>
        <v/>
      </c>
      <c r="AG32" s="89">
        <f>IRELAND!F10+IRELAND!F11</f>
        <v/>
      </c>
      <c r="AH32" s="89">
        <f>IRELAND!E18*IRELAND!F10+IRELAND!E19*IRELAND!F11</f>
        <v/>
      </c>
      <c r="AI32" s="90" t="n"/>
      <c r="AJ32" s="89" t="n"/>
      <c r="AK32" s="89" t="n"/>
      <c r="AL32" s="89" t="n"/>
      <c r="AM32" s="89" t="n"/>
      <c r="AN32" s="110" t="n"/>
      <c r="AO32" s="83" t="inlineStr">
        <is>
          <t>CV F</t>
        </is>
      </c>
      <c r="AP32" s="89">
        <f>IFERROR(AR32/AQ32,0)</f>
        <v/>
      </c>
      <c r="AQ32" s="89">
        <f>IRELAND!G10+IRELAND!G11</f>
        <v/>
      </c>
      <c r="AR32" s="89">
        <f>IRELAND!F18*IRELAND!G10+IRELAND!F19*IRELAND!G11</f>
        <v/>
      </c>
      <c r="AS32" s="90" t="n"/>
      <c r="AT32" s="89" t="n"/>
      <c r="AU32" s="89" t="n"/>
      <c r="AV32" s="89" t="n"/>
      <c r="AW32" s="89" t="n"/>
      <c r="AX32" s="110" t="n"/>
      <c r="AY32" s="83" t="inlineStr">
        <is>
          <t>CV F</t>
        </is>
      </c>
      <c r="AZ32" s="89">
        <f>IFERROR(BB32/BA32,0)</f>
        <v/>
      </c>
      <c r="BA32" s="89">
        <f>IRELAND!H10+IRELAND!H11</f>
        <v/>
      </c>
      <c r="BB32" s="89">
        <f>IRELAND!G18*IRELAND!H10+IRELAND!G19*IRELAND!H11</f>
        <v/>
      </c>
      <c r="BC32" s="90" t="n"/>
      <c r="BD32" s="89" t="n"/>
      <c r="BE32" s="89" t="n"/>
      <c r="BF32" s="89" t="n"/>
      <c r="BG32" s="89" t="n"/>
      <c r="BH32" s="110" t="n"/>
      <c r="BI32" s="83" t="inlineStr">
        <is>
          <t>CV F</t>
        </is>
      </c>
      <c r="BJ32" s="89">
        <f>IFERROR(BL32/BK32,0)</f>
        <v/>
      </c>
      <c r="BK32" s="89">
        <f>IRELAND!I10+IRELAND!I11</f>
        <v/>
      </c>
      <c r="BL32" s="89">
        <f>IRELAND!H18*IRELAND!I10+IRELAND!H19*IRELAND!I11</f>
        <v/>
      </c>
      <c r="BM32" s="90" t="n"/>
      <c r="BN32" s="89" t="n"/>
      <c r="BO32" s="89" t="n"/>
      <c r="BP32" s="89" t="n"/>
      <c r="BQ32" s="89" t="n"/>
      <c r="BR32" s="110" t="n"/>
    </row>
    <row r="33" ht="17.5" customHeight="1">
      <c r="A33" s="82" t="n"/>
      <c r="B33" s="83" t="n"/>
      <c r="C33" s="84" t="n"/>
      <c r="D33" s="84" t="n"/>
      <c r="E33" s="109" t="n"/>
      <c r="F33" s="109" t="n"/>
      <c r="G33" s="84" t="n"/>
      <c r="H33" s="109" t="n"/>
      <c r="I33" s="93" t="n"/>
      <c r="J33" s="83" t="n"/>
      <c r="K33" s="83" t="inlineStr">
        <is>
          <t>LCV</t>
        </is>
      </c>
      <c r="L33" s="89">
        <f>IRELAND!C20</f>
        <v/>
      </c>
      <c r="M33" s="89">
        <f>IRELAND!D12</f>
        <v/>
      </c>
      <c r="N33" s="89">
        <f>L33*M33</f>
        <v/>
      </c>
      <c r="O33" s="89" t="n"/>
      <c r="P33" s="90" t="n"/>
      <c r="Q33" s="90" t="n"/>
      <c r="R33" s="103" t="n"/>
      <c r="S33" s="103" t="n"/>
      <c r="T33" s="110" t="n"/>
      <c r="U33" s="83" t="inlineStr">
        <is>
          <t>LCV</t>
        </is>
      </c>
      <c r="V33" s="89">
        <f>IRELAND!D20</f>
        <v/>
      </c>
      <c r="W33" s="89">
        <f>IRELAND!E12</f>
        <v/>
      </c>
      <c r="X33" s="89">
        <f>V33*W33</f>
        <v/>
      </c>
      <c r="Y33" s="90" t="n"/>
      <c r="Z33" s="89" t="n"/>
      <c r="AA33" s="89" t="n"/>
      <c r="AB33" s="89" t="n"/>
      <c r="AC33" s="89" t="n"/>
      <c r="AD33" s="110" t="n"/>
      <c r="AE33" s="83" t="inlineStr">
        <is>
          <t>LCV</t>
        </is>
      </c>
      <c r="AF33" s="89">
        <f>IRELAND!E20</f>
        <v/>
      </c>
      <c r="AG33" s="89">
        <f>IRELAND!F12</f>
        <v/>
      </c>
      <c r="AH33" s="89">
        <f>AF33*AG33</f>
        <v/>
      </c>
      <c r="AI33" s="90" t="n"/>
      <c r="AJ33" s="89" t="n"/>
      <c r="AK33" s="89" t="n"/>
      <c r="AL33" s="89" t="n"/>
      <c r="AM33" s="89" t="n"/>
      <c r="AN33" s="110" t="n"/>
      <c r="AO33" s="83" t="inlineStr">
        <is>
          <t>LCV</t>
        </is>
      </c>
      <c r="AP33" s="89">
        <f>IRELAND!F20</f>
        <v/>
      </c>
      <c r="AQ33" s="89">
        <f>IRELAND!G12</f>
        <v/>
      </c>
      <c r="AR33" s="89">
        <f>AP33*AQ33</f>
        <v/>
      </c>
      <c r="AS33" s="90" t="n"/>
      <c r="AT33" s="89" t="n"/>
      <c r="AU33" s="89" t="n"/>
      <c r="AV33" s="89" t="n"/>
      <c r="AW33" s="89" t="n"/>
      <c r="AX33" s="110" t="n"/>
      <c r="AY33" s="83" t="inlineStr">
        <is>
          <t>LCV</t>
        </is>
      </c>
      <c r="AZ33" s="89">
        <f>IRELAND!G20</f>
        <v/>
      </c>
      <c r="BA33" s="89">
        <f>IRELAND!H12</f>
        <v/>
      </c>
      <c r="BB33" s="89">
        <f>AZ33*BA33</f>
        <v/>
      </c>
      <c r="BC33" s="90" t="n"/>
      <c r="BD33" s="89" t="n"/>
      <c r="BE33" s="89" t="n"/>
      <c r="BF33" s="89" t="n"/>
      <c r="BG33" s="89" t="n"/>
      <c r="BH33" s="110" t="n"/>
      <c r="BI33" s="83" t="inlineStr">
        <is>
          <t>LCV</t>
        </is>
      </c>
      <c r="BJ33" s="89">
        <f>IRELAND!H20</f>
        <v/>
      </c>
      <c r="BK33" s="89">
        <f>IRELAND!I12</f>
        <v/>
      </c>
      <c r="BL33" s="89">
        <f>BJ33*BK33</f>
        <v/>
      </c>
      <c r="BM33" s="90" t="n"/>
      <c r="BN33" s="89" t="n"/>
      <c r="BO33" s="89" t="n"/>
      <c r="BP33" s="89" t="n"/>
      <c r="BQ33" s="89" t="n"/>
      <c r="BR33" s="110" t="n"/>
    </row>
    <row r="34" ht="17.5" customHeight="1">
      <c r="A34" s="82" t="n"/>
      <c r="B34" s="83" t="n"/>
      <c r="C34" s="84" t="n"/>
      <c r="D34" s="84" t="n"/>
      <c r="E34" s="109" t="n"/>
      <c r="F34" s="109" t="n"/>
      <c r="G34" s="84" t="n"/>
      <c r="H34" s="109" t="n"/>
      <c r="I34" s="93" t="n"/>
      <c r="J34" s="83" t="n"/>
      <c r="K34" s="83" t="n"/>
      <c r="L34" s="89" t="n"/>
      <c r="M34" s="89">
        <f>SUM(M31:M33)</f>
        <v/>
      </c>
      <c r="N34" s="89">
        <f>SUM(N31:N33)</f>
        <v/>
      </c>
      <c r="O34" s="89">
        <f>IRELAND!D26</f>
        <v/>
      </c>
      <c r="P34" s="90">
        <f>O34/N34</f>
        <v/>
      </c>
      <c r="Q34" s="90" t="n"/>
      <c r="R34" s="103" t="n"/>
      <c r="S34" s="103" t="n"/>
      <c r="T34" s="110" t="n"/>
      <c r="U34" s="83" t="n"/>
      <c r="V34" s="89" t="n"/>
      <c r="W34" s="89">
        <f>SUM(W31:W33)</f>
        <v/>
      </c>
      <c r="X34" s="89">
        <f>SUM(X31:X33)</f>
        <v/>
      </c>
      <c r="Y34" s="90">
        <f>Z34/X34</f>
        <v/>
      </c>
      <c r="Z34" s="89">
        <f>IRELAND!E30</f>
        <v/>
      </c>
      <c r="AA34" s="89" t="n"/>
      <c r="AB34" s="89" t="n"/>
      <c r="AC34" s="89" t="n"/>
      <c r="AD34" s="110" t="n"/>
      <c r="AE34" s="83" t="n"/>
      <c r="AF34" s="89" t="n"/>
      <c r="AG34" s="89">
        <f>SUM(AG31:AG33)</f>
        <v/>
      </c>
      <c r="AH34" s="89">
        <f>SUM(AH31:AH33)</f>
        <v/>
      </c>
      <c r="AI34" s="90">
        <f>IF(Y34&gt;='Dashboard (2)'!$Q$1,Y34,MIN(Y34+'Dashboard (2)'!$N$2,'Dashboard (2)'!$Q$1))</f>
        <v/>
      </c>
      <c r="AJ34" s="89">
        <f>AH34*AI34</f>
        <v/>
      </c>
      <c r="AK34" s="89" t="n"/>
      <c r="AL34" s="89" t="n"/>
      <c r="AM34" s="89" t="n"/>
      <c r="AN34" s="110" t="n"/>
      <c r="AO34" s="83" t="n"/>
      <c r="AP34" s="89" t="n"/>
      <c r="AQ34" s="89">
        <f>SUM(AQ31:AQ33)</f>
        <v/>
      </c>
      <c r="AR34" s="89">
        <f>SUM(AR31:AR33)</f>
        <v/>
      </c>
      <c r="AS34" s="90">
        <f>IF(AI34&gt;='Dashboard (2)'!$Q$1,AI34,MIN(AI34+'Dashboard (2)'!$N$2,'Dashboard (2)'!$Q$1))</f>
        <v/>
      </c>
      <c r="AT34" s="89">
        <f>AR34*AS34</f>
        <v/>
      </c>
      <c r="AU34" s="89" t="n"/>
      <c r="AV34" s="89" t="n"/>
      <c r="AW34" s="89" t="n"/>
      <c r="AX34" s="110" t="n"/>
      <c r="AY34" s="83" t="n"/>
      <c r="AZ34" s="89" t="n"/>
      <c r="BA34" s="89">
        <f>SUM(BA31:BA33)</f>
        <v/>
      </c>
      <c r="BB34" s="89">
        <f>SUM(BB31:BB33)</f>
        <v/>
      </c>
      <c r="BC34" s="90">
        <f>IF(AS34&gt;='Dashboard (2)'!$Q$1,AS34,MIN(AS34+'Dashboard (2)'!$N$2,'Dashboard (2)'!$Q$1))</f>
        <v/>
      </c>
      <c r="BD34" s="89">
        <f>BB34*BC34</f>
        <v/>
      </c>
      <c r="BE34" s="89" t="n"/>
      <c r="BF34" s="89" t="n"/>
      <c r="BG34" s="89" t="n"/>
      <c r="BH34" s="110" t="n"/>
      <c r="BI34" s="83" t="n"/>
      <c r="BJ34" s="89" t="n"/>
      <c r="BK34" s="89">
        <f>SUM(BK31:BK33)</f>
        <v/>
      </c>
      <c r="BL34" s="89">
        <f>SUM(BL31:BL33)</f>
        <v/>
      </c>
      <c r="BM34" s="90">
        <f>IF(BC34&gt;='Dashboard (2)'!$Q$1,BC34,MIN(BC34+'Dashboard (2)'!$N$2,'Dashboard (2)'!$Q$1))</f>
        <v/>
      </c>
      <c r="BN34" s="89">
        <f>BL34*BM34</f>
        <v/>
      </c>
      <c r="BO34" s="89" t="n"/>
      <c r="BP34" s="89" t="n"/>
      <c r="BQ34" s="89" t="n"/>
      <c r="BR34" s="110" t="n"/>
    </row>
    <row r="35" ht="17.5" customHeight="1">
      <c r="A35" s="82" t="inlineStr">
        <is>
          <t>GREECE</t>
        </is>
      </c>
      <c r="B35" s="83" t="inlineStr">
        <is>
          <t>mixed</t>
        </is>
      </c>
      <c r="C35" s="84">
        <f>Dashboard!C20</f>
        <v/>
      </c>
      <c r="D35" s="84">
        <f>Dashboard!D20</f>
        <v/>
      </c>
      <c r="E35" s="109">
        <f>Dashboard!E20</f>
        <v/>
      </c>
      <c r="F35" s="109">
        <f>Dashboard!F20</f>
        <v/>
      </c>
      <c r="G35" s="84">
        <f>Dashboard!G20</f>
        <v/>
      </c>
      <c r="H35" s="109">
        <f>Dashboard!H20</f>
        <v/>
      </c>
      <c r="I35" s="93">
        <f>Dashboard!I20</f>
        <v/>
      </c>
      <c r="J35" s="83" t="n"/>
      <c r="K35" s="83" t="inlineStr">
        <is>
          <t>CV N+MD</t>
        </is>
      </c>
      <c r="L35" s="89">
        <f>IFERROR(N35/M35,0)</f>
        <v/>
      </c>
      <c r="M35" s="89">
        <f>GREECE!D9+GREECE!D10</f>
        <v/>
      </c>
      <c r="N35" s="89">
        <f>GREECE!C17*GREECE!D9+GREECE!C18*GREECE!D10</f>
        <v/>
      </c>
      <c r="P35" s="90" t="n"/>
      <c r="Q35" s="90" t="n"/>
      <c r="R35" s="103" t="n"/>
      <c r="S35" s="103" t="n"/>
      <c r="T35" s="110" t="n"/>
      <c r="U35" s="83" t="inlineStr">
        <is>
          <t>CV N+MD</t>
        </is>
      </c>
      <c r="V35" s="89">
        <f>IFERROR(X35/W35,0)</f>
        <v/>
      </c>
      <c r="W35" s="89">
        <f>GREECE!E9+GREECE!E10</f>
        <v/>
      </c>
      <c r="X35" s="89">
        <f>GREECE!D17*GREECE!E9+GREECE!D18*GREECE!E10</f>
        <v/>
      </c>
      <c r="Y35" s="90" t="n"/>
      <c r="Z35" s="89" t="n"/>
      <c r="AA35" s="89" t="n"/>
      <c r="AB35" s="89" t="n"/>
      <c r="AC35" s="89" t="n"/>
      <c r="AD35" s="110" t="n"/>
      <c r="AE35" s="83" t="inlineStr">
        <is>
          <t>CV N+MD</t>
        </is>
      </c>
      <c r="AF35" s="89">
        <f>IFERROR(AH35/AG35,0)</f>
        <v/>
      </c>
      <c r="AG35" s="89">
        <f>GREECE!F9+GREECE!F10</f>
        <v/>
      </c>
      <c r="AH35" s="89">
        <f>GREECE!E17*GREECE!F9+GREECE!E18*GREECE!F10</f>
        <v/>
      </c>
      <c r="AI35" s="90" t="n"/>
      <c r="AJ35" s="89" t="n"/>
      <c r="AK35" s="89" t="n"/>
      <c r="AL35" s="89" t="n"/>
      <c r="AM35" s="89" t="n"/>
      <c r="AN35" s="110" t="n"/>
      <c r="AO35" s="83" t="inlineStr">
        <is>
          <t>CV N+MD</t>
        </is>
      </c>
      <c r="AP35" s="89">
        <f>IFERROR(AR35/AQ35,0)</f>
        <v/>
      </c>
      <c r="AQ35" s="89">
        <f>GREECE!G9+GREECE!G10</f>
        <v/>
      </c>
      <c r="AR35" s="89">
        <f>GREECE!F17*GREECE!G9+GREECE!F18*GREECE!G10</f>
        <v/>
      </c>
      <c r="AS35" s="90" t="n"/>
      <c r="AT35" s="89" t="n"/>
      <c r="AU35" s="89" t="n"/>
      <c r="AV35" s="89" t="n"/>
      <c r="AW35" s="89" t="n"/>
      <c r="AX35" s="110" t="n"/>
      <c r="AY35" s="83" t="inlineStr">
        <is>
          <t>CV N+MD</t>
        </is>
      </c>
      <c r="AZ35" s="89">
        <f>IFERROR(BB35/BA35,0)</f>
        <v/>
      </c>
      <c r="BA35" s="89">
        <f>GREECE!H9+GREECE!H10</f>
        <v/>
      </c>
      <c r="BB35" s="89">
        <f>GREECE!G17*GREECE!H9+GREECE!G18*GREECE!H10</f>
        <v/>
      </c>
      <c r="BC35" s="90" t="n"/>
      <c r="BD35" s="89" t="n"/>
      <c r="BE35" s="89" t="n"/>
      <c r="BF35" s="89" t="n"/>
      <c r="BG35" s="89" t="n"/>
      <c r="BH35" s="110" t="n"/>
      <c r="BI35" s="83" t="inlineStr">
        <is>
          <t>CV N+MD</t>
        </is>
      </c>
      <c r="BJ35" s="89">
        <f>IFERROR(BL35/BK35,0)</f>
        <v/>
      </c>
      <c r="BK35" s="89">
        <f>GREECE!I9+GREECE!I10</f>
        <v/>
      </c>
      <c r="BL35" s="89">
        <f>GREECE!H17*GREECE!I9+GREECE!H18*GREECE!I10</f>
        <v/>
      </c>
      <c r="BM35" s="90" t="n"/>
      <c r="BN35" s="89" t="n"/>
      <c r="BO35" s="89" t="n"/>
      <c r="BP35" s="89" t="n"/>
      <c r="BQ35" s="89" t="n"/>
      <c r="BR35" s="110" t="n"/>
    </row>
    <row r="36" ht="17.5" customHeight="1">
      <c r="A36" s="82" t="n"/>
      <c r="B36" s="83" t="n"/>
      <c r="C36" s="84" t="n"/>
      <c r="D36" s="84" t="n"/>
      <c r="E36" s="109" t="n"/>
      <c r="F36" s="109" t="n"/>
      <c r="G36" s="84" t="n"/>
      <c r="H36" s="109" t="n"/>
      <c r="I36" s="93" t="n"/>
      <c r="J36" s="83" t="n"/>
      <c r="K36" s="83" t="inlineStr">
        <is>
          <t>LCV</t>
        </is>
      </c>
      <c r="L36" s="89">
        <f>GREECE!C20</f>
        <v/>
      </c>
      <c r="M36" s="89">
        <f>GREECE!D12</f>
        <v/>
      </c>
      <c r="N36" s="89">
        <f>L36*M36</f>
        <v/>
      </c>
      <c r="O36" s="89" t="n"/>
      <c r="P36" s="90" t="n"/>
      <c r="Q36" s="90" t="n"/>
      <c r="R36" s="103" t="n"/>
      <c r="S36" s="103" t="n"/>
      <c r="T36" s="110" t="n"/>
      <c r="U36" s="83" t="inlineStr">
        <is>
          <t>LCV</t>
        </is>
      </c>
      <c r="V36" s="89">
        <f>GREECE!D20</f>
        <v/>
      </c>
      <c r="W36" s="89">
        <f>GREECE!E12</f>
        <v/>
      </c>
      <c r="X36" s="89">
        <f>V36*W36</f>
        <v/>
      </c>
      <c r="Y36" s="90" t="n"/>
      <c r="Z36" s="89" t="n"/>
      <c r="AA36" s="89" t="n"/>
      <c r="AB36" s="89" t="n"/>
      <c r="AC36" s="89" t="n"/>
      <c r="AD36" s="110" t="n"/>
      <c r="AE36" s="83" t="inlineStr">
        <is>
          <t>LCV</t>
        </is>
      </c>
      <c r="AF36" s="89">
        <f>GREECE!E20</f>
        <v/>
      </c>
      <c r="AG36" s="89">
        <f>GREECE!F12</f>
        <v/>
      </c>
      <c r="AH36" s="89">
        <f>AF36*AG36</f>
        <v/>
      </c>
      <c r="AI36" s="90" t="n"/>
      <c r="AJ36" s="89" t="n"/>
      <c r="AK36" s="89" t="n"/>
      <c r="AL36" s="89" t="n"/>
      <c r="AM36" s="89" t="n"/>
      <c r="AN36" s="110" t="n"/>
      <c r="AO36" s="83" t="inlineStr">
        <is>
          <t>LCV</t>
        </is>
      </c>
      <c r="AP36" s="89">
        <f>GREECE!F20</f>
        <v/>
      </c>
      <c r="AQ36" s="89">
        <f>GREECE!G12</f>
        <v/>
      </c>
      <c r="AR36" s="89">
        <f>AP36*AQ36</f>
        <v/>
      </c>
      <c r="AS36" s="90" t="n"/>
      <c r="AT36" s="89" t="n"/>
      <c r="AU36" s="89" t="n"/>
      <c r="AV36" s="89" t="n"/>
      <c r="AW36" s="89" t="n"/>
      <c r="AX36" s="110" t="n"/>
      <c r="AY36" s="83" t="inlineStr">
        <is>
          <t>LCV</t>
        </is>
      </c>
      <c r="AZ36" s="89">
        <f>GREECE!G20</f>
        <v/>
      </c>
      <c r="BA36" s="89">
        <f>GREECE!H12</f>
        <v/>
      </c>
      <c r="BB36" s="89">
        <f>AZ36*BA36</f>
        <v/>
      </c>
      <c r="BC36" s="90" t="n"/>
      <c r="BD36" s="89" t="n"/>
      <c r="BE36" s="89" t="n"/>
      <c r="BF36" s="89" t="n"/>
      <c r="BG36" s="89" t="n"/>
      <c r="BH36" s="110" t="n"/>
      <c r="BI36" s="83" t="inlineStr">
        <is>
          <t>LCV</t>
        </is>
      </c>
      <c r="BJ36" s="89">
        <f>GREECE!H20</f>
        <v/>
      </c>
      <c r="BK36" s="89">
        <f>GREECE!I12</f>
        <v/>
      </c>
      <c r="BL36" s="89">
        <f>BJ36*BK36</f>
        <v/>
      </c>
      <c r="BM36" s="90" t="n"/>
      <c r="BN36" s="89" t="n"/>
      <c r="BO36" s="89" t="n"/>
      <c r="BP36" s="89" t="n"/>
      <c r="BQ36" s="89" t="n"/>
      <c r="BR36" s="110" t="n"/>
    </row>
    <row r="37" ht="17.5" customHeight="1">
      <c r="A37" s="82" t="n"/>
      <c r="B37" s="83" t="n"/>
      <c r="C37" s="84" t="n"/>
      <c r="D37" s="84" t="n"/>
      <c r="E37" s="109" t="n"/>
      <c r="F37" s="109" t="n"/>
      <c r="G37" s="84" t="n"/>
      <c r="H37" s="109" t="n"/>
      <c r="I37" s="93" t="n"/>
      <c r="J37" s="83" t="n"/>
      <c r="K37" s="83" t="n"/>
      <c r="L37" s="89" t="n"/>
      <c r="M37" s="89">
        <f>SUM(M35:M36)</f>
        <v/>
      </c>
      <c r="N37" s="89">
        <f>SUM(N35:N36)</f>
        <v/>
      </c>
      <c r="O37" s="89">
        <f>GREECE!D26</f>
        <v/>
      </c>
      <c r="P37" s="90">
        <f>O37/N37</f>
        <v/>
      </c>
      <c r="Q37" s="90" t="n"/>
      <c r="R37" s="103" t="n"/>
      <c r="S37" s="103" t="n"/>
      <c r="T37" s="110" t="n"/>
      <c r="U37" s="83" t="n"/>
      <c r="V37" s="89" t="n"/>
      <c r="W37" s="89">
        <f>SUM(W35:W36)</f>
        <v/>
      </c>
      <c r="X37" s="89">
        <f>SUM(X35:X36)</f>
        <v/>
      </c>
      <c r="Y37" s="90">
        <f>Z37/X37</f>
        <v/>
      </c>
      <c r="Z37" s="89">
        <f>GREECE!E30</f>
        <v/>
      </c>
      <c r="AA37" s="89" t="n"/>
      <c r="AB37" s="89" t="n"/>
      <c r="AC37" s="89" t="n"/>
      <c r="AD37" s="110" t="n"/>
      <c r="AE37" s="83" t="n"/>
      <c r="AF37" s="89" t="n"/>
      <c r="AG37" s="89">
        <f>SUM(AG35:AG36)</f>
        <v/>
      </c>
      <c r="AH37" s="89">
        <f>SUM(AH35:AH36)</f>
        <v/>
      </c>
      <c r="AI37" s="90">
        <f>IF(Y37&gt;='Dashboard (2)'!$Q$1,Y37,MIN(Y37+'Dashboard (2)'!$N$2,'Dashboard (2)'!$Q$1))</f>
        <v/>
      </c>
      <c r="AJ37" s="89">
        <f>AH37*AI37</f>
        <v/>
      </c>
      <c r="AK37" s="89" t="n"/>
      <c r="AL37" s="89" t="n"/>
      <c r="AM37" s="89" t="n"/>
      <c r="AN37" s="110" t="n"/>
      <c r="AO37" s="83" t="n"/>
      <c r="AP37" s="89" t="n"/>
      <c r="AQ37" s="89">
        <f>SUM(AQ35:AQ36)</f>
        <v/>
      </c>
      <c r="AR37" s="89">
        <f>SUM(AR35:AR36)</f>
        <v/>
      </c>
      <c r="AS37" s="90">
        <f>IF(AI37&gt;='Dashboard (2)'!$Q$1,AI37,MIN(AI37+'Dashboard (2)'!$N$2,'Dashboard (2)'!$Q$1))</f>
        <v/>
      </c>
      <c r="AT37" s="89">
        <f>AR37*AS37</f>
        <v/>
      </c>
      <c r="AU37" s="89" t="n"/>
      <c r="AV37" s="89" t="n"/>
      <c r="AW37" s="89" t="n"/>
      <c r="AX37" s="110" t="n"/>
      <c r="AY37" s="83" t="n"/>
      <c r="AZ37" s="89" t="n"/>
      <c r="BA37" s="89">
        <f>SUM(BA35:BA36)</f>
        <v/>
      </c>
      <c r="BB37" s="89">
        <f>SUM(BB35:BB36)</f>
        <v/>
      </c>
      <c r="BC37" s="90">
        <f>IF(AS37&gt;='Dashboard (2)'!$Q$1,AS37,MIN(AS37+'Dashboard (2)'!$N$2,'Dashboard (2)'!$Q$1))</f>
        <v/>
      </c>
      <c r="BD37" s="89">
        <f>BB37*BC37</f>
        <v/>
      </c>
      <c r="BE37" s="89" t="n"/>
      <c r="BF37" s="89" t="n"/>
      <c r="BG37" s="89" t="n"/>
      <c r="BH37" s="110" t="n"/>
      <c r="BI37" s="83" t="n"/>
      <c r="BJ37" s="89" t="n"/>
      <c r="BK37" s="89">
        <f>SUM(BK35:BK36)</f>
        <v/>
      </c>
      <c r="BL37" s="89">
        <f>SUM(BL35:BL36)</f>
        <v/>
      </c>
      <c r="BM37" s="90">
        <f>IF(BC37&gt;='Dashboard (2)'!$Q$1,BC37,MIN(BC37+'Dashboard (2)'!$N$2,'Dashboard (2)'!$Q$1))</f>
        <v/>
      </c>
      <c r="BN37" s="89">
        <f>BL37*BM37</f>
        <v/>
      </c>
      <c r="BO37" s="89" t="n"/>
      <c r="BP37" s="89" t="n"/>
      <c r="BQ37" s="89" t="n"/>
      <c r="BR37" s="110" t="n"/>
    </row>
    <row r="38" ht="17.5" customHeight="1">
      <c r="A38" s="82" t="inlineStr">
        <is>
          <t>CYPRUS</t>
        </is>
      </c>
      <c r="B38" s="83" t="inlineStr">
        <is>
          <t>mixed</t>
        </is>
      </c>
      <c r="C38" s="84">
        <f>Dashboard!C21</f>
        <v/>
      </c>
      <c r="D38" s="84">
        <f>Dashboard!D21</f>
        <v/>
      </c>
      <c r="E38" s="109">
        <f>Dashboard!E21</f>
        <v/>
      </c>
      <c r="F38" s="109">
        <f>Dashboard!F21</f>
        <v/>
      </c>
      <c r="G38" s="84">
        <f>Dashboard!G21</f>
        <v/>
      </c>
      <c r="H38" s="109">
        <f>Dashboard!H21</f>
        <v/>
      </c>
      <c r="I38" s="93">
        <f>Dashboard!I21</f>
        <v/>
      </c>
      <c r="J38" s="83" t="n"/>
      <c r="K38" s="83" t="inlineStr">
        <is>
          <t>CV N+MD</t>
        </is>
      </c>
      <c r="L38" s="89">
        <f>IFERROR(N38/M38,0)</f>
        <v/>
      </c>
      <c r="M38" s="89">
        <f>CYPRUS!D9+CYPRUS!D10</f>
        <v/>
      </c>
      <c r="N38" s="89">
        <f>CYPRUS!C17*CYPRUS!D9+CYPRUS!C18*CYPRUS!D10</f>
        <v/>
      </c>
      <c r="P38" s="90" t="n"/>
      <c r="Q38" s="90" t="n"/>
      <c r="R38" s="103" t="n"/>
      <c r="S38" s="103" t="n"/>
      <c r="T38" s="110" t="n"/>
      <c r="U38" s="83" t="inlineStr">
        <is>
          <t>CV N+MD</t>
        </is>
      </c>
      <c r="V38" s="89">
        <f>IFERROR(X38/W38,0)</f>
        <v/>
      </c>
      <c r="W38" s="89">
        <f>CYPRUS!E9+CYPRUS!E10</f>
        <v/>
      </c>
      <c r="X38" s="89">
        <f>CYPRUS!D17*CYPRUS!E9+CYPRUS!D18*CYPRUS!E10</f>
        <v/>
      </c>
      <c r="Y38" s="90" t="n"/>
      <c r="Z38" s="89" t="n"/>
      <c r="AA38" s="89" t="n"/>
      <c r="AB38" s="89" t="n"/>
      <c r="AC38" s="89" t="n"/>
      <c r="AD38" s="110" t="n"/>
      <c r="AE38" s="83" t="inlineStr">
        <is>
          <t>CV N+MD</t>
        </is>
      </c>
      <c r="AF38" s="89">
        <f>IFERROR(AH38/AG38,0)</f>
        <v/>
      </c>
      <c r="AG38" s="89">
        <f>CYPRUS!F9+CYPRUS!F10</f>
        <v/>
      </c>
      <c r="AH38" s="89">
        <f>CYPRUS!E17*CYPRUS!F9+CYPRUS!E18*CYPRUS!F10</f>
        <v/>
      </c>
      <c r="AI38" s="90" t="n"/>
      <c r="AJ38" s="89" t="n"/>
      <c r="AK38" s="89" t="n"/>
      <c r="AL38" s="89" t="n"/>
      <c r="AM38" s="89" t="n"/>
      <c r="AN38" s="110" t="n"/>
      <c r="AO38" s="83" t="inlineStr">
        <is>
          <t>CV N+MD</t>
        </is>
      </c>
      <c r="AP38" s="89">
        <f>IFERROR(AR38/AQ38,0)</f>
        <v/>
      </c>
      <c r="AQ38" s="89">
        <f>CYPRUS!G9+CYPRUS!G10</f>
        <v/>
      </c>
      <c r="AR38" s="89">
        <f>CYPRUS!F17*CYPRUS!G9+CYPRUS!F18*CYPRUS!G10</f>
        <v/>
      </c>
      <c r="AS38" s="90" t="n"/>
      <c r="AT38" s="89" t="n"/>
      <c r="AU38" s="89" t="n"/>
      <c r="AV38" s="89" t="n"/>
      <c r="AW38" s="89" t="n"/>
      <c r="AX38" s="110" t="n"/>
      <c r="AY38" s="83" t="inlineStr">
        <is>
          <t>CV N+MD</t>
        </is>
      </c>
      <c r="AZ38" s="89">
        <f>IFERROR(BB38/BA38,0)</f>
        <v/>
      </c>
      <c r="BA38" s="89">
        <f>CYPRUS!H9+CYPRUS!H10</f>
        <v/>
      </c>
      <c r="BB38" s="89">
        <f>CYPRUS!G17*CYPRUS!H9+CYPRUS!G18*CYPRUS!H10</f>
        <v/>
      </c>
      <c r="BC38" s="90" t="n"/>
      <c r="BD38" s="89" t="n"/>
      <c r="BE38" s="89" t="n"/>
      <c r="BF38" s="89" t="n"/>
      <c r="BG38" s="89" t="n"/>
      <c r="BH38" s="110" t="n"/>
      <c r="BI38" s="83" t="inlineStr">
        <is>
          <t>CV N+MD</t>
        </is>
      </c>
      <c r="BJ38" s="89">
        <f>IFERROR(BL38/BK38,0)</f>
        <v/>
      </c>
      <c r="BK38" s="89">
        <f>CYPRUS!I9+CYPRUS!I10</f>
        <v/>
      </c>
      <c r="BL38" s="89">
        <f>CYPRUS!H17*CYPRUS!I9+CYPRUS!H18*CYPRUS!I10</f>
        <v/>
      </c>
      <c r="BM38" s="90" t="n"/>
      <c r="BN38" s="89" t="n"/>
      <c r="BO38" s="89" t="n"/>
      <c r="BP38" s="89" t="n"/>
      <c r="BQ38" s="89" t="n"/>
      <c r="BR38" s="110" t="n"/>
    </row>
    <row r="39" ht="17.5" customHeight="1">
      <c r="A39" s="82" t="n"/>
      <c r="B39" s="83" t="n"/>
      <c r="C39" s="84" t="n"/>
      <c r="D39" s="84" t="n"/>
      <c r="E39" s="109" t="n"/>
      <c r="F39" s="109" t="n"/>
      <c r="G39" s="84" t="n"/>
      <c r="H39" s="109" t="n"/>
      <c r="I39" s="93" t="n"/>
      <c r="J39" s="83" t="n"/>
      <c r="K39" s="83" t="inlineStr">
        <is>
          <t>LCV</t>
        </is>
      </c>
      <c r="L39" s="89">
        <f>CYPRUS!C20</f>
        <v/>
      </c>
      <c r="M39" s="89">
        <f>CYPRUS!D12</f>
        <v/>
      </c>
      <c r="N39" s="89">
        <f>L39*M39</f>
        <v/>
      </c>
      <c r="O39" s="89" t="n"/>
      <c r="P39" s="90" t="n"/>
      <c r="Q39" s="90" t="n"/>
      <c r="R39" s="103" t="n"/>
      <c r="S39" s="103" t="n"/>
      <c r="T39" s="110" t="n"/>
      <c r="U39" s="83" t="inlineStr">
        <is>
          <t>LCV</t>
        </is>
      </c>
      <c r="V39" s="89">
        <f>CYPRUS!D20</f>
        <v/>
      </c>
      <c r="W39" s="89">
        <f>CYPRUS!E12</f>
        <v/>
      </c>
      <c r="X39" s="89">
        <f>V39*W39</f>
        <v/>
      </c>
      <c r="Y39" s="90" t="n"/>
      <c r="Z39" s="89" t="n"/>
      <c r="AA39" s="89" t="n"/>
      <c r="AB39" s="89" t="n"/>
      <c r="AC39" s="89" t="n"/>
      <c r="AD39" s="110" t="n"/>
      <c r="AE39" s="83" t="inlineStr">
        <is>
          <t>LCV</t>
        </is>
      </c>
      <c r="AF39" s="89">
        <f>CYPRUS!E20</f>
        <v/>
      </c>
      <c r="AG39" s="89">
        <f>CYPRUS!F12</f>
        <v/>
      </c>
      <c r="AH39" s="89">
        <f>AF39*AG39</f>
        <v/>
      </c>
      <c r="AI39" s="90" t="n"/>
      <c r="AJ39" s="89" t="n"/>
      <c r="AK39" s="89" t="n"/>
      <c r="AL39" s="89" t="n"/>
      <c r="AM39" s="89" t="n"/>
      <c r="AN39" s="110" t="n"/>
      <c r="AO39" s="83" t="inlineStr">
        <is>
          <t>LCV</t>
        </is>
      </c>
      <c r="AP39" s="89">
        <f>CYPRUS!F20</f>
        <v/>
      </c>
      <c r="AQ39" s="89">
        <f>CYPRUS!G12</f>
        <v/>
      </c>
      <c r="AR39" s="89">
        <f>AP39*AQ39</f>
        <v/>
      </c>
      <c r="AS39" s="90" t="n"/>
      <c r="AT39" s="89" t="n"/>
      <c r="AU39" s="89" t="n"/>
      <c r="AV39" s="89" t="n"/>
      <c r="AW39" s="89" t="n"/>
      <c r="AX39" s="110" t="n"/>
      <c r="AY39" s="83" t="inlineStr">
        <is>
          <t>LCV</t>
        </is>
      </c>
      <c r="AZ39" s="89">
        <f>CYPRUS!G20</f>
        <v/>
      </c>
      <c r="BA39" s="89">
        <f>CYPRUS!H12</f>
        <v/>
      </c>
      <c r="BB39" s="89">
        <f>AZ39*BA39</f>
        <v/>
      </c>
      <c r="BC39" s="90" t="n"/>
      <c r="BD39" s="89" t="n"/>
      <c r="BE39" s="89" t="n"/>
      <c r="BF39" s="89" t="n"/>
      <c r="BG39" s="89" t="n"/>
      <c r="BH39" s="110" t="n"/>
      <c r="BI39" s="83" t="inlineStr">
        <is>
          <t>LCV</t>
        </is>
      </c>
      <c r="BJ39" s="89">
        <f>CYPRUS!H20</f>
        <v/>
      </c>
      <c r="BK39" s="89">
        <f>CYPRUS!I12</f>
        <v/>
      </c>
      <c r="BL39" s="89">
        <f>BJ39*BK39</f>
        <v/>
      </c>
      <c r="BM39" s="90" t="n"/>
      <c r="BN39" s="89" t="n"/>
      <c r="BO39" s="89" t="n"/>
      <c r="BP39" s="89" t="n"/>
      <c r="BQ39" s="89" t="n"/>
      <c r="BR39" s="110" t="n"/>
    </row>
    <row r="40" ht="17.5" customHeight="1">
      <c r="A40" s="82" t="n"/>
      <c r="B40" s="83" t="n"/>
      <c r="C40" s="84" t="n"/>
      <c r="D40" s="84" t="n"/>
      <c r="E40" s="109" t="n"/>
      <c r="F40" s="109" t="n"/>
      <c r="G40" s="84" t="n"/>
      <c r="H40" s="109" t="n"/>
      <c r="I40" s="93" t="n"/>
      <c r="J40" s="83" t="n"/>
      <c r="K40" s="83" t="n"/>
      <c r="L40" s="89" t="n"/>
      <c r="M40" s="89">
        <f>SUM(M38:M39)</f>
        <v/>
      </c>
      <c r="N40" s="89">
        <f>SUM(N38:N39)</f>
        <v/>
      </c>
      <c r="O40" s="89">
        <f>CYPRUS!D26</f>
        <v/>
      </c>
      <c r="P40" s="90">
        <f>O40/N40</f>
        <v/>
      </c>
      <c r="Q40" s="90" t="n"/>
      <c r="R40" s="103" t="n"/>
      <c r="S40" s="103" t="n"/>
      <c r="T40" s="110" t="n"/>
      <c r="U40" s="83" t="n"/>
      <c r="V40" s="89" t="n"/>
      <c r="W40" s="89">
        <f>SUM(W38:W39)</f>
        <v/>
      </c>
      <c r="X40" s="89">
        <f>SUM(X38:X39)</f>
        <v/>
      </c>
      <c r="Y40" s="90">
        <f>Z40/X40</f>
        <v/>
      </c>
      <c r="Z40" s="89">
        <f>CYPRUS!E30</f>
        <v/>
      </c>
      <c r="AA40" s="89" t="n"/>
      <c r="AB40" s="89" t="n"/>
      <c r="AC40" s="89" t="n"/>
      <c r="AD40" s="110" t="n"/>
      <c r="AE40" s="83" t="n"/>
      <c r="AF40" s="89" t="n"/>
      <c r="AG40" s="89">
        <f>SUM(AG38:AG39)</f>
        <v/>
      </c>
      <c r="AH40" s="89">
        <f>SUM(AH38:AH39)</f>
        <v/>
      </c>
      <c r="AI40" s="90">
        <f>IF(Y40&gt;='Dashboard (2)'!$Q$1,Y40,MIN(Y40+'Dashboard (2)'!$N$2,'Dashboard (2)'!$Q$1))</f>
        <v/>
      </c>
      <c r="AJ40" s="89">
        <f>AH40*AI40</f>
        <v/>
      </c>
      <c r="AK40" s="89" t="n"/>
      <c r="AL40" s="89" t="n"/>
      <c r="AM40" s="89" t="n"/>
      <c r="AN40" s="110" t="n"/>
      <c r="AO40" s="83" t="n"/>
      <c r="AP40" s="89" t="n"/>
      <c r="AQ40" s="89">
        <f>SUM(AQ38:AQ39)</f>
        <v/>
      </c>
      <c r="AR40" s="89">
        <f>SUM(AR38:AR39)</f>
        <v/>
      </c>
      <c r="AS40" s="90">
        <f>IF(AI40&gt;='Dashboard (2)'!$Q$1,AI40,MIN(AI40+'Dashboard (2)'!$N$2,'Dashboard (2)'!$Q$1))</f>
        <v/>
      </c>
      <c r="AT40" s="89">
        <f>AR40*AS40</f>
        <v/>
      </c>
      <c r="AU40" s="89" t="n"/>
      <c r="AV40" s="89" t="n"/>
      <c r="AW40" s="89" t="n"/>
      <c r="AX40" s="110" t="n"/>
      <c r="AY40" s="83" t="n"/>
      <c r="AZ40" s="89" t="n"/>
      <c r="BA40" s="89">
        <f>SUM(BA38:BA39)</f>
        <v/>
      </c>
      <c r="BB40" s="89">
        <f>SUM(BB38:BB39)</f>
        <v/>
      </c>
      <c r="BC40" s="90">
        <f>IF(AS40&gt;='Dashboard (2)'!$Q$1,AS40,MIN(AS40+'Dashboard (2)'!$N$2,'Dashboard (2)'!$Q$1))</f>
        <v/>
      </c>
      <c r="BD40" s="89">
        <f>BB40*BC40</f>
        <v/>
      </c>
      <c r="BE40" s="89" t="n"/>
      <c r="BF40" s="89" t="n"/>
      <c r="BG40" s="89" t="n"/>
      <c r="BH40" s="110" t="n"/>
      <c r="BI40" s="83" t="n"/>
      <c r="BJ40" s="89" t="n"/>
      <c r="BK40" s="89">
        <f>SUM(BK38:BK39)</f>
        <v/>
      </c>
      <c r="BL40" s="89">
        <f>SUM(BL38:BL39)</f>
        <v/>
      </c>
      <c r="BM40" s="90">
        <f>IF(BC40&gt;='Dashboard (2)'!$Q$1,BC40,MIN(BC40+'Dashboard (2)'!$N$2,'Dashboard (2)'!$Q$1))</f>
        <v/>
      </c>
      <c r="BN40" s="89">
        <f>BL40*BM40</f>
        <v/>
      </c>
      <c r="BO40" s="89" t="n"/>
      <c r="BP40" s="89" t="n"/>
      <c r="BQ40" s="89" t="n"/>
      <c r="BR40" s="110" t="n"/>
    </row>
    <row r="41" ht="17.5" customHeight="1">
      <c r="A41" s="82" t="inlineStr">
        <is>
          <t>MALTA</t>
        </is>
      </c>
      <c r="B41" s="83" t="inlineStr">
        <is>
          <t>mixed</t>
        </is>
      </c>
      <c r="C41" s="84">
        <f>Dashboard!C22</f>
        <v/>
      </c>
      <c r="D41" s="84">
        <f>Dashboard!D22</f>
        <v/>
      </c>
      <c r="E41" s="109">
        <f>Dashboard!E22</f>
        <v/>
      </c>
      <c r="F41" s="109">
        <f>Dashboard!F22</f>
        <v/>
      </c>
      <c r="G41" s="84">
        <f>Dashboard!G22</f>
        <v/>
      </c>
      <c r="H41" s="109">
        <f>Dashboard!H22</f>
        <v/>
      </c>
      <c r="I41" s="93">
        <f>Dashboard!I22</f>
        <v/>
      </c>
      <c r="J41" s="83" t="n"/>
      <c r="K41" s="83" t="inlineStr">
        <is>
          <t>CV N</t>
        </is>
      </c>
      <c r="L41" s="89">
        <f>MALTA!C17</f>
        <v/>
      </c>
      <c r="M41" s="89">
        <f>MALTA!D9</f>
        <v/>
      </c>
      <c r="N41" s="89">
        <f>L41*M41</f>
        <v/>
      </c>
      <c r="P41" s="90" t="n"/>
      <c r="Q41" s="90" t="n"/>
      <c r="R41" s="103" t="n"/>
      <c r="S41" s="103" t="n"/>
      <c r="T41" s="110" t="n"/>
      <c r="U41" s="83" t="inlineStr">
        <is>
          <t>CV N</t>
        </is>
      </c>
      <c r="V41" s="89">
        <f>MALTA!D17</f>
        <v/>
      </c>
      <c r="W41" s="89">
        <f>MALTA!E9</f>
        <v/>
      </c>
      <c r="X41" s="89">
        <f>V41*W41</f>
        <v/>
      </c>
      <c r="Y41" s="90" t="n"/>
      <c r="Z41" s="89" t="n"/>
      <c r="AA41" s="89" t="n"/>
      <c r="AB41" s="89" t="n"/>
      <c r="AC41" s="89" t="n"/>
      <c r="AD41" s="110" t="n"/>
      <c r="AE41" s="83" t="inlineStr">
        <is>
          <t>CV N</t>
        </is>
      </c>
      <c r="AF41" s="89">
        <f>MALTA!E17</f>
        <v/>
      </c>
      <c r="AG41" s="89">
        <f>MALTA!F9</f>
        <v/>
      </c>
      <c r="AH41" s="89">
        <f>AF41*AG41</f>
        <v/>
      </c>
      <c r="AI41" s="90" t="n"/>
      <c r="AJ41" s="89" t="n"/>
      <c r="AK41" s="89" t="n"/>
      <c r="AL41" s="89" t="n"/>
      <c r="AM41" s="89" t="n"/>
      <c r="AN41" s="110" t="n"/>
      <c r="AO41" s="83" t="inlineStr">
        <is>
          <t>CV N</t>
        </is>
      </c>
      <c r="AP41" s="89">
        <f>MALTA!F17</f>
        <v/>
      </c>
      <c r="AQ41" s="89">
        <f>MALTA!G9</f>
        <v/>
      </c>
      <c r="AR41" s="89">
        <f>AP41*AQ41</f>
        <v/>
      </c>
      <c r="AS41" s="90" t="n"/>
      <c r="AT41" s="89" t="n"/>
      <c r="AU41" s="89" t="n"/>
      <c r="AV41" s="89" t="n"/>
      <c r="AW41" s="89" t="n"/>
      <c r="AX41" s="110" t="n"/>
      <c r="AY41" s="83" t="inlineStr">
        <is>
          <t>CV N</t>
        </is>
      </c>
      <c r="AZ41" s="89">
        <f>MALTA!G17</f>
        <v/>
      </c>
      <c r="BA41" s="89">
        <f>MALTA!H9</f>
        <v/>
      </c>
      <c r="BB41" s="89">
        <f>AZ41*BA41</f>
        <v/>
      </c>
      <c r="BC41" s="90" t="n"/>
      <c r="BD41" s="89" t="n"/>
      <c r="BE41" s="89" t="n"/>
      <c r="BF41" s="89" t="n"/>
      <c r="BG41" s="89" t="n"/>
      <c r="BH41" s="110" t="n"/>
      <c r="BI41" s="83" t="inlineStr">
        <is>
          <t>CV N</t>
        </is>
      </c>
      <c r="BJ41" s="89">
        <f>MALTA!H17</f>
        <v/>
      </c>
      <c r="BK41" s="89">
        <f>MALTA!I9</f>
        <v/>
      </c>
      <c r="BL41" s="89">
        <f>BJ41*BK41</f>
        <v/>
      </c>
      <c r="BM41" s="90" t="n"/>
      <c r="BN41" s="89" t="n"/>
      <c r="BO41" s="89" t="n"/>
      <c r="BP41" s="89" t="n"/>
      <c r="BQ41" s="89" t="n"/>
      <c r="BR41" s="110" t="n"/>
    </row>
    <row r="42" ht="17.5" customHeight="1">
      <c r="A42" s="82" t="n"/>
      <c r="B42" s="83" t="n"/>
      <c r="C42" s="84" t="n"/>
      <c r="D42" s="84" t="n"/>
      <c r="E42" s="109" t="n"/>
      <c r="F42" s="109" t="n"/>
      <c r="G42" s="84" t="n"/>
      <c r="H42" s="109" t="n"/>
      <c r="I42" s="93" t="n"/>
      <c r="J42" s="83" t="n"/>
      <c r="K42" s="83" t="inlineStr">
        <is>
          <t>LCV</t>
        </is>
      </c>
      <c r="L42" s="89">
        <f>MALTA!C20</f>
        <v/>
      </c>
      <c r="M42" s="89">
        <f>MALTA!D12</f>
        <v/>
      </c>
      <c r="N42" s="89">
        <f>L42*M42</f>
        <v/>
      </c>
      <c r="O42" s="89" t="n"/>
      <c r="P42" s="90" t="n"/>
      <c r="Q42" s="90" t="n"/>
      <c r="R42" s="103" t="n"/>
      <c r="S42" s="103" t="n"/>
      <c r="T42" s="110" t="n"/>
      <c r="U42" s="83" t="inlineStr">
        <is>
          <t>LCV</t>
        </is>
      </c>
      <c r="V42" s="89">
        <f>MALTA!D20</f>
        <v/>
      </c>
      <c r="W42" s="89">
        <f>MALTA!E12</f>
        <v/>
      </c>
      <c r="X42" s="89">
        <f>V42*W42</f>
        <v/>
      </c>
      <c r="Y42" s="90" t="n"/>
      <c r="Z42" s="89" t="n"/>
      <c r="AA42" s="89" t="n"/>
      <c r="AB42" s="89" t="n"/>
      <c r="AC42" s="89" t="n"/>
      <c r="AD42" s="110" t="n"/>
      <c r="AE42" s="83" t="inlineStr">
        <is>
          <t>LCV</t>
        </is>
      </c>
      <c r="AF42" s="89">
        <f>MALTA!E20</f>
        <v/>
      </c>
      <c r="AG42" s="89">
        <f>MALTA!F12</f>
        <v/>
      </c>
      <c r="AH42" s="89">
        <f>AF42*AG42</f>
        <v/>
      </c>
      <c r="AI42" s="90" t="n"/>
      <c r="AJ42" s="89" t="n"/>
      <c r="AK42" s="89" t="n"/>
      <c r="AL42" s="89" t="n"/>
      <c r="AM42" s="89" t="n"/>
      <c r="AN42" s="110" t="n"/>
      <c r="AO42" s="83" t="inlineStr">
        <is>
          <t>LCV</t>
        </is>
      </c>
      <c r="AP42" s="89">
        <f>MALTA!F20</f>
        <v/>
      </c>
      <c r="AQ42" s="89">
        <f>MALTA!G12</f>
        <v/>
      </c>
      <c r="AR42" s="89">
        <f>AP42*AQ42</f>
        <v/>
      </c>
      <c r="AS42" s="90" t="n"/>
      <c r="AT42" s="89" t="n"/>
      <c r="AU42" s="89" t="n"/>
      <c r="AV42" s="89" t="n"/>
      <c r="AW42" s="89" t="n"/>
      <c r="AX42" s="110" t="n"/>
      <c r="AY42" s="83" t="inlineStr">
        <is>
          <t>LCV</t>
        </is>
      </c>
      <c r="AZ42" s="89">
        <f>MALTA!G20</f>
        <v/>
      </c>
      <c r="BA42" s="89">
        <f>MALTA!H12</f>
        <v/>
      </c>
      <c r="BB42" s="89">
        <f>AZ42*BA42</f>
        <v/>
      </c>
      <c r="BC42" s="90" t="n"/>
      <c r="BD42" s="89" t="n"/>
      <c r="BE42" s="89" t="n"/>
      <c r="BF42" s="89" t="n"/>
      <c r="BG42" s="89" t="n"/>
      <c r="BH42" s="110" t="n"/>
      <c r="BI42" s="83" t="inlineStr">
        <is>
          <t>LCV</t>
        </is>
      </c>
      <c r="BJ42" s="89">
        <f>MALTA!H20</f>
        <v/>
      </c>
      <c r="BK42" s="89">
        <f>MALTA!I12</f>
        <v/>
      </c>
      <c r="BL42" s="89">
        <f>BJ42*BK42</f>
        <v/>
      </c>
      <c r="BM42" s="90" t="n"/>
      <c r="BN42" s="89" t="n"/>
      <c r="BO42" s="89" t="n"/>
      <c r="BP42" s="89" t="n"/>
      <c r="BQ42" s="89" t="n"/>
      <c r="BR42" s="110" t="n"/>
    </row>
    <row r="43" ht="17.5" customHeight="1">
      <c r="A43" s="82" t="n"/>
      <c r="B43" s="83" t="n"/>
      <c r="C43" s="84" t="n"/>
      <c r="D43" s="84" t="n"/>
      <c r="E43" s="109" t="n"/>
      <c r="F43" s="109" t="n"/>
      <c r="G43" s="84" t="n"/>
      <c r="H43" s="109" t="n"/>
      <c r="I43" s="93" t="n"/>
      <c r="J43" s="83" t="n"/>
      <c r="K43" s="83" t="n"/>
      <c r="L43" s="89" t="n"/>
      <c r="M43" s="89">
        <f>SUM(M41:M42)</f>
        <v/>
      </c>
      <c r="N43" s="89">
        <f>SUM(N41:N42)</f>
        <v/>
      </c>
      <c r="O43" s="89">
        <f>MALTA!D26</f>
        <v/>
      </c>
      <c r="P43" s="90">
        <f>O43/N43</f>
        <v/>
      </c>
      <c r="Q43" s="90" t="n"/>
      <c r="R43" s="103" t="n"/>
      <c r="S43" s="103" t="n"/>
      <c r="T43" s="110" t="n"/>
      <c r="U43" s="83" t="n"/>
      <c r="V43" s="89" t="n"/>
      <c r="W43" s="89">
        <f>SUM(W41:W42)</f>
        <v/>
      </c>
      <c r="X43" s="89">
        <f>SUM(X41:X42)</f>
        <v/>
      </c>
      <c r="Y43" s="90">
        <f>Z43/X43</f>
        <v/>
      </c>
      <c r="Z43" s="89">
        <f>MALTA!E30</f>
        <v/>
      </c>
      <c r="AA43" s="89" t="n"/>
      <c r="AB43" s="89" t="n"/>
      <c r="AC43" s="89" t="n"/>
      <c r="AD43" s="110" t="n"/>
      <c r="AE43" s="83" t="n"/>
      <c r="AF43" s="89" t="n"/>
      <c r="AG43" s="89">
        <f>SUM(AG41:AG42)</f>
        <v/>
      </c>
      <c r="AH43" s="89">
        <f>SUM(AH41:AH42)</f>
        <v/>
      </c>
      <c r="AI43" s="90">
        <f>IF(Y43&gt;='Dashboard (2)'!$Q$1,Y43,MIN(Y43+'Dashboard (2)'!$N$2,'Dashboard (2)'!$Q$1))</f>
        <v/>
      </c>
      <c r="AJ43" s="89">
        <f>AH43*AI43</f>
        <v/>
      </c>
      <c r="AK43" s="89" t="n"/>
      <c r="AL43" s="89" t="n"/>
      <c r="AM43" s="89" t="n"/>
      <c r="AN43" s="110" t="n"/>
      <c r="AO43" s="83" t="n"/>
      <c r="AP43" s="89" t="n"/>
      <c r="AQ43" s="89">
        <f>SUM(AQ41:AQ42)</f>
        <v/>
      </c>
      <c r="AR43" s="89">
        <f>SUM(AR41:AR42)</f>
        <v/>
      </c>
      <c r="AS43" s="90">
        <f>IF(AI43&gt;='Dashboard (2)'!$Q$1,AI43,MIN(AI43+'Dashboard (2)'!$N$2,'Dashboard (2)'!$Q$1))</f>
        <v/>
      </c>
      <c r="AT43" s="89">
        <f>AR43*AS43</f>
        <v/>
      </c>
      <c r="AU43" s="89" t="n"/>
      <c r="AV43" s="89" t="n"/>
      <c r="AW43" s="89" t="n"/>
      <c r="AX43" s="110" t="n"/>
      <c r="AY43" s="83" t="n"/>
      <c r="AZ43" s="89" t="n"/>
      <c r="BA43" s="89">
        <f>SUM(BA41:BA42)</f>
        <v/>
      </c>
      <c r="BB43" s="89">
        <f>SUM(BB41:BB42)</f>
        <v/>
      </c>
      <c r="BC43" s="90">
        <f>IF(AS43&gt;='Dashboard (2)'!$Q$1,AS43,MIN(AS43+'Dashboard (2)'!$N$2,'Dashboard (2)'!$Q$1))</f>
        <v/>
      </c>
      <c r="BD43" s="89">
        <f>BB43*BC43</f>
        <v/>
      </c>
      <c r="BE43" s="89" t="n"/>
      <c r="BF43" s="89" t="n"/>
      <c r="BG43" s="89" t="n"/>
      <c r="BH43" s="110" t="n"/>
      <c r="BI43" s="83" t="n"/>
      <c r="BJ43" s="89" t="n"/>
      <c r="BK43" s="89">
        <f>SUM(BK41:BK42)</f>
        <v/>
      </c>
      <c r="BL43" s="89">
        <f>SUM(BL41:BL42)</f>
        <v/>
      </c>
      <c r="BM43" s="90">
        <f>IF(BC43&gt;='Dashboard (2)'!$Q$1,BC43,MIN(BC43+'Dashboard (2)'!$N$2,'Dashboard (2)'!$Q$1))</f>
        <v/>
      </c>
      <c r="BN43" s="89">
        <f>BL43*BM43</f>
        <v/>
      </c>
      <c r="BO43" s="89" t="n"/>
      <c r="BP43" s="89" t="n"/>
      <c r="BQ43" s="89" t="n"/>
      <c r="BR43" s="110" t="n"/>
    </row>
    <row r="44" ht="17.5" customHeight="1">
      <c r="A44" s="82" t="inlineStr">
        <is>
          <t>TOTAL</t>
        </is>
      </c>
      <c r="B44" s="83" t="n"/>
      <c r="C44" s="87">
        <f>SUM(C6:C41)</f>
        <v/>
      </c>
      <c r="D44" s="87">
        <f>SUM(D6:D41)</f>
        <v/>
      </c>
      <c r="E44" s="112">
        <f>C44/D44</f>
        <v/>
      </c>
      <c r="F44" s="83" t="n"/>
      <c r="G44" s="87">
        <f>SUM(G6:G41)</f>
        <v/>
      </c>
      <c r="H44" s="83" t="n"/>
      <c r="I44" s="87">
        <f>SUM(I6:I41)</f>
        <v/>
      </c>
      <c r="J44" s="83" t="n"/>
      <c r="K44" s="113" t="inlineStr">
        <is>
          <t>TOTAL 18</t>
        </is>
      </c>
      <c r="L44" s="89" t="n"/>
      <c r="M44" s="114">
        <f>M9+M10+M11+M12+M13+M14+M15+M16+M17+M18+M19+M23+M26+M30+M34+M37+M40+M43</f>
        <v/>
      </c>
      <c r="N44" s="114">
        <f>N9+N10+N11+N12+N13+N14+N15+N16+N17+N18+N19+N23+N26+N30+N34+N37+N40+N43</f>
        <v/>
      </c>
      <c r="O44" s="114">
        <f>O9+O10+O11+O12+O13+O14+O15+O16+O17+O18+O19+O23+O26+O30+O34+O37+O40+O43</f>
        <v/>
      </c>
      <c r="P44" s="115">
        <f>O44/N44</f>
        <v/>
      </c>
      <c r="Q44" s="90" t="n"/>
      <c r="R44" s="103" t="n"/>
      <c r="S44" s="103" t="n"/>
      <c r="T44" s="110" t="n"/>
      <c r="U44" s="113" t="inlineStr">
        <is>
          <t>TOTAL 18</t>
        </is>
      </c>
      <c r="V44" s="89" t="n"/>
      <c r="W44" s="114">
        <f>W9+W10+W11+W12+W13+W14+W15+W16+W17+W18+W19+W23+W26+W30+W34+W37+W40+W43</f>
        <v/>
      </c>
      <c r="X44" s="114">
        <f>X9+X10+X11+X12+X13+X14+X15+X16+X17+X18+X19+X23+X26+X30+X34+X37+X40+X43</f>
        <v/>
      </c>
      <c r="Y44" s="115">
        <f>Z44/X44</f>
        <v/>
      </c>
      <c r="Z44" s="114">
        <f>Z9+Z10+Z11+Z12+Z13+Z14+Z15+Z16+Z17+Z18+Z19+Z23+Z26+Z30+Z34+Z37+Z40+Z43</f>
        <v/>
      </c>
      <c r="AA44" s="89" t="n"/>
      <c r="AB44" s="89" t="n"/>
      <c r="AC44" s="89" t="n"/>
      <c r="AD44" s="110" t="n"/>
      <c r="AE44" s="113" t="inlineStr">
        <is>
          <t>TOTAL 18</t>
        </is>
      </c>
      <c r="AF44" s="89" t="n"/>
      <c r="AG44" s="114">
        <f>AG9+AG10+AG11+AG12+AG13+AG14+AG15+AG16+AG17+AG18+AG19+AG23+AG26+AG30+AG34+AG37+AG40+AG43</f>
        <v/>
      </c>
      <c r="AH44" s="114">
        <f>AH9+AH10+AH11+AH12+AH13+AH14+AH15+AH16+AH17+AH18+AH19+AH23+AH26+AH30+AH34+AH37+AH40+AH43</f>
        <v/>
      </c>
      <c r="AI44" s="115">
        <f>AJ44/AH44</f>
        <v/>
      </c>
      <c r="AJ44" s="114">
        <f>AJ9+AJ10+AJ11+AJ12+AJ13+AJ14+AJ15+AJ16+AJ17+AJ18+AJ19+AJ23+AJ26+AJ30+AJ34+AJ37+AJ40+AJ43</f>
        <v/>
      </c>
      <c r="AK44" s="89" t="n"/>
      <c r="AL44" s="89" t="n"/>
      <c r="AM44" s="89" t="n"/>
      <c r="AN44" s="110" t="n"/>
      <c r="AO44" s="113" t="inlineStr">
        <is>
          <t>TOTAL 18</t>
        </is>
      </c>
      <c r="AP44" s="89" t="n"/>
      <c r="AQ44" s="114">
        <f>AQ9+AQ10+AQ11+AQ12+AQ13+AQ14+AQ15+AQ16+AQ17+AQ18+AQ19+AQ23+AQ26+AQ30+AQ34+AQ37+AQ40+AQ43</f>
        <v/>
      </c>
      <c r="AR44" s="114">
        <f>AR9+AR10+AR11+AR12+AR13+AR14+AR15+AR16+AR17+AR18+AR19+AR23+AR26+AR30+AR34+AR37+AR40+AR43</f>
        <v/>
      </c>
      <c r="AS44" s="115">
        <f>AT44/AR44</f>
        <v/>
      </c>
      <c r="AT44" s="114">
        <f>AT9+AT10+AT11+AT12+AT13+AT14+AT15+AT16+AT17+AT18+AT19+AT23+AT26+AT30+AT34+AT37+AT40+AT43</f>
        <v/>
      </c>
      <c r="AU44" s="89" t="n"/>
      <c r="AV44" s="89" t="n"/>
      <c r="AW44" s="89" t="n"/>
      <c r="AX44" s="110" t="n"/>
      <c r="AY44" s="113" t="inlineStr">
        <is>
          <t>TOTAL 18</t>
        </is>
      </c>
      <c r="AZ44" s="89" t="n"/>
      <c r="BA44" s="114">
        <f>BA9+BA10+BA11+BA12+BA13+BA14+BA15+BA16+BA17+BA18+BA19+BA23+BA26+BA30+BA34+BA37+BA40+BA43</f>
        <v/>
      </c>
      <c r="BB44" s="114">
        <f>BB9+BB10+BB11+BB12+BB13+BB14+BB15+BB16+BB17+BB18+BB19+BB23+BB26+BB30+BB34+BB37+BB40+BB43</f>
        <v/>
      </c>
      <c r="BC44" s="115">
        <f>BD44/BB44</f>
        <v/>
      </c>
      <c r="BD44" s="114">
        <f>BD9+BD10+BD11+BD12+BD13+BD14+BD15+BD16+BD17+BD18+BD19+BD23+BD26+BD30+BD34+BD37+BD40+BD43</f>
        <v/>
      </c>
      <c r="BE44" s="89" t="n"/>
      <c r="BF44" s="89" t="n"/>
      <c r="BG44" s="89" t="n"/>
      <c r="BH44" s="110" t="n"/>
      <c r="BI44" s="113" t="inlineStr">
        <is>
          <t>TOTAL 18</t>
        </is>
      </c>
      <c r="BJ44" s="89" t="n"/>
      <c r="BK44" s="114">
        <f>BK9+BK10+BK11+BK12+BK13+BK14+BK15+BK16+BK17+BK18+BK19+BK23+BK26+BK30+BK34+BK37+BK40+BK43</f>
        <v/>
      </c>
      <c r="BL44" s="114">
        <f>BL9+BL10+BL11+BL12+BL13+BL14+BL15+BL16+BL17+BL18+BL19+BL23+BL26+BL30+BL34+BL37+BL40+BL43</f>
        <v/>
      </c>
      <c r="BM44" s="115">
        <f>BN44/BL44</f>
        <v/>
      </c>
      <c r="BN44" s="114">
        <f>BN9+BN10+BN11+BN12+BN13+BN14+BN15+BN16+BN17+BN18+BN19+BN23+BN26+BN30+BN34+BN37+BN40+BN43</f>
        <v/>
      </c>
      <c r="BO44" s="89" t="n"/>
      <c r="BP44" s="89" t="n"/>
      <c r="BQ44" s="89" t="n"/>
      <c r="BR44" s="110" t="n"/>
    </row>
    <row r="45" ht="0.5" customHeight="1">
      <c r="N45" s="89" t="n"/>
      <c r="U45" s="108" t="inlineStr">
        <is>
          <t>+ outside 18 (CIS/MIDI/KIMA/IMG, flat)</t>
        </is>
      </c>
      <c r="Z45" s="92" t="n">
        <v>2062082.28</v>
      </c>
      <c r="AE45" s="108" t="inlineStr">
        <is>
          <t>+ outside 18 (CIS/MIDI/KIMA/IMG, flat)</t>
        </is>
      </c>
      <c r="AJ45" s="92" t="n">
        <v>2062082.28</v>
      </c>
      <c r="AO45" s="108" t="inlineStr">
        <is>
          <t>+ outside 18 (CIS/MIDI/KIMA/IMG, flat)</t>
        </is>
      </c>
      <c r="AT45" s="92" t="n">
        <v>2062082.28</v>
      </c>
      <c r="AY45" s="108" t="inlineStr">
        <is>
          <t>+ outside 18 (CIS/MIDI/KIMA/IMG, flat)</t>
        </is>
      </c>
      <c r="BD45" s="92" t="n">
        <v>2062082.28</v>
      </c>
      <c r="BI45" s="108" t="inlineStr">
        <is>
          <t>+ outside 18 (CIS/MIDI/KIMA/IMG, flat)</t>
        </is>
      </c>
      <c r="BN45" s="92" t="n">
        <v>2062082.28</v>
      </c>
    </row>
    <row r="46" ht="17.5" customHeight="1">
      <c r="A46" s="71" t="inlineStr">
        <is>
          <t>Remaining stretch BEFORE GPS</t>
        </is>
      </c>
      <c r="C46" s="95" t="n">
        <v>952037.4225</v>
      </c>
      <c r="U46" s="108" t="inlineStr">
        <is>
          <t>Network BP (PL plan row 186)</t>
        </is>
      </c>
      <c r="Z46" s="92" t="n">
        <v>35284444.2378</v>
      </c>
      <c r="AE46" s="108" t="inlineStr">
        <is>
          <t>Network BP (PL plan row 186)</t>
        </is>
      </c>
      <c r="AJ46" s="92" t="n">
        <v>37530000</v>
      </c>
      <c r="AO46" s="108" t="inlineStr">
        <is>
          <t>Network BP (PL plan row 186)</t>
        </is>
      </c>
      <c r="AT46" s="92" t="n">
        <v>41530410</v>
      </c>
      <c r="AY46" s="108" t="inlineStr">
        <is>
          <t>Network BP (PL plan row 186)</t>
        </is>
      </c>
      <c r="BD46" s="92" t="n">
        <v>46385705</v>
      </c>
      <c r="BI46" s="108" t="inlineStr">
        <is>
          <t>Network BP (PL plan row 186)</t>
        </is>
      </c>
      <c r="BN46" s="92" t="n">
        <v>52096000</v>
      </c>
    </row>
    <row r="47" ht="17.5" customHeight="1">
      <c r="A47" s="71" t="inlineStr">
        <is>
          <t>GPS contribution (18 DBs)</t>
        </is>
      </c>
      <c r="C47" s="96">
        <f>G44</f>
        <v/>
      </c>
      <c r="U47" s="105" t="inlineStr">
        <is>
          <t>Gap: target - BP (+ = above plan)</t>
        </is>
      </c>
      <c r="Z47" s="116">
        <f>Z44+Z45-Z46</f>
        <v/>
      </c>
      <c r="AE47" s="105" t="inlineStr">
        <is>
          <t>Gap: target - BP (+ = above plan)</t>
        </is>
      </c>
      <c r="AJ47" s="116">
        <f>AJ44+AJ45-AJ46</f>
        <v/>
      </c>
      <c r="AO47" s="105" t="inlineStr">
        <is>
          <t>Gap: target - BP (+ = above plan)</t>
        </is>
      </c>
      <c r="AT47" s="116">
        <f>AT44+AT45-AT46</f>
        <v/>
      </c>
      <c r="AY47" s="105" t="inlineStr">
        <is>
          <t>Gap: target - BP (+ = above plan)</t>
        </is>
      </c>
      <c r="BD47" s="116">
        <f>BD44+BD45-BD46</f>
        <v/>
      </c>
      <c r="BI47" s="105" t="inlineStr">
        <is>
          <t>Gap: target - BP (+ = above plan)</t>
        </is>
      </c>
      <c r="BN47" s="116">
        <f>BN44+BN45-BN46</f>
        <v/>
      </c>
    </row>
    <row r="48" ht="17.5" customHeight="1">
      <c r="A48" s="97" t="inlineStr">
        <is>
          <t>Remaining stretch AFTER GPS</t>
        </is>
      </c>
      <c r="C48" s="98">
        <f>C46-C47</f>
        <v/>
      </c>
      <c r="E48" s="72" t="inlineStr">
        <is>
          <t>negative = over-covered = buffer</t>
        </is>
      </c>
    </row>
    <row r="49"/>
    <row r="50" ht="17.5" customHeight="1">
      <c r="A50" s="70" t="inlineStr">
        <is>
          <t>WATCH</t>
        </is>
      </c>
    </row>
    <row r="51" ht="270" customHeight="1">
      <c r="A51" s="99" t="inlineStr">
        <is>
          <t>• DEALER-LEVEL BLOCK DROPPED (Jerome, 17-07-2026). The KPI 'Parts Sales DB to DLR' figure is 2.2x-3.7x ISZE billing (IUK 3.58x, Denmark 3.67x, Romania 2.19x). A 35% DB margin implies 1.54x. To reconcile you would need DB margins of 54-73%. It is not the same goods marked up, so the /0.65 gross-up was invalid — and it is the same reason the DB-to-DLR GPS exceeded 100%.</t>
        </is>
      </c>
    </row>
    <row r="52" ht="180" customHeight="1">
      <c r="A52" s="99" t="inlineStr">
        <is>
          <t>• BASIS SPLIT: ITUK and UTI carry their AS-PRESENTED V4 figures. V4 (2026-07-06) maps FY27 to UIO CY2027F — the off-by-one MH corrected on 17-07 — and has no +5%. Every other row is on MH's corrected basis. OPEN: rebase, or ratify V4?</t>
        </is>
      </c>
    </row>
    <row r="53" ht="101.25" customHeight="1">
      <c r="A53" s="99" t="inlineStr">
        <is>
          <t>• V4 IUK max spend = 50,202 (CY2027F) x EUR250 = 12,550,500. This file (v3.3): 49,280 (CY2026F) x 262.50 = 12,936,000.</t>
        </is>
      </c>
    </row>
    <row r="54" ht="213.75" customHeight="1">
      <c r="A54" s="99" t="inlineStr">
        <is>
          <t>• CEILING (v3.3): stretch is capped per distributor at the share ceiling (input Q1). FINLAND is above 100% at BP (104.9%) — no stretch, share held flat. It is the BP, not the model.</t>
        </is>
      </c>
    </row>
    <row r="55" ht="168.75" customHeight="1">
      <c r="A55" s="99" t="inlineStr">
        <is>
          <t>• GREECE billing = payer 66, labelled 'RSA' in gps_billing_fy_ALLCUSTOMERS.csv. It is Greece, not Norway. The warranty file uses 'RSA' for Norway — joining the two on that name merges Greece's sales into Norway. Live bug at source.</t>
        </is>
      </c>
    </row>
    <row r="56" ht="90" customHeight="1">
      <c r="A56" s="99" t="inlineStr">
        <is>
          <t>• BELGIUM = ISUZU BENELUX NV covering BE/NL/PL/LUX, but only the BELGIUM UIO rows are in its max spend.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showGridLines="0" topLeftCell="A4" zoomScaleNormal="100" workbookViewId="0">
      <pane xSplit="10" ySplit="5" topLeftCell="K21" activePane="bottomRight" state="frozen"/>
      <selection activeCell="A4" sqref="A4"/>
      <selection pane="topRight" activeCell="K4" sqref="K4"/>
      <selection pane="bottomLeft" activeCell="A9" sqref="A9"/>
      <selection pane="bottomRight" activeCell="L5" sqref="L5:L22"/>
    </sheetView>
  </sheetViews>
  <sheetFormatPr baseColWidth="8" defaultColWidth="8.6328125" defaultRowHeight="15.5"/>
  <cols>
    <col width="13" customWidth="1" min="1" max="1"/>
    <col width="11" customWidth="1" min="2" max="2"/>
    <col width="14" customWidth="1" min="3" max="4"/>
    <col width="9" customWidth="1" min="5" max="6"/>
    <col width="12" customWidth="1" min="7" max="7"/>
    <col width="9" customWidth="1" min="8" max="8"/>
    <col width="15" customWidth="1" min="9" max="9"/>
    <col hidden="1" width="46" customWidth="1" min="10" max="10"/>
    <col width="2.453125" customWidth="1" min="11" max="11"/>
    <col width="12.90625" customWidth="1" min="12" max="12"/>
    <col width="15" customWidth="1" style="1" min="13" max="14"/>
    <col width="2.453125" customWidth="1" min="15" max="15"/>
    <col width="14" customWidth="1" style="1" min="16" max="17"/>
    <col width="11" customWidth="1" style="1" min="18" max="18"/>
    <col width="10" customWidth="1" style="1" min="19" max="19"/>
    <col width="16" customWidth="1" style="1" min="20" max="21"/>
    <col width="42" customWidth="1" style="1" min="22" max="22"/>
    <col width="46" customWidth="1" style="1" min="23" max="23"/>
  </cols>
  <sheetData>
    <row r="1" ht="15.75" customHeight="1">
      <c r="A1" s="1" t="inlineStr">
        <is>
          <t>ISZE — FY2027 GPS Extended Target</t>
        </is>
      </c>
    </row>
    <row r="2" ht="14.25" customHeight="1">
      <c r="A2" s="2" t="inlineStr">
        <is>
          <t>ISZE-&gt;DB level only (columns A:J). Stretch % lives on each DB tab. Everything here and on Waterfall VP is live. Dealer-level (DB-&gt;DLR) GPS% blend dropped — see WATCH. Two blocks added 22-07-2026, clearly separated by level: L:M = ISZE→DB billing actuals (reference only); O:U = DB→DLR Sales-to-Dealer, a SEPARATE track, NOT blended into A:J. See Method tab.</t>
        </is>
      </c>
    </row>
    <row r="3" ht="27.75" customHeight="1">
      <c r="A3" s="67" t="inlineStr">
        <is>
          <t>ISZE → DB  (billing / GPS% — unchanged, live)</t>
        </is>
      </c>
      <c r="K3" s="3" t="n"/>
      <c r="L3" s="3" t="n"/>
      <c r="M3" s="68" t="inlineStr">
        <is>
          <t>ISZE → DB  (billing actuals, ref only)</t>
        </is>
      </c>
      <c r="O3" s="3" t="n"/>
      <c r="P3" s="69" t="inlineStr">
        <is>
          <t>DB → DLR  (Sales to Dealer — separate track, NOT GPS)</t>
        </is>
      </c>
    </row>
    <row r="4" ht="54.75" customHeight="1">
      <c r="A4" s="4" t="inlineStr">
        <is>
          <t>DB</t>
        </is>
      </c>
      <c r="B4" s="4" t="inlineStr">
        <is>
          <t>Segment</t>
        </is>
      </c>
      <c r="C4" s="4" t="inlineStr">
        <is>
          <t>BP FY27</t>
        </is>
      </c>
      <c r="D4" s="4" t="inlineStr">
        <is>
          <t>Max spend</t>
        </is>
      </c>
      <c r="E4" s="4" t="inlineStr">
        <is>
          <t>GPS %</t>
        </is>
      </c>
      <c r="F4" s="4" t="inlineStr">
        <is>
          <t>Stretch%</t>
        </is>
      </c>
      <c r="G4" s="4" t="inlineStr">
        <is>
          <t>Stretch EUR</t>
        </is>
      </c>
      <c r="H4" s="4" t="inlineStr">
        <is>
          <t>New GPS</t>
        </is>
      </c>
      <c r="I4" s="4" t="inlineStr">
        <is>
          <t>EXT TARGET</t>
        </is>
      </c>
      <c r="J4" s="4" t="inlineStr">
        <is>
          <t>Note</t>
        </is>
      </c>
      <c r="K4" s="3" t="n"/>
      <c r="L4" s="3" t="n"/>
      <c r="M4" s="5" t="inlineStr">
        <is>
          <t>ISZE billing FY25 (EUR)</t>
        </is>
      </c>
      <c r="N4" s="6" t="inlineStr">
        <is>
          <t>ISZE billing FY26 (EUR)</t>
        </is>
      </c>
      <c r="O4" s="3" t="n"/>
      <c r="P4" s="7" t="inlineStr">
        <is>
          <t>Sales to Dealer FY25 (EUR)</t>
        </is>
      </c>
      <c r="Q4" s="8" t="inlineStr">
        <is>
          <t>Sales to Dealer FY26 (EUR)</t>
        </is>
      </c>
      <c r="R4" s="8" t="inlineStr">
        <is>
          <t>UIO growth FY26→FY27</t>
        </is>
      </c>
      <c r="S4" s="8" t="inlineStr">
        <is>
          <t>Price increase FY27</t>
        </is>
      </c>
      <c r="T4" s="8" t="inlineStr">
        <is>
          <t>Add'l growth (small, bounded 0.5–4%)</t>
        </is>
      </c>
      <c r="U4" s="8" t="inlineStr">
        <is>
          <t>Sales to Dealer FY27 TARGET (EUR)</t>
        </is>
      </c>
      <c r="V4" s="8" t="inlineStr">
        <is>
          <t>S2D Note  (S2D = Sales-to-Dealer, i.e. this whole DB→DLR block)</t>
        </is>
      </c>
      <c r="W4" s="8" t="inlineStr">
        <is>
          <t>Rationale</t>
        </is>
      </c>
    </row>
    <row r="5" ht="27.75" customHeight="1">
      <c r="A5" s="9" t="inlineStr">
        <is>
          <t>ITUK</t>
        </is>
      </c>
      <c r="B5" t="inlineStr">
        <is>
          <t>presented</t>
        </is>
      </c>
      <c r="C5" s="10" t="n">
        <v>6974170.0524</v>
      </c>
      <c r="D5" s="10" t="n">
        <v>13051952.5629</v>
      </c>
      <c r="E5" s="117">
        <f>C5/D5</f>
        <v/>
      </c>
      <c r="G5" s="12" t="n">
        <v>376073.9136</v>
      </c>
      <c r="I5" s="13">
        <f>C5+G5</f>
        <v/>
      </c>
      <c r="J5" s="14" t="inlineStr">
        <is>
          <t>V4 basis (CY2027F, no +5%) — NOT rebased</t>
        </is>
      </c>
      <c r="K5" s="15" t="n"/>
      <c r="L5" s="118">
        <f>G5*0.33/2</f>
        <v/>
      </c>
      <c r="M5" s="16" t="n">
        <v>5668549</v>
      </c>
      <c r="N5" s="17" t="n">
        <v>6658172</v>
      </c>
      <c r="O5" s="15" t="n"/>
      <c r="P5" s="18" t="inlineStr">
        <is>
          <t>Skipped</t>
        </is>
      </c>
      <c r="Q5" s="15" t="n"/>
      <c r="R5" s="15" t="n"/>
      <c r="S5" s="15" t="n"/>
      <c r="T5" s="15" t="n"/>
      <c r="V5" s="19" t="n"/>
      <c r="W5" s="20" t="inlineStr">
        <is>
          <t>N/A — skipped for this round (see S2D Note).</t>
        </is>
      </c>
    </row>
    <row r="6" ht="54.75" customHeight="1">
      <c r="A6" s="9" t="inlineStr">
        <is>
          <t>UTI</t>
        </is>
      </c>
      <c r="B6" t="inlineStr">
        <is>
          <t>presented</t>
        </is>
      </c>
      <c r="C6" s="10" t="n">
        <v>3098113.5036</v>
      </c>
      <c r="D6" s="10" t="n">
        <v>8834692</v>
      </c>
      <c r="E6" s="117">
        <f>C6/D6</f>
        <v/>
      </c>
      <c r="G6" s="12" t="n">
        <v>159024.456</v>
      </c>
      <c r="I6" s="13">
        <f>C6+G6</f>
        <v/>
      </c>
      <c r="J6" s="14" t="inlineStr">
        <is>
          <t>V4 basis (CY2027F, no +5%) — NOT rebased</t>
        </is>
      </c>
      <c r="K6" s="15" t="n"/>
      <c r="L6" s="118">
        <f>G6*0.33/2</f>
        <v/>
      </c>
      <c r="M6" s="21" t="n"/>
      <c r="N6" s="15" t="n"/>
      <c r="O6" s="15" t="n"/>
      <c r="P6" s="18" t="inlineStr">
        <is>
          <t>Skipped</t>
        </is>
      </c>
      <c r="Q6" s="15" t="n"/>
      <c r="R6" s="15" t="n"/>
      <c r="S6" s="15" t="n"/>
      <c r="T6" s="15" t="n"/>
      <c r="V6" s="19" t="n"/>
      <c r="W6" s="20" t="inlineStr">
        <is>
          <t>N/A — skipped for this round (see S2D Note).</t>
        </is>
      </c>
    </row>
    <row r="7" ht="27.75" customHeight="1">
      <c r="A7" s="9" t="inlineStr">
        <is>
          <t>IUK</t>
        </is>
      </c>
      <c r="B7" t="inlineStr">
        <is>
          <t>LCV</t>
        </is>
      </c>
      <c r="C7" s="10">
        <f>IUK!E20</f>
        <v/>
      </c>
      <c r="D7" s="10">
        <f>IUK!E19</f>
        <v/>
      </c>
      <c r="E7" s="117">
        <f>IUK!E21</f>
        <v/>
      </c>
      <c r="F7" s="117">
        <f>IUK!E22</f>
        <v/>
      </c>
      <c r="G7" s="10">
        <f>IUK!E23</f>
        <v/>
      </c>
      <c r="H7" s="117">
        <f>IUK!E25</f>
        <v/>
      </c>
      <c r="I7" s="22">
        <f>IUK!E24</f>
        <v/>
      </c>
      <c r="K7" s="15" t="n"/>
      <c r="L7" s="118">
        <f>G7*0.33/2</f>
        <v/>
      </c>
      <c r="M7" s="23" t="n">
        <v>7154801</v>
      </c>
      <c r="N7" s="24" t="n">
        <v>5682505</v>
      </c>
      <c r="O7" s="15" t="n"/>
      <c r="P7" s="23" t="n">
        <v>18843293</v>
      </c>
      <c r="Q7" s="24" t="n">
        <v>21418279</v>
      </c>
      <c r="R7" s="119" t="n">
        <v>0.0313291337923529</v>
      </c>
      <c r="S7" s="119" t="n">
        <v>0.05</v>
      </c>
      <c r="T7" s="119" t="n">
        <v>0.018</v>
      </c>
      <c r="U7" s="12" t="n">
        <v>22981703</v>
      </c>
      <c r="V7" s="19" t="inlineStr">
        <is>
          <t>full 12/12 monthly coverage both FY25 and FY26</t>
        </is>
      </c>
      <c r="W7" s="20" t="inlineStr">
        <is>
          <t>Historical non-UIO growth signal was +16% (above peers), ranking 7/10 strongest among the 10 comparable DBs. Banded across the peer range (0.5%-4%) by rank, floored to nearest 0.5% -&gt; 2.5% suggested. Jerome set 2.0% instead (22-07-2026) — used as final.</t>
        </is>
      </c>
    </row>
    <row r="8" ht="41.25" customHeight="1">
      <c r="A8" s="9" t="inlineStr">
        <is>
          <t>UMI</t>
        </is>
      </c>
      <c r="B8" t="inlineStr">
        <is>
          <t>LCV</t>
        </is>
      </c>
      <c r="C8" s="10">
        <f>UMI!E20</f>
        <v/>
      </c>
      <c r="D8" s="10">
        <f>UMI!E19</f>
        <v/>
      </c>
      <c r="E8" s="117">
        <f>UMI!E21</f>
        <v/>
      </c>
      <c r="F8" s="117">
        <f>UMI!E22</f>
        <v/>
      </c>
      <c r="G8" s="10">
        <f>UMI!E23</f>
        <v/>
      </c>
      <c r="H8" s="117">
        <f>UMI!E25</f>
        <v/>
      </c>
      <c r="I8" s="22">
        <f>UMI!E24</f>
        <v/>
      </c>
      <c r="K8" s="15" t="n"/>
      <c r="L8" s="118">
        <f>G8*0.33/2</f>
        <v/>
      </c>
      <c r="M8" s="23" t="n">
        <v>5755871</v>
      </c>
      <c r="N8" s="24" t="n">
        <v>5546944</v>
      </c>
      <c r="O8" s="15" t="n"/>
      <c r="P8" s="26" t="inlineStr">
        <is>
          <t>Insufficient data</t>
        </is>
      </c>
      <c r="Q8" s="15" t="n"/>
      <c r="R8" s="15" t="n"/>
      <c r="S8" s="119" t="n">
        <v>0.05</v>
      </c>
      <c r="T8" s="119" t="n">
        <v>0.018</v>
      </c>
      <c r="V8" s="27" t="inlineStr">
        <is>
          <t>Insufficient data — KPI marks UMI DB→DLR "Internal only", no figures.</t>
        </is>
      </c>
      <c r="W8" s="28" t="inlineStr">
        <is>
          <t>N/A — insufficient data, no target set (see S2D Note).</t>
        </is>
      </c>
    </row>
    <row r="9" ht="14.25" customHeight="1">
      <c r="A9" s="9" t="inlineStr">
        <is>
          <t>NORWAY</t>
        </is>
      </c>
      <c r="B9" t="inlineStr">
        <is>
          <t>LCV</t>
        </is>
      </c>
      <c r="C9" s="10">
        <f>NORWAY!E20</f>
        <v/>
      </c>
      <c r="D9" s="10">
        <f>NORWAY!E19</f>
        <v/>
      </c>
      <c r="E9" s="117">
        <f>NORWAY!E21</f>
        <v/>
      </c>
      <c r="F9" s="117">
        <f>NORWAY!E22</f>
        <v/>
      </c>
      <c r="G9" s="10">
        <f>NORWAY!E23</f>
        <v/>
      </c>
      <c r="H9" s="117">
        <f>NORWAY!E25</f>
        <v/>
      </c>
      <c r="I9" s="22">
        <f>NORWAY!E24</f>
        <v/>
      </c>
      <c r="K9" s="15" t="n"/>
      <c r="L9" s="118">
        <f>G9*0.33/2</f>
        <v/>
      </c>
      <c r="M9" s="23" t="n">
        <v>1156859</v>
      </c>
      <c r="N9" s="24" t="n">
        <v>1454525</v>
      </c>
      <c r="O9" s="15" t="n"/>
      <c r="P9" s="23" t="n">
        <v>3367988</v>
      </c>
      <c r="Q9" s="24" t="n">
        <v>5248795</v>
      </c>
      <c r="R9" s="119" t="n">
        <v>0.022953714213646</v>
      </c>
      <c r="S9" s="119" t="n">
        <v>0.05</v>
      </c>
      <c r="T9" s="119" t="n">
        <v>0.018</v>
      </c>
      <c r="U9" s="12" t="n">
        <v>5640960</v>
      </c>
      <c r="V9" s="19" t="inlineStr">
        <is>
          <t>FY26 annualized from 11/12 months</t>
        </is>
      </c>
      <c r="W9" s="20" t="inlineStr">
        <is>
          <t>Historical non-UIO growth signal was +62% (above peers), ranking 10/10 strongest among the 10 comparable DBs. Banded across the peer range (0.5%-4%) by rank, floored to nearest 0.5% -&gt; 4.0% suggested. Jerome set 3.0% instead (22-07-2026) — used as final.</t>
        </is>
      </c>
    </row>
    <row r="10" ht="27.75" customHeight="1">
      <c r="A10" s="9" t="inlineStr">
        <is>
          <t>SWEDEN</t>
        </is>
      </c>
      <c r="B10" t="inlineStr">
        <is>
          <t>LCV</t>
        </is>
      </c>
      <c r="C10" s="10">
        <f>SWEDEN!E20</f>
        <v/>
      </c>
      <c r="D10" s="10">
        <f>SWEDEN!E19</f>
        <v/>
      </c>
      <c r="E10" s="117">
        <f>SWEDEN!E21</f>
        <v/>
      </c>
      <c r="F10" s="117">
        <f>SWEDEN!E22</f>
        <v/>
      </c>
      <c r="G10" s="10">
        <f>SWEDEN!E23</f>
        <v/>
      </c>
      <c r="H10" s="117">
        <f>SWEDEN!E25</f>
        <v/>
      </c>
      <c r="I10" s="22">
        <f>SWEDEN!E24</f>
        <v/>
      </c>
      <c r="K10" s="15" t="n"/>
      <c r="L10" s="118">
        <f>G10*0.33/2</f>
        <v/>
      </c>
      <c r="M10" s="23" t="n">
        <v>1233980</v>
      </c>
      <c r="N10" s="24" t="n">
        <v>1282687</v>
      </c>
      <c r="O10" s="15" t="n"/>
      <c r="P10" s="23" t="n">
        <v>2482560</v>
      </c>
      <c r="Q10" s="24" t="n">
        <v>3154222</v>
      </c>
      <c r="R10" s="119" t="n">
        <v>0.0766315290773423</v>
      </c>
      <c r="S10" s="119" t="n">
        <v>0.05</v>
      </c>
      <c r="T10" s="119" t="n">
        <v>0.018</v>
      </c>
      <c r="U10" s="12" t="n">
        <v>3533131</v>
      </c>
      <c r="V10" s="19" t="inlineStr">
        <is>
          <t>full 12/12 monthly coverage both FY25 and FY26</t>
        </is>
      </c>
      <c r="W10" s="20" t="inlineStr">
        <is>
          <t>Historical non-UIO growth signal was +9% (above peers), ranking 6/10 strongest among the 10 comparable DBs. Banded across the peer range (0.5%-4%) by rank, floored to nearest 0.5% -&gt; 2.0% suggested.</t>
        </is>
      </c>
    </row>
    <row r="11" ht="27.75" customHeight="1">
      <c r="A11" s="9" t="inlineStr">
        <is>
          <t>HUNGARY</t>
        </is>
      </c>
      <c r="B11" t="inlineStr">
        <is>
          <t>LCV</t>
        </is>
      </c>
      <c r="C11" s="10">
        <f>HUNGARY!E20</f>
        <v/>
      </c>
      <c r="D11" s="10">
        <f>HUNGARY!E19</f>
        <v/>
      </c>
      <c r="E11" s="117">
        <f>HUNGARY!E21</f>
        <v/>
      </c>
      <c r="F11" s="117">
        <f>HUNGARY!E22</f>
        <v/>
      </c>
      <c r="G11" s="10">
        <f>HUNGARY!E23</f>
        <v/>
      </c>
      <c r="H11" s="117">
        <f>HUNGARY!E25</f>
        <v/>
      </c>
      <c r="I11" s="22">
        <f>HUNGARY!E24</f>
        <v/>
      </c>
      <c r="K11" s="15" t="n"/>
      <c r="L11" s="118">
        <f>G11*0.33/2</f>
        <v/>
      </c>
      <c r="M11" s="23" t="n">
        <v>365622</v>
      </c>
      <c r="N11" s="24" t="n">
        <v>347456</v>
      </c>
      <c r="O11" s="15" t="n"/>
      <c r="P11" s="26" t="inlineStr">
        <is>
          <t>Insufficient data</t>
        </is>
      </c>
      <c r="Q11" s="15" t="n"/>
      <c r="R11" s="15" t="n"/>
      <c r="S11" s="119" t="n">
        <v>0.05</v>
      </c>
      <c r="T11" s="119" t="n">
        <v>0.018</v>
      </c>
      <c r="V11" s="27" t="inlineStr">
        <is>
          <t>Insufficient data — no Hungary/AutoWallis row in the KPI DB→DLR block.</t>
        </is>
      </c>
      <c r="W11" s="28" t="inlineStr">
        <is>
          <t>N/A — insufficient data, no target set (see S2D Note).</t>
        </is>
      </c>
    </row>
    <row r="12" ht="41.25" customHeight="1">
      <c r="A12" s="9" t="inlineStr">
        <is>
          <t>FINLAND</t>
        </is>
      </c>
      <c r="B12" t="inlineStr">
        <is>
          <t>LCV</t>
        </is>
      </c>
      <c r="C12" s="10">
        <f>FINLAND!E20</f>
        <v/>
      </c>
      <c r="D12" s="10">
        <f>FINLAND!E19</f>
        <v/>
      </c>
      <c r="E12" s="117">
        <f>FINLAND!E21</f>
        <v/>
      </c>
      <c r="F12" s="117">
        <f>FINLAND!E22</f>
        <v/>
      </c>
      <c r="G12" s="10">
        <f>FINLAND!E23</f>
        <v/>
      </c>
      <c r="H12" s="117">
        <f>FINLAND!E25</f>
        <v/>
      </c>
      <c r="I12" s="22">
        <f>FINLAND!E24</f>
        <v/>
      </c>
      <c r="J12" t="inlineStr">
        <is>
          <t>Above ceiling at BP — no stretch</t>
        </is>
      </c>
      <c r="K12" s="15" t="n"/>
      <c r="L12" s="118">
        <f>G12*0.33/2</f>
        <v/>
      </c>
      <c r="M12" s="23" t="n">
        <v>267986</v>
      </c>
      <c r="N12" s="24" t="n">
        <v>280753</v>
      </c>
      <c r="O12" s="15" t="n"/>
      <c r="P12" s="26" t="inlineStr">
        <is>
          <t>Insufficient data</t>
        </is>
      </c>
      <c r="Q12" s="15" t="n"/>
      <c r="R12" s="15" t="n"/>
      <c r="S12" s="119" t="n">
        <v>0.05</v>
      </c>
      <c r="T12" s="119" t="n">
        <v>0.018</v>
      </c>
      <c r="V12" s="27" t="inlineStr">
        <is>
          <t>Insufficient data — KPI DB→DLR (IMF/Nordic Auto.) stopped reporting Oct'25, 9 months stale.</t>
        </is>
      </c>
      <c r="W12" s="28" t="inlineStr">
        <is>
          <t>N/A — insufficient data, no target set (see S2D Note).</t>
        </is>
      </c>
    </row>
    <row r="13" ht="27.75" customHeight="1">
      <c r="A13" s="9" t="inlineStr">
        <is>
          <t>ROMANIA</t>
        </is>
      </c>
      <c r="B13" t="inlineStr">
        <is>
          <t>LCV</t>
        </is>
      </c>
      <c r="C13" s="10">
        <f>ROMANIA!E20</f>
        <v/>
      </c>
      <c r="D13" s="10">
        <f>ROMANIA!E19</f>
        <v/>
      </c>
      <c r="E13" s="117">
        <f>ROMANIA!E21</f>
        <v/>
      </c>
      <c r="F13" s="117">
        <f>ROMANIA!E22</f>
        <v/>
      </c>
      <c r="G13" s="10">
        <f>ROMANIA!E23</f>
        <v/>
      </c>
      <c r="H13" s="117">
        <f>ROMANIA!E25</f>
        <v/>
      </c>
      <c r="I13" s="22">
        <f>ROMANIA!E24</f>
        <v/>
      </c>
      <c r="K13" s="15" t="n"/>
      <c r="L13" s="118">
        <f>G13*0.33/2</f>
        <v/>
      </c>
      <c r="M13" s="23" t="n">
        <v>155162</v>
      </c>
      <c r="N13" s="24" t="n">
        <v>180500</v>
      </c>
      <c r="O13" s="15" t="n"/>
      <c r="P13" s="23" t="n">
        <v>382258</v>
      </c>
      <c r="Q13" s="24" t="n">
        <v>394597</v>
      </c>
      <c r="R13" s="119" t="n">
        <v>0.128851540616247</v>
      </c>
      <c r="S13" s="119" t="n">
        <v>0.05</v>
      </c>
      <c r="T13" s="119" t="n">
        <v>0.018</v>
      </c>
      <c r="U13" s="12" t="n">
        <v>458894</v>
      </c>
      <c r="V13" s="19" t="inlineStr">
        <is>
          <t>full 12/12 monthly coverage both FY25 and FY26</t>
        </is>
      </c>
      <c r="W13" s="20" t="inlineStr">
        <is>
          <t>Historical non-UIO growth signal was -5% (below peers), ranking 2/10 strongest among the 10 comparable DBs. Banded across the peer range (0.5%-4%) by rank, floored to nearest 0.5% -&gt; 0.5% suggested. Jerome set 1.0% instead (22-07-2026) — used as final.</t>
        </is>
      </c>
    </row>
    <row r="14" ht="27.75" customHeight="1">
      <c r="A14" s="9" t="inlineStr">
        <is>
          <t>DENMARK</t>
        </is>
      </c>
      <c r="B14" t="inlineStr">
        <is>
          <t>LCV</t>
        </is>
      </c>
      <c r="C14" s="10">
        <f>DENMARK!E20</f>
        <v/>
      </c>
      <c r="D14" s="10">
        <f>DENMARK!E19</f>
        <v/>
      </c>
      <c r="E14" s="117">
        <f>DENMARK!E21</f>
        <v/>
      </c>
      <c r="F14" s="117">
        <f>DENMARK!E22</f>
        <v/>
      </c>
      <c r="G14" s="10">
        <f>DENMARK!E23</f>
        <v/>
      </c>
      <c r="H14" s="117">
        <f>DENMARK!E25</f>
        <v/>
      </c>
      <c r="I14" s="22">
        <f>DENMARK!E24</f>
        <v/>
      </c>
      <c r="K14" s="15" t="n"/>
      <c r="L14" s="118">
        <f>G14*0.33/2</f>
        <v/>
      </c>
      <c r="M14" s="23" t="n">
        <v>125038</v>
      </c>
      <c r="N14" s="24" t="n">
        <v>155945</v>
      </c>
      <c r="O14" s="15" t="n"/>
      <c r="P14" s="23" t="n">
        <v>356680</v>
      </c>
      <c r="Q14" s="24" t="n">
        <v>572864</v>
      </c>
      <c r="R14" s="119" t="n">
        <v>0.110588235294118</v>
      </c>
      <c r="S14" s="119" t="n">
        <v>0.05</v>
      </c>
      <c r="T14" s="119" t="n">
        <v>0.018</v>
      </c>
      <c r="U14" s="12" t="n">
        <v>671653</v>
      </c>
      <c r="V14" s="19" t="inlineStr">
        <is>
          <t>full 12/12 monthly coverage both FY25 and FY26</t>
        </is>
      </c>
      <c r="W14" s="20" t="inlineStr">
        <is>
          <t>Historical non-UIO growth signal was +57% (above peers), ranking 9/10 strongest among the 10 comparable DBs. Banded across the peer range (0.5%-4%) by rank, floored to nearest 0.5% -&gt; 3.5% suggested.</t>
        </is>
      </c>
    </row>
    <row r="15" ht="27.75" customHeight="1">
      <c r="A15" s="9" t="inlineStr">
        <is>
          <t>ICELAND</t>
        </is>
      </c>
      <c r="B15" t="inlineStr">
        <is>
          <t>LCV</t>
        </is>
      </c>
      <c r="C15" s="10">
        <f>ICELAND!E20</f>
        <v/>
      </c>
      <c r="D15" s="10">
        <f>ICELAND!E19</f>
        <v/>
      </c>
      <c r="E15" s="117">
        <f>ICELAND!E21</f>
        <v/>
      </c>
      <c r="F15" s="117">
        <f>ICELAND!E22</f>
        <v/>
      </c>
      <c r="G15" s="10">
        <f>ICELAND!E23</f>
        <v/>
      </c>
      <c r="H15" s="117">
        <f>ICELAND!E25</f>
        <v/>
      </c>
      <c r="I15" s="22">
        <f>ICELAND!E24</f>
        <v/>
      </c>
      <c r="K15" s="15" t="n"/>
      <c r="L15" s="118">
        <f>G15*0.33/2</f>
        <v/>
      </c>
      <c r="M15" s="23" t="n">
        <v>76214</v>
      </c>
      <c r="N15" s="24" t="n">
        <v>89209</v>
      </c>
      <c r="O15" s="15" t="n"/>
      <c r="P15" s="23" t="n">
        <v>209944</v>
      </c>
      <c r="Q15" s="24" t="n">
        <v>195849</v>
      </c>
      <c r="R15" s="119" t="n">
        <v>0.0812807881773399</v>
      </c>
      <c r="S15" s="119" t="n">
        <v>0.05</v>
      </c>
      <c r="T15" s="119" t="n">
        <v>0.018</v>
      </c>
      <c r="U15" s="12" t="n">
        <v>217083</v>
      </c>
      <c r="V15" s="19" t="inlineStr">
        <is>
          <t>full 12/12 monthly coverage both FY25 and FY26</t>
        </is>
      </c>
      <c r="W15" s="20" t="inlineStr">
        <is>
          <t>Historical non-UIO growth signal was -21% (below peers), ranking 1/10 strongest among the 10 comparable DBs. Banded across the peer range (0.5%-4%) by rank, floored to nearest 0.5% -&gt; 0.5% suggested.</t>
        </is>
      </c>
    </row>
    <row r="16" ht="27.75" customHeight="1">
      <c r="A16" s="9" t="inlineStr">
        <is>
          <t>GERMANY</t>
        </is>
      </c>
      <c r="B16" t="inlineStr">
        <is>
          <t>mixed</t>
        </is>
      </c>
      <c r="C16" s="10">
        <f>GERMANY!E26</f>
        <v/>
      </c>
      <c r="D16" s="10">
        <f>GERMANY!E25</f>
        <v/>
      </c>
      <c r="E16" s="117">
        <f>GERMANY!E27</f>
        <v/>
      </c>
      <c r="F16" s="117">
        <f>GERMANY!E28</f>
        <v/>
      </c>
      <c r="G16" s="10">
        <f>GERMANY!E29</f>
        <v/>
      </c>
      <c r="H16" s="117">
        <f>GERMANY!E31</f>
        <v/>
      </c>
      <c r="I16" s="22">
        <f>GERMANY!E30</f>
        <v/>
      </c>
      <c r="K16" s="15" t="n"/>
      <c r="L16" s="118">
        <f>G16*0.33/2</f>
        <v/>
      </c>
      <c r="M16" s="23" t="n">
        <v>2614731</v>
      </c>
      <c r="N16" s="24" t="n">
        <v>2661850</v>
      </c>
      <c r="O16" s="15" t="n"/>
      <c r="P16" s="26" t="inlineStr">
        <is>
          <t>Insufficient data</t>
        </is>
      </c>
      <c r="Q16" s="15" t="n"/>
      <c r="R16" s="15" t="n"/>
      <c r="S16" s="119" t="n">
        <v>0.05</v>
      </c>
      <c r="T16" s="119" t="n">
        <v>0.018</v>
      </c>
      <c r="V16" s="27" t="inlineStr">
        <is>
          <t>Insufficient data — KPI DB→DLR (ISD) stopped reporting Mar'25, 15+ months stale.</t>
        </is>
      </c>
      <c r="W16" s="28" t="inlineStr">
        <is>
          <t>N/A — insufficient data, no target set (see S2D Note).</t>
        </is>
      </c>
    </row>
    <row r="17" ht="14.25" customHeight="1">
      <c r="A17" s="9" t="inlineStr">
        <is>
          <t>BELGIUM</t>
        </is>
      </c>
      <c r="B17" t="inlineStr">
        <is>
          <t>mixed</t>
        </is>
      </c>
      <c r="C17" s="10">
        <f>BELGIUM!E26</f>
        <v/>
      </c>
      <c r="D17" s="10">
        <f>BELGIUM!E25</f>
        <v/>
      </c>
      <c r="E17" s="117">
        <f>BELGIUM!E27</f>
        <v/>
      </c>
      <c r="F17" s="117">
        <f>BELGIUM!E28</f>
        <v/>
      </c>
      <c r="G17" s="10">
        <f>BELGIUM!E29</f>
        <v/>
      </c>
      <c r="H17" s="117">
        <f>BELGIUM!E31</f>
        <v/>
      </c>
      <c r="I17" s="22">
        <f>BELGIUM!E30</f>
        <v/>
      </c>
      <c r="J17" t="inlineStr">
        <is>
          <t>Belgian vehicles only (IBX also serves NL/PL/LU)</t>
        </is>
      </c>
      <c r="K17" s="15" t="n"/>
      <c r="L17" s="118">
        <f>G17*0.33/2</f>
        <v/>
      </c>
      <c r="M17" s="23" t="n">
        <v>2286742</v>
      </c>
      <c r="N17" s="24" t="n">
        <v>2152712</v>
      </c>
      <c r="O17" s="15" t="n"/>
      <c r="P17" s="23" t="n">
        <v>4867562</v>
      </c>
      <c r="Q17" s="24" t="n">
        <v>6834272</v>
      </c>
      <c r="R17" s="119" t="n">
        <v>0.0614741244119184</v>
      </c>
      <c r="S17" s="119" t="n">
        <v>0.05</v>
      </c>
      <c r="T17" s="119" t="n">
        <v>0.018</v>
      </c>
      <c r="U17" s="12" t="n">
        <v>7621476</v>
      </c>
      <c r="V17" s="19" t="inlineStr">
        <is>
          <t>FY25 annualized from 10/12 months</t>
        </is>
      </c>
      <c r="W17" s="20" t="inlineStr">
        <is>
          <t>Historical non-UIO growth signal was +36% (above peers), ranking 8/10 strongest among the 10 comparable DBs. Banded across the peer range (0.5%-4%) by rank, floored to nearest 0.5% -&gt; 3.0% suggested.</t>
        </is>
      </c>
    </row>
    <row r="18" ht="14.25" customHeight="1">
      <c r="A18" s="9" t="inlineStr">
        <is>
          <t>PORTUGAL</t>
        </is>
      </c>
      <c r="B18" t="inlineStr">
        <is>
          <t>mixed</t>
        </is>
      </c>
      <c r="C18" s="10">
        <f>PORTUGAL!E26</f>
        <v/>
      </c>
      <c r="D18" s="10">
        <f>PORTUGAL!E25</f>
        <v/>
      </c>
      <c r="E18" s="117">
        <f>PORTUGAL!E27</f>
        <v/>
      </c>
      <c r="F18" s="117">
        <f>PORTUGAL!E28</f>
        <v/>
      </c>
      <c r="G18" s="10">
        <f>PORTUGAL!E29</f>
        <v/>
      </c>
      <c r="H18" s="117">
        <f>PORTUGAL!E31</f>
        <v/>
      </c>
      <c r="I18" s="22">
        <f>PORTUGAL!E30</f>
        <v/>
      </c>
      <c r="K18" s="15" t="n"/>
      <c r="L18" s="118">
        <f>G18*0.33/2</f>
        <v/>
      </c>
      <c r="M18" s="23" t="n">
        <v>1551256</v>
      </c>
      <c r="N18" s="24" t="n">
        <v>1795020</v>
      </c>
      <c r="O18" s="15" t="n"/>
      <c r="P18" s="23" t="n">
        <v>3821463</v>
      </c>
      <c r="Q18" s="24" t="n">
        <v>4047903</v>
      </c>
      <c r="R18" s="119" t="n">
        <v>0.171476137624861</v>
      </c>
      <c r="S18" s="119" t="n">
        <v>0.05</v>
      </c>
      <c r="T18" s="119" t="n">
        <v>0.018</v>
      </c>
      <c r="U18" s="12" t="n">
        <v>4933599</v>
      </c>
      <c r="V18" s="19" t="inlineStr">
        <is>
          <t>FY25 annualized from 7/12 months</t>
        </is>
      </c>
      <c r="W18" s="20" t="inlineStr">
        <is>
          <t>Historical non-UIO growth signal was +1% (above peers), ranking 5/10 strongest among the 10 comparable DBs. Banded across the peer range (0.5%-4%) by rank, floored to nearest 0.5% -&gt; 2.0% suggested.</t>
        </is>
      </c>
    </row>
    <row r="19" ht="27.75" customHeight="1">
      <c r="A19" s="9" t="inlineStr">
        <is>
          <t>IRELAND</t>
        </is>
      </c>
      <c r="B19" t="inlineStr">
        <is>
          <t>mixed</t>
        </is>
      </c>
      <c r="C19" s="10">
        <f>IRELAND!E26</f>
        <v/>
      </c>
      <c r="D19" s="10">
        <f>IRELAND!E25</f>
        <v/>
      </c>
      <c r="E19" s="117">
        <f>IRELAND!E27</f>
        <v/>
      </c>
      <c r="F19" s="117">
        <f>IRELAND!E28</f>
        <v/>
      </c>
      <c r="G19" s="10">
        <f>IRELAND!E29</f>
        <v/>
      </c>
      <c r="H19" s="117">
        <f>IRELAND!E31</f>
        <v/>
      </c>
      <c r="I19" s="22">
        <f>IRELAND!E30</f>
        <v/>
      </c>
      <c r="J19" t="inlineStr">
        <is>
          <t>Stretch capped at 100% share</t>
        </is>
      </c>
      <c r="K19" s="15" t="n"/>
      <c r="L19" s="118">
        <f>G19*0.33/2</f>
        <v/>
      </c>
      <c r="M19" s="23" t="n">
        <v>1201537</v>
      </c>
      <c r="N19" s="24" t="n">
        <v>1118453</v>
      </c>
      <c r="O19" s="15" t="n"/>
      <c r="P19" s="23" t="n">
        <v>2687539</v>
      </c>
      <c r="Q19" s="24" t="n">
        <v>2833637</v>
      </c>
      <c r="R19" s="119" t="n">
        <v>0.285515964831097</v>
      </c>
      <c r="S19" s="119" t="n">
        <v>0.05</v>
      </c>
      <c r="T19" s="119" t="n">
        <v>0.018</v>
      </c>
      <c r="U19" s="12" t="n">
        <v>3752695</v>
      </c>
      <c r="V19" s="19" t="inlineStr">
        <is>
          <t>full 12/12 monthly coverage both FY25 and FY26</t>
        </is>
      </c>
      <c r="W19" s="20" t="inlineStr">
        <is>
          <t>Historical non-UIO growth signal was -5% (below peers), ranking 3/10 strongest among the 10 comparable DBs. Banded across the peer range (0.5%-4%) by rank, floored to nearest 0.5% -&gt; 1.0% suggested.</t>
        </is>
      </c>
    </row>
    <row r="20" ht="41.25" customHeight="1">
      <c r="A20" s="9" t="inlineStr">
        <is>
          <t>GREECE</t>
        </is>
      </c>
      <c r="B20" t="inlineStr">
        <is>
          <t>mixed</t>
        </is>
      </c>
      <c r="C20" s="10">
        <f>GREECE!E26</f>
        <v/>
      </c>
      <c r="D20" s="10">
        <f>GREECE!E25</f>
        <v/>
      </c>
      <c r="E20" s="117">
        <f>GREECE!E27</f>
        <v/>
      </c>
      <c r="F20" s="117">
        <f>GREECE!E28</f>
        <v/>
      </c>
      <c r="G20" s="10">
        <f>GREECE!E29</f>
        <v/>
      </c>
      <c r="H20" s="117">
        <f>GREECE!E31</f>
        <v/>
      </c>
      <c r="I20" s="22">
        <f>GREECE!E30</f>
        <v/>
      </c>
      <c r="K20" s="15" t="n"/>
      <c r="L20" s="118">
        <f>G20*0.33/2</f>
        <v/>
      </c>
      <c r="M20" s="23" t="n">
        <v>467826</v>
      </c>
      <c r="N20" s="24" t="n">
        <v>471586</v>
      </c>
      <c r="O20" s="15" t="n"/>
      <c r="P20" s="26" t="inlineStr">
        <is>
          <t>Insufficient data</t>
        </is>
      </c>
      <c r="Q20" s="15" t="n"/>
      <c r="R20" s="15" t="n"/>
      <c r="S20" s="119" t="n">
        <v>0.05</v>
      </c>
      <c r="T20" s="119" t="n">
        <v>0.018</v>
      </c>
      <c r="V20" s="27" t="inlineStr">
        <is>
          <t>Insufficient data — Petros Petropoulos stale since Jun'25 (12+ months).</t>
        </is>
      </c>
      <c r="W20" s="28" t="inlineStr">
        <is>
          <t>N/A — insufficient data, no target set (see S2D Note).</t>
        </is>
      </c>
    </row>
    <row r="21" ht="81.75" customHeight="1">
      <c r="A21" s="9" t="inlineStr">
        <is>
          <t>CYPRUS</t>
        </is>
      </c>
      <c r="B21" t="inlineStr">
        <is>
          <t>mixed</t>
        </is>
      </c>
      <c r="C21" s="10">
        <f>CYPRUS!E26</f>
        <v/>
      </c>
      <c r="D21" s="10">
        <f>CYPRUS!E25</f>
        <v/>
      </c>
      <c r="E21" s="117">
        <f>CYPRUS!E27</f>
        <v/>
      </c>
      <c r="F21" s="117">
        <f>CYPRUS!E28</f>
        <v/>
      </c>
      <c r="G21" s="10">
        <f>CYPRUS!E29</f>
        <v/>
      </c>
      <c r="H21" s="117">
        <f>CYPRUS!E31</f>
        <v/>
      </c>
      <c r="I21" s="22">
        <f>CYPRUS!E30</f>
        <v/>
      </c>
      <c r="K21" s="15" t="n"/>
      <c r="L21" s="118">
        <f>G21*0.33/2</f>
        <v/>
      </c>
      <c r="M21" s="21" t="n"/>
      <c r="N21" s="15" t="n"/>
      <c r="O21" s="15" t="n"/>
      <c r="P21" s="26" t="inlineStr">
        <is>
          <t>Insufficient data</t>
        </is>
      </c>
      <c r="Q21" s="15" t="n"/>
      <c r="R21" s="15" t="n"/>
      <c r="S21" s="119" t="n">
        <v>0.05</v>
      </c>
      <c r="T21" s="119" t="n">
        <v>0.018</v>
      </c>
      <c r="V21" s="27" t="inlineStr">
        <is>
          <t>Insufficient data — Cyprus's real distributor (Loutsios &amp; Sons) has zero KPI data. KPI's 'MIDI' row is Italy's, not Cyprus's — excluded.</t>
        </is>
      </c>
      <c r="W21" s="28" t="inlineStr">
        <is>
          <t>N/A — insufficient data, no target set (see S2D Note).</t>
        </is>
      </c>
    </row>
    <row r="22" ht="27.75" customHeight="1">
      <c r="A22" s="9" t="inlineStr">
        <is>
          <t>MALTA</t>
        </is>
      </c>
      <c r="B22" t="inlineStr">
        <is>
          <t>mixed</t>
        </is>
      </c>
      <c r="C22" s="10">
        <f>MALTA!E26</f>
        <v/>
      </c>
      <c r="D22" s="10">
        <f>MALTA!E25</f>
        <v/>
      </c>
      <c r="E22" s="117">
        <f>MALTA!E27</f>
        <v/>
      </c>
      <c r="F22" s="117">
        <f>MALTA!E28</f>
        <v/>
      </c>
      <c r="G22" s="10">
        <f>MALTA!E29</f>
        <v/>
      </c>
      <c r="H22" s="117">
        <f>MALTA!E31</f>
        <v/>
      </c>
      <c r="I22" s="22">
        <f>MALTA!E30</f>
        <v/>
      </c>
      <c r="K22" s="15" t="n"/>
      <c r="L22" s="118">
        <f>G22*0.33/2</f>
        <v/>
      </c>
      <c r="M22" s="23" t="n">
        <v>209033</v>
      </c>
      <c r="N22" s="24" t="n">
        <v>196245</v>
      </c>
      <c r="O22" s="15" t="n"/>
      <c r="P22" s="23" t="n">
        <v>555482</v>
      </c>
      <c r="Q22" s="24" t="n">
        <v>553873</v>
      </c>
      <c r="R22" s="119" t="n">
        <v>0.0653846153846154</v>
      </c>
      <c r="S22" s="119" t="n">
        <v>0.05</v>
      </c>
      <c r="T22" s="119" t="n">
        <v>0.018</v>
      </c>
      <c r="U22" s="12" t="n">
        <v>610918</v>
      </c>
      <c r="V22" s="19" t="inlineStr">
        <is>
          <t>full 12/12 monthly coverage both FY25 and FY26</t>
        </is>
      </c>
      <c r="W22" s="20" t="inlineStr">
        <is>
          <t>Historical non-UIO growth signal was +1% (above peers), ranking 4/10 strongest among the 10 comparable DBs. Banded across the peer range (0.5%-4%) by rank, floored to nearest 0.5% -&gt; 1.5% suggested.</t>
        </is>
      </c>
    </row>
    <row r="23" ht="14.25" customHeight="1">
      <c r="A23" s="9" t="inlineStr">
        <is>
          <t>TOTAL</t>
        </is>
      </c>
      <c r="C23" s="13">
        <f>SUM(C5:C22)</f>
        <v/>
      </c>
      <c r="D23" s="13">
        <f>SUM(D5:D22)</f>
        <v/>
      </c>
      <c r="E23" s="120">
        <f>C23/D23</f>
        <v/>
      </c>
      <c r="G23" s="13">
        <f>SUM(G5:G22)</f>
        <v/>
      </c>
      <c r="I23" s="13">
        <f>SUM(I5:I22)</f>
        <v/>
      </c>
      <c r="K23" s="15" t="n"/>
      <c r="L23" s="15" t="n"/>
      <c r="M23" s="23">
        <f>SUM(M5:M22)</f>
        <v/>
      </c>
      <c r="N23" s="24">
        <f>SUM(N5:N22)</f>
        <v/>
      </c>
      <c r="O23" s="15" t="n"/>
      <c r="P23" s="23">
        <f>SUM(P5:P22)</f>
        <v/>
      </c>
      <c r="Q23" s="24">
        <f>SUM(Q5:Q22)</f>
        <v/>
      </c>
      <c r="R23" s="15" t="n"/>
      <c r="S23" s="119" t="n">
        <v>0.05</v>
      </c>
      <c r="T23" s="119" t="n">
        <v>0.018</v>
      </c>
      <c r="U23" s="10">
        <f>SUM(U5:U22)</f>
        <v/>
      </c>
    </row>
    <row r="25" ht="14.25" customHeight="1">
      <c r="A25" t="inlineStr">
        <is>
          <t>Remaining stretch BEFORE GPS</t>
        </is>
      </c>
      <c r="C25" s="10" t="n">
        <v>952037.4225</v>
      </c>
    </row>
    <row r="26" ht="14.25" customHeight="1">
      <c r="A26" t="inlineStr">
        <is>
          <t>GPS contribution (18 DBs)</t>
        </is>
      </c>
      <c r="C26" s="30">
        <f>G23</f>
        <v/>
      </c>
    </row>
    <row r="27" ht="14.25" customHeight="1">
      <c r="A27" s="9" t="inlineStr">
        <is>
          <t>Remaining stretch AFTER GPS</t>
        </is>
      </c>
      <c r="C27" s="13">
        <f>C25-C26</f>
        <v/>
      </c>
      <c r="E27" s="2" t="inlineStr">
        <is>
          <t>negative = over-covered = buffer</t>
        </is>
      </c>
    </row>
    <row r="29" ht="14.25" customHeight="1">
      <c r="A29" s="31" t="inlineStr">
        <is>
          <t>WATCH</t>
        </is>
      </c>
    </row>
    <row r="30" ht="270" customHeight="1">
      <c r="A30" s="14" t="inlineStr">
        <is>
          <t>• DEALER-LEVEL BLOCK DROPPED (Jerome, 17-07-2026). The KPI 'Parts Sales DB to DLR' figure is 2.2x-3.7x ISZE billing (IUK 3.58x, Denmark 3.67x, Romania 2.19x). A 35% DB margin implies 1.54x. To reconcile you would need DB margins of 54-73%. It is not the same goods marked up, so the /0.65 gross-up was invalid — and it is the same reason the DB-to-DLR GPS exceeded 100%.</t>
        </is>
      </c>
    </row>
    <row r="31" ht="180" customHeight="1">
      <c r="A31" s="14" t="inlineStr">
        <is>
          <t>• BASIS SPLIT: ITUK and UTI carry their AS-PRESENTED V4 figures. V4 (2026-07-06) maps FY27 to UIO CY2027F — the off-by-one MH corrected on 17-07 — and has no +5%. Every other row is on MH's corrected basis. OPEN: rebase, or ratify V4?</t>
        </is>
      </c>
    </row>
    <row r="32" ht="101.25" customHeight="1">
      <c r="A32" s="14" t="inlineStr">
        <is>
          <t>• V4 IUK max spend = 50,202 (CY2027F) x EUR250 = 12,550,500. This file (v3.3): 49,280 (CY2026F) x 262.50 = 12,936,000.</t>
        </is>
      </c>
    </row>
    <row r="33" ht="213.75" customHeight="1">
      <c r="A33" s="14" t="inlineStr">
        <is>
          <t>• CEILING (v3.3): stretch is capped per distributor at the share ceiling (input Q1). FINLAND is above 100% at BP (104.9%) — no stretch, share held flat. It is the BP, not the model.</t>
        </is>
      </c>
    </row>
    <row r="34" ht="168.75" customHeight="1">
      <c r="A34" s="14" t="inlineStr">
        <is>
          <t>• GREECE billing = payer 66, labelled 'RSA' in gps_billing_fy_ALLCUSTOMERS.csv. It is Greece, not Norway. The warranty file uses 'RSA' for Norway — joining the two on that name merges Greece's sales into Norway. Live bug at source.</t>
        </is>
      </c>
    </row>
    <row r="35" ht="90" customHeight="1">
      <c r="A35" s="14" t="inlineStr">
        <is>
          <t>• BELGIUM = ISUZU BENELUX NV covering BE/NL/PL/LUX, but only the BELGIUM UIO rows are in its max spend.</t>
        </is>
      </c>
    </row>
  </sheetData>
  <autoFilter ref="A4:W4"/>
  <mergeCells count="3">
    <mergeCell ref="A3:J3"/>
    <mergeCell ref="P3:W3"/>
    <mergeCell ref="M3:N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4:V31"/>
  <sheetViews>
    <sheetView showGridLines="0" topLeftCell="I1" zoomScaleNormal="100" workbookViewId="0">
      <selection activeCell="Q5" sqref="Q4:Q5"/>
    </sheetView>
  </sheetViews>
  <sheetFormatPr baseColWidth="8" defaultColWidth="8.6328125" defaultRowHeight="14.5"/>
  <cols>
    <col width="1.54296875" customWidth="1" min="2" max="2"/>
    <col width="14" customWidth="1" min="3" max="3"/>
    <col width="14.6328125" bestFit="1" customWidth="1" min="4" max="4"/>
    <col width="15.08984375" customWidth="1" min="8" max="8"/>
    <col width="13.453125" customWidth="1" min="9" max="9"/>
    <col width="11" customWidth="1" min="10" max="10"/>
    <col width="9.90625" customWidth="1" min="11" max="12"/>
    <col width="18.6328125" customWidth="1" min="13" max="13"/>
    <col width="13.08984375" customWidth="1" min="14" max="14"/>
    <col width="13.90625" customWidth="1" min="15" max="15"/>
    <col width="22" customWidth="1" min="16" max="16"/>
    <col width="14.90625" customWidth="1" min="17" max="17"/>
    <col width="13" customWidth="1" min="18" max="18"/>
    <col width="14" customWidth="1" min="20" max="20"/>
    <col width="44" customWidth="1" min="21" max="21"/>
    <col width="15" customWidth="1" min="22" max="22"/>
  </cols>
  <sheetData>
    <row r="4" ht="15.75" customHeight="1">
      <c r="P4" s="121">
        <f>SUM(V13:V30)</f>
        <v/>
      </c>
      <c r="Q4" s="121">
        <f>T7-C16-SUM(D5:S16)-P4</f>
        <v/>
      </c>
      <c r="T4" s="33" t="inlineStr">
        <is>
          <t>check:</t>
        </is>
      </c>
    </row>
    <row r="5" ht="15.75" customHeight="1">
      <c r="O5" s="121" t="n">
        <v>210000</v>
      </c>
      <c r="P5" s="122" t="inlineStr">
        <is>
          <t>GPS extended target</t>
        </is>
      </c>
      <c r="Q5" s="35" t="inlineStr">
        <is>
          <t>remaining stretch / SURPLUS if negative</t>
        </is>
      </c>
      <c r="R5" s="121" t="n">
        <v>-260000</v>
      </c>
      <c r="T5" s="123">
        <f>SUM(C3:S16)</f>
        <v/>
      </c>
    </row>
    <row r="6" ht="15.75" customHeight="1">
      <c r="O6" s="122" t="inlineStr">
        <is>
          <t>MOS ISA+RSA</t>
        </is>
      </c>
      <c r="R6" s="37" t="n"/>
      <c r="S6" s="121" t="n">
        <v>-350000</v>
      </c>
    </row>
    <row r="7" ht="31.5" customHeight="1">
      <c r="N7" s="121">
        <f>71575+307333</f>
        <v/>
      </c>
      <c r="R7" s="38" t="inlineStr">
        <is>
          <t>Shell oil decrease</t>
        </is>
      </c>
      <c r="S7" s="37" t="n"/>
      <c r="T7" s="121" t="n">
        <v>35284444.2378</v>
      </c>
    </row>
    <row r="8" ht="157.5" customHeight="1">
      <c r="K8" s="121" t="n">
        <v>93000</v>
      </c>
      <c r="N8" s="122" t="inlineStr">
        <is>
          <t>SPA</t>
        </is>
      </c>
      <c r="S8" s="124" t="inlineStr">
        <is>
          <t>negative impact on volume from price increase</t>
        </is>
      </c>
      <c r="T8" s="40" t="n"/>
    </row>
    <row r="9" ht="15.75" customHeight="1">
      <c r="M9" s="121" t="n">
        <v>55000</v>
      </c>
      <c r="N9" s="122" t="n"/>
      <c r="T9" s="40" t="n"/>
      <c r="U9" s="122" t="inlineStr">
        <is>
          <t>SURPLUS vs FY2027 Plan  (GPS exceeds the gap)</t>
        </is>
      </c>
      <c r="V9" s="121">
        <f>-Q4</f>
        <v/>
      </c>
    </row>
    <row r="10" ht="15.75" customHeight="1">
      <c r="J10" s="121" t="n">
        <v>280000</v>
      </c>
      <c r="K10" s="122" t="inlineStr">
        <is>
          <t>local DPD</t>
        </is>
      </c>
      <c r="L10" s="122" t="n"/>
      <c r="M10" s="122" t="inlineStr">
        <is>
          <t>Overstock campaign</t>
        </is>
      </c>
      <c r="N10" s="41" t="inlineStr">
        <is>
          <t># Original: 1,015k</t>
        </is>
      </c>
      <c r="T10" s="40" t="n"/>
      <c r="U10" s="2" t="inlineStr">
        <is>
          <t>Q4 stays negative — the bridge needs it to close to the Plan. This is the same number, stated positively.</t>
        </is>
      </c>
    </row>
    <row r="11" ht="15.75" customHeight="1">
      <c r="H11" s="121" t="n">
        <v>46000</v>
      </c>
      <c r="I11" s="121" t="n">
        <v>11940</v>
      </c>
      <c r="J11" s="122" t="inlineStr">
        <is>
          <t>local brake</t>
        </is>
      </c>
      <c r="M11" s="42" t="inlineStr">
        <is>
          <t>All DB's 55K€</t>
        </is>
      </c>
      <c r="N11" s="125" t="inlineStr">
        <is>
          <t>-&gt; IUK 71,575</t>
        </is>
      </c>
      <c r="T11" s="40" t="n"/>
    </row>
    <row r="12" ht="15.75" customHeight="1">
      <c r="G12" s="121" t="n">
        <v>75000</v>
      </c>
      <c r="H12" s="122" t="inlineStr">
        <is>
          <t>Genuine Share</t>
        </is>
      </c>
      <c r="I12" s="122" t="inlineStr">
        <is>
          <t>PMS</t>
        </is>
      </c>
      <c r="N12" s="125" t="inlineStr">
        <is>
          <t>-&gt; UTI 307333</t>
        </is>
      </c>
      <c r="T12" s="40" t="n"/>
      <c r="U12" s="122" t="inlineStr">
        <is>
          <t>GPS extended target — per customer</t>
        </is>
      </c>
    </row>
    <row r="13" ht="15.75" customHeight="1">
      <c r="F13" s="121" t="n">
        <v>60000</v>
      </c>
      <c r="G13" s="122" t="inlineStr">
        <is>
          <t>L/B</t>
        </is>
      </c>
      <c r="H13" s="125" t="inlineStr">
        <is>
          <t># Original: 46,000</t>
        </is>
      </c>
      <c r="I13" s="125" t="inlineStr">
        <is>
          <t># Original: 11,940</t>
        </is>
      </c>
      <c r="N13" s="125" t="inlineStr">
        <is>
          <t>-&gt;</t>
        </is>
      </c>
      <c r="T13" s="40" t="n"/>
      <c r="U13" s="125" t="inlineStr">
        <is>
          <t>-&gt; ITUK  (as presented, V4 basis)</t>
        </is>
      </c>
      <c r="V13" s="121" t="n">
        <v>376073.9136</v>
      </c>
    </row>
    <row r="14" ht="15.75" customHeight="1">
      <c r="E14" s="121" t="n">
        <v>96664.1975427</v>
      </c>
      <c r="F14" s="122" t="inlineStr">
        <is>
          <t>Cab</t>
        </is>
      </c>
      <c r="H14" s="125" t="inlineStr">
        <is>
          <t>-&gt; ITUK 376,074</t>
        </is>
      </c>
      <c r="I14" s="125" t="inlineStr">
        <is>
          <t>-&gt; ITUK 8,000</t>
        </is>
      </c>
      <c r="N14" s="125" t="inlineStr">
        <is>
          <t>-&gt;</t>
        </is>
      </c>
      <c r="T14" s="40" t="n"/>
      <c r="U14" s="125" t="inlineStr">
        <is>
          <t>-&gt; UTI  (as presented, V4 basis)</t>
        </is>
      </c>
      <c r="V14" s="121" t="n">
        <v>159024.456</v>
      </c>
    </row>
    <row r="15" ht="15.75" customHeight="1">
      <c r="D15" s="121" t="n">
        <v>691851.847800002</v>
      </c>
      <c r="E15" s="122" t="inlineStr">
        <is>
          <t>UIO up</t>
        </is>
      </c>
      <c r="H15" s="125" t="inlineStr">
        <is>
          <t>-&gt; Ireland</t>
        </is>
      </c>
      <c r="I15" s="125" t="inlineStr">
        <is>
          <t>-&gt; Portugal</t>
        </is>
      </c>
      <c r="T15" s="40" t="n"/>
      <c r="U15" s="125" t="inlineStr">
        <is>
          <t>-&gt; IUK</t>
        </is>
      </c>
      <c r="V15" s="121">
        <f>IUK!E23</f>
        <v/>
      </c>
    </row>
    <row r="16" ht="15.75" customHeight="1">
      <c r="C16" s="121" t="n">
        <v>32944042.77</v>
      </c>
      <c r="D16" s="122" t="inlineStr">
        <is>
          <t>Price up 2%</t>
        </is>
      </c>
      <c r="H16" s="125" t="inlineStr">
        <is>
          <t>-&gt; Portugal</t>
        </is>
      </c>
      <c r="I16" s="125" t="inlineStr">
        <is>
          <t>-&gt; Ireland</t>
        </is>
      </c>
      <c r="T16" s="40" t="n"/>
      <c r="U16" s="125" t="inlineStr">
        <is>
          <t>-&gt; UMI</t>
        </is>
      </c>
      <c r="V16" s="121">
        <f>UMI!E23</f>
        <v/>
      </c>
    </row>
    <row r="17" ht="15.75" customHeight="1">
      <c r="C17" s="44" t="n"/>
      <c r="H17" s="125" t="inlineStr">
        <is>
          <t xml:space="preserve">-&gt; </t>
        </is>
      </c>
      <c r="I17" s="125" t="inlineStr">
        <is>
          <t>-&gt; IUK</t>
        </is>
      </c>
      <c r="T17" s="45" t="n"/>
      <c r="U17" s="125" t="inlineStr">
        <is>
          <t>-&gt; NORWAY</t>
        </is>
      </c>
      <c r="V17" s="121">
        <f>NORWAY!E23</f>
        <v/>
      </c>
    </row>
    <row r="18" ht="15.75" customHeight="1">
      <c r="C18" s="44" t="n"/>
      <c r="H18" s="125" t="inlineStr">
        <is>
          <t xml:space="preserve">-&gt; </t>
        </is>
      </c>
      <c r="I18" s="125" t="inlineStr">
        <is>
          <t xml:space="preserve">-&gt; </t>
        </is>
      </c>
      <c r="T18" s="45" t="n"/>
      <c r="U18" s="125" t="inlineStr">
        <is>
          <t>-&gt; SWEDEN</t>
        </is>
      </c>
      <c r="V18" s="121">
        <f>SWEDEN!E23</f>
        <v/>
      </c>
    </row>
    <row r="19" ht="15.75" customHeight="1">
      <c r="C19" s="44" t="n"/>
      <c r="H19" s="125" t="inlineStr">
        <is>
          <t xml:space="preserve">-&gt; </t>
        </is>
      </c>
      <c r="I19" s="125" t="inlineStr">
        <is>
          <t xml:space="preserve">-&gt; </t>
        </is>
      </c>
      <c r="T19" s="45" t="n"/>
      <c r="U19" s="125" t="inlineStr">
        <is>
          <t>-&gt; HUNGARY</t>
        </is>
      </c>
      <c r="V19" s="121">
        <f>HUNGARY!E23</f>
        <v/>
      </c>
    </row>
    <row r="20" ht="15.75" customHeight="1">
      <c r="C20" s="44" t="n"/>
      <c r="T20" s="45" t="n"/>
      <c r="U20" s="125" t="inlineStr">
        <is>
          <t>-&gt; FINLAND</t>
        </is>
      </c>
      <c r="V20" s="121">
        <f>FINLAND!E23</f>
        <v/>
      </c>
    </row>
    <row r="21" ht="15.75" customHeight="1">
      <c r="C21" s="44" t="n"/>
      <c r="T21" s="45" t="n"/>
      <c r="U21" s="125" t="inlineStr">
        <is>
          <t>-&gt; ROMANIA</t>
        </is>
      </c>
      <c r="V21" s="121">
        <f>ROMANIA!E23</f>
        <v/>
      </c>
    </row>
    <row r="22" ht="15.75" customHeight="1">
      <c r="C22" s="44" t="n"/>
      <c r="T22" s="45" t="n"/>
      <c r="U22" s="125" t="inlineStr">
        <is>
          <t>-&gt; DENMARK</t>
        </is>
      </c>
      <c r="V22" s="121">
        <f>DENMARK!E23</f>
        <v/>
      </c>
    </row>
    <row r="23" ht="15.75" customHeight="1">
      <c r="C23" s="44" t="n"/>
      <c r="T23" s="45" t="n"/>
      <c r="U23" s="125" t="inlineStr">
        <is>
          <t>-&gt; ICELAND</t>
        </is>
      </c>
      <c r="V23" s="121">
        <f>ICELAND!E23</f>
        <v/>
      </c>
    </row>
    <row r="24" ht="15.75" customHeight="1">
      <c r="C24" s="44" t="n"/>
      <c r="T24" s="45" t="n"/>
      <c r="U24" s="125" t="inlineStr">
        <is>
          <t>-&gt; GERMANY</t>
        </is>
      </c>
      <c r="V24" s="121">
        <f>GERMANY!E29</f>
        <v/>
      </c>
    </row>
    <row r="25" ht="15.75" customHeight="1">
      <c r="C25" s="46" t="inlineStr">
        <is>
          <t>FY2026 Actual</t>
        </is>
      </c>
      <c r="T25" s="47" t="inlineStr">
        <is>
          <t>FY2027 Plan</t>
        </is>
      </c>
      <c r="U25" s="125" t="inlineStr">
        <is>
          <t>-&gt; BELGIUM</t>
        </is>
      </c>
      <c r="V25" s="121">
        <f>BELGIUM!E29</f>
        <v/>
      </c>
    </row>
    <row r="26" ht="15.75" customHeight="1">
      <c r="U26" s="125" t="inlineStr">
        <is>
          <t>-&gt; PORTUGAL</t>
        </is>
      </c>
      <c r="V26" s="121">
        <f>PORTUGAL!E29</f>
        <v/>
      </c>
    </row>
    <row r="27" ht="15.75" customHeight="1">
      <c r="U27" s="125" t="inlineStr">
        <is>
          <t>-&gt; IRELAND</t>
        </is>
      </c>
      <c r="V27" s="121">
        <f>IRELAND!E29</f>
        <v/>
      </c>
    </row>
    <row r="28" ht="15.75" customHeight="1">
      <c r="U28" s="125" t="inlineStr">
        <is>
          <t>-&gt; GREECE</t>
        </is>
      </c>
      <c r="V28" s="121">
        <f>GREECE!E29</f>
        <v/>
      </c>
    </row>
    <row r="29" ht="15.75" customHeight="1">
      <c r="U29" s="125" t="inlineStr">
        <is>
          <t>-&gt; CYPRUS</t>
        </is>
      </c>
      <c r="V29" s="121">
        <f>CYPRUS!E29</f>
        <v/>
      </c>
    </row>
    <row r="30" ht="15.75" customHeight="1">
      <c r="U30" s="125" t="inlineStr">
        <is>
          <t>-&gt; MALTA</t>
        </is>
      </c>
      <c r="V30" s="121">
        <f>MALTA!E29</f>
        <v/>
      </c>
    </row>
    <row r="31" ht="15.75" customHeight="1">
      <c r="U31" s="122" t="inlineStr">
        <is>
          <t>GPS total</t>
        </is>
      </c>
      <c r="V31" s="121">
        <f>SUM(V13:V30)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topLeftCell="A3" zoomScaleNormal="100" workbookViewId="0">
      <selection activeCell="E32" sqref="E32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IUK — GPS Extended Target FY2027 · I.M. PARTS &amp; SERVICE Limited   [LCV only]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IUK UIO (LCV)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LCV</t>
        </is>
      </c>
      <c r="C9" s="51" t="n">
        <v>48876</v>
      </c>
      <c r="D9" s="51" t="n">
        <v>47783</v>
      </c>
      <c r="E9" s="51" t="n">
        <v>49280</v>
      </c>
      <c r="F9" s="126" t="n">
        <v>50202</v>
      </c>
      <c r="G9" s="126" t="n">
        <v>51096</v>
      </c>
      <c r="H9" s="126" t="n">
        <v>51963</v>
      </c>
      <c r="I9" s="126" t="n">
        <v>52804</v>
      </c>
    </row>
    <row r="10" ht="14.25" customHeight="1">
      <c r="A10" t="inlineStr">
        <is>
          <t>TTL</t>
        </is>
      </c>
      <c r="C10" s="10">
        <f>C9</f>
        <v/>
      </c>
      <c r="D10" s="10">
        <f>D9</f>
        <v/>
      </c>
      <c r="E10" s="10">
        <f>E9</f>
        <v/>
      </c>
      <c r="F10" s="127">
        <f>F9</f>
        <v/>
      </c>
      <c r="G10" s="127">
        <f>G9</f>
        <v/>
      </c>
      <c r="H10" s="127">
        <f>H9</f>
        <v/>
      </c>
      <c r="I10" s="127">
        <f>I9</f>
        <v/>
      </c>
    </row>
    <row r="11" ht="14.25" customHeight="1">
      <c r="A11" s="2" t="inlineStr">
        <is>
          <t>Source: UIO v19 '1.UIO Overview' row 25, LCV — CY2024 / CY2025E / CY2026F mapped to FY25 / FY26 / FY27 (UIO shifted one column right).</t>
        </is>
      </c>
    </row>
    <row r="13" ht="14.25" customHeight="1">
      <c r="A13" s="31" t="inlineStr">
        <is>
          <t>Parts Sales / Unit (EUR)</t>
        </is>
      </c>
      <c r="B13" t="inlineStr">
        <is>
          <t>FY26 base</t>
        </is>
      </c>
      <c r="C13" s="52" t="n"/>
      <c r="D13" s="52" t="inlineStr">
        <is>
          <t>FY26</t>
        </is>
      </c>
      <c r="E13" s="52" t="inlineStr">
        <is>
          <t>FY27 (+5%)</t>
        </is>
      </c>
      <c r="F13" s="52" t="inlineStr">
        <is>
          <t>FY28 (+price)</t>
        </is>
      </c>
      <c r="G13" s="52" t="inlineStr">
        <is>
          <t>FY29 (+price)</t>
        </is>
      </c>
      <c r="H13" s="52" t="inlineStr">
        <is>
          <t>FY30 (+price)</t>
        </is>
      </c>
      <c r="I13" s="52" t="inlineStr">
        <is>
          <t>FY31 (+price)</t>
        </is>
      </c>
    </row>
    <row r="14" ht="14.25" customHeight="1">
      <c r="A14" t="inlineStr">
        <is>
          <t>ISZE-net EUR/unit (= DB cost)</t>
        </is>
      </c>
      <c r="B14" s="128" t="n">
        <v>250</v>
      </c>
      <c r="C14" s="129" t="n"/>
      <c r="D14" s="129">
        <f>B14</f>
        <v/>
      </c>
      <c r="E14" s="130">
        <f>D14*1.05</f>
        <v/>
      </c>
      <c r="F14" s="131">
        <f>E14*(1+'Dashboard (2)'!$T$1)</f>
        <v/>
      </c>
      <c r="G14" s="131">
        <f>F14*(1+'Dashboard (2)'!$T$1)</f>
        <v/>
      </c>
      <c r="H14" s="131">
        <f>G14*(1+'Dashboard (2)'!$T$1)</f>
        <v/>
      </c>
      <c r="I14" s="131">
        <f>H14*(1+'Dashboard (2)'!$T$1)</f>
        <v/>
      </c>
    </row>
    <row r="15" ht="14.25" customHeight="1">
      <c r="A15" s="2" t="inlineStr">
        <is>
          <t>LCV rate: EUR 250 ISZE-net FY26 base (same rate as the fleet study), +5% FY27 = 262.50, then + price input per year. Replaces MH chain 291.2 x 1.16 x 0.65 = 219.56 (FX and margin applied twice).</t>
        </is>
      </c>
    </row>
    <row r="17" ht="14.25" customHeight="1">
      <c r="A17" s="31" t="inlineStr">
        <is>
          <t>ISZE -&gt; IUK wholesale (ISZE-net EUR)  &lt;&lt;  EXTENDED TARGET IS SET HERE</t>
        </is>
      </c>
    </row>
    <row r="18" ht="26.25" customHeight="1">
      <c r="C18" s="4" t="inlineStr">
        <is>
          <t>FY25 (Apr'24-Mar'25)</t>
        </is>
      </c>
      <c r="D18" s="4" t="inlineStr">
        <is>
          <t>FY26 (Apr'25-Mar'26)</t>
        </is>
      </c>
      <c r="E18" s="4" t="inlineStr">
        <is>
          <t>FY27 (Apr'26-Mar'27)</t>
        </is>
      </c>
      <c r="F18" s="4" t="inlineStr">
        <is>
          <t>FY28</t>
        </is>
      </c>
      <c r="G18" s="4" t="inlineStr">
        <is>
          <t>FY29</t>
        </is>
      </c>
      <c r="H18" s="4" t="inlineStr">
        <is>
          <t>FY30</t>
        </is>
      </c>
      <c r="I18" s="4" t="inlineStr">
        <is>
          <t>FY31</t>
        </is>
      </c>
    </row>
    <row r="19" ht="14.25" customHeight="1">
      <c r="A19" t="inlineStr">
        <is>
          <t>Max spend / potential (= UIO x ISZE-net rate)</t>
        </is>
      </c>
      <c r="C19" s="10">
        <f>C9*$D$14</f>
        <v/>
      </c>
      <c r="D19" s="10">
        <f>D9*$D$14</f>
        <v/>
      </c>
      <c r="E19" s="10">
        <f>E9*$E$14</f>
        <v/>
      </c>
      <c r="F19" s="127">
        <f>F9*F14</f>
        <v/>
      </c>
      <c r="G19" s="127">
        <f>G9*G14</f>
        <v/>
      </c>
      <c r="H19" s="127">
        <f>H9*H14</f>
        <v/>
      </c>
      <c r="I19" s="127">
        <f>I9*I14</f>
        <v/>
      </c>
    </row>
    <row r="20" ht="14.25" customHeight="1">
      <c r="A20" t="inlineStr">
        <is>
          <t>Actual (ISZE billing) · FY27 = BP target</t>
        </is>
      </c>
      <c r="C20" s="56" t="n">
        <v>7297065.71</v>
      </c>
      <c r="D20" s="56" t="n">
        <v>5895486.21</v>
      </c>
      <c r="E20" s="56" t="n">
        <v>6062956.49</v>
      </c>
      <c r="F20" s="2" t="n"/>
    </row>
    <row r="21" ht="14.25" customHeight="1">
      <c r="A21" t="inlineStr">
        <is>
          <t>Share (GPS, ISZE level)</t>
        </is>
      </c>
      <c r="C21" s="120">
        <f>C20/C19</f>
        <v/>
      </c>
      <c r="D21" s="120">
        <f>D20/D19</f>
        <v/>
      </c>
      <c r="E21" s="120">
        <f>E20/E19</f>
        <v/>
      </c>
    </row>
    <row r="22" ht="14.25" customHeight="1">
      <c r="A22" t="inlineStr">
        <is>
          <t>Stretch (%) = global input, capped at ceiling</t>
        </is>
      </c>
      <c r="C22" s="132" t="n">
        <v>0</v>
      </c>
      <c r="D22" s="132" t="n">
        <v>0</v>
      </c>
      <c r="E22" s="132">
        <f>MAX(0,MIN('Dashboard (2)'!$N$1,'Dashboard (2)'!$Q$1-E21))</f>
        <v/>
      </c>
    </row>
    <row r="23" ht="14.25" customHeight="1">
      <c r="A23" t="inlineStr">
        <is>
          <t>Stretch amount (= max spend x stretch%)</t>
        </is>
      </c>
      <c r="C23" s="10">
        <f>C19*C22</f>
        <v/>
      </c>
      <c r="D23" s="10">
        <f>D19*D22</f>
        <v/>
      </c>
      <c r="E23" s="30">
        <f>E19*E22</f>
        <v/>
      </c>
    </row>
    <row r="24" ht="14.25" customHeight="1">
      <c r="A24" s="9" t="inlineStr">
        <is>
          <t>TTL amount (= actual + stretch)  &lt;&lt;  EXTENDED TARGET</t>
        </is>
      </c>
      <c r="C24" s="13">
        <f>C20+C23</f>
        <v/>
      </c>
      <c r="D24" s="13">
        <f>D20+D23</f>
        <v/>
      </c>
      <c r="E24" s="22">
        <f>E20+E23</f>
        <v/>
      </c>
    </row>
    <row r="25" ht="14.25" customHeight="1">
      <c r="A25" t="inlineStr">
        <is>
          <t>Share (new)</t>
        </is>
      </c>
      <c r="C25" s="117">
        <f>C24/C19</f>
        <v/>
      </c>
      <c r="D25" s="117">
        <f>D24/D19</f>
        <v/>
      </c>
      <c r="E25" s="117">
        <f>E24/E19</f>
        <v/>
      </c>
    </row>
    <row r="26" ht="14.25" customHeight="1">
      <c r="A26" s="2" t="inlineStr">
        <is>
          <t>Source: 00_derived/gps_billing_fy_ALLCUSTOMERS.csv canonical 'IUK' (net_gps, GPS-audited, FY-aligned, lubricants included).</t>
        </is>
      </c>
    </row>
    <row r="27">
      <c r="A27" s="108" t="inlineStr">
        <is>
          <t>FY28-FY31 max spend (row 19, cols F:I) feeds Dashboard (2). FY27 actual cell E20 = BP reviewed 24-04-2026.</t>
        </is>
      </c>
    </row>
    <row r="28" ht="14.25" customHeight="1">
      <c r="A28" s="58" t="inlineStr">
        <is>
          <t>IUK -&gt; DEALER level (DB-&gt;DLR) — MH method (35% DB margin gross-up)</t>
        </is>
      </c>
    </row>
    <row r="29" ht="26.25" customHeight="1">
      <c r="C29" s="4" t="inlineStr">
        <is>
          <t>FY25 (Apr'24-Mar'25)</t>
        </is>
      </c>
      <c r="D29" s="4" t="inlineStr">
        <is>
          <t>FY26 (Apr'25-Mar'26)</t>
        </is>
      </c>
      <c r="E29" s="4" t="inlineStr">
        <is>
          <t>FY27 (Apr'26-Mar'27)</t>
        </is>
      </c>
    </row>
    <row r="30" ht="14.25" customHeight="1">
      <c r="A30" t="inlineStr">
        <is>
          <t>Parts Sales DB-to-DLR (actual) · KPI Master File june 2026.xlsx</t>
        </is>
      </c>
      <c r="C30" s="56" t="n">
        <v>18843292.94</v>
      </c>
      <c r="D30" s="56" t="n">
        <v>21418279</v>
      </c>
      <c r="F30" s="2" t="inlineStr">
        <is>
          <t>FY25 12/12 mo · FY26 12/12 mo</t>
        </is>
      </c>
    </row>
    <row r="31" ht="14.25" customHeight="1">
      <c r="A31" t="inlineStr">
        <is>
          <t>DB margin % (MH assumption — same as testcase B15)</t>
        </is>
      </c>
      <c r="B31" s="133" t="n">
        <v>0.35</v>
      </c>
      <c r="C31" s="134" t="n"/>
      <c r="D31" s="134" t="n"/>
    </row>
    <row r="32" ht="14.25" customHeight="1">
      <c r="A32" t="inlineStr">
        <is>
          <t>Stretch amount at dealer (= ISZE stretch / (1 − margin))  ·  MH E29</t>
        </is>
      </c>
      <c r="E32" s="61">
        <f>-E23/(B31-1)</f>
        <v/>
      </c>
    </row>
    <row r="33" ht="14.25" customHeight="1">
      <c r="A33" s="9" t="inlineStr">
        <is>
          <t>FY27 AMOUNT TO REACH at dealer (= FY26 actual + dealer stretch)</t>
        </is>
      </c>
      <c r="E33" s="62">
        <f>IF(OR(D30="",D30="no KPI data"),"no KPI data",D30+E32)</f>
        <v/>
      </c>
    </row>
    <row r="34" ht="42" customHeight="1">
      <c r="A34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37" ht="14.25" customHeight="1">
      <c r="A37" s="31" t="inlineStr">
        <is>
          <t>GAPS / open items</t>
        </is>
      </c>
    </row>
    <row r="38" ht="33.75" customHeight="1">
      <c r="A38" s="14" t="inlineStr">
        <is>
          <t>1. LCV rate: MH's 291.2 chain ends at 219.5648. The identical GBP400 under the v9 CV convention ends at 296. Same source, two conventions — carried as instructed.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UMI — GPS Extended Target FY2027 · UNIVERSAL MOTORS ISRAEL LTD   [LCV only]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UMI UIO (LCV)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LCV</t>
        </is>
      </c>
      <c r="C9" s="51" t="n">
        <v>18349</v>
      </c>
      <c r="D9" s="51" t="n">
        <v>18542</v>
      </c>
      <c r="E9" s="51" t="n">
        <v>18886</v>
      </c>
      <c r="F9" s="126" t="n">
        <v>19319</v>
      </c>
      <c r="G9" s="126" t="n">
        <v>19669</v>
      </c>
      <c r="H9" s="126" t="n">
        <v>20009</v>
      </c>
      <c r="I9" s="126" t="n">
        <v>20339</v>
      </c>
    </row>
    <row r="10" ht="14.25" customHeight="1">
      <c r="A10" t="inlineStr">
        <is>
          <t>TTL</t>
        </is>
      </c>
      <c r="C10" s="10">
        <f>C9</f>
        <v/>
      </c>
      <c r="D10" s="10">
        <f>D9</f>
        <v/>
      </c>
      <c r="E10" s="10">
        <f>E9</f>
        <v/>
      </c>
      <c r="F10" s="127">
        <f>F9</f>
        <v/>
      </c>
      <c r="G10" s="127">
        <f>G9</f>
        <v/>
      </c>
      <c r="H10" s="127">
        <f>H9</f>
        <v/>
      </c>
      <c r="I10" s="127">
        <f>I9</f>
        <v/>
      </c>
    </row>
    <row r="11" ht="14.25" customHeight="1">
      <c r="A11" s="2" t="inlineStr">
        <is>
          <t>Source: UIO v19 '1.UIO Overview' row 9, LCV — CY2024 / CY2025E / CY2026F mapped to FY25 / FY26 / FY27 (UIO shifted one column right).</t>
        </is>
      </c>
    </row>
    <row r="13" ht="14.25" customHeight="1">
      <c r="A13" s="31" t="inlineStr">
        <is>
          <t>Parts Sales / Unit (EUR)</t>
        </is>
      </c>
      <c r="B13" t="inlineStr">
        <is>
          <t>FY26 base</t>
        </is>
      </c>
      <c r="C13" s="52" t="n"/>
      <c r="D13" s="52" t="inlineStr">
        <is>
          <t>FY26</t>
        </is>
      </c>
      <c r="E13" s="52" t="inlineStr">
        <is>
          <t>FY27 (+5%)</t>
        </is>
      </c>
      <c r="F13" s="52" t="inlineStr">
        <is>
          <t>FY28 (+price)</t>
        </is>
      </c>
      <c r="G13" s="52" t="inlineStr">
        <is>
          <t>FY29 (+price)</t>
        </is>
      </c>
      <c r="H13" s="52" t="inlineStr">
        <is>
          <t>FY30 (+price)</t>
        </is>
      </c>
      <c r="I13" s="52" t="inlineStr">
        <is>
          <t>FY31 (+price)</t>
        </is>
      </c>
    </row>
    <row r="14" ht="14.25" customHeight="1">
      <c r="A14" t="inlineStr">
        <is>
          <t>ISZE-net EUR/unit (= DB cost)</t>
        </is>
      </c>
      <c r="B14" s="128" t="n">
        <v>250</v>
      </c>
      <c r="C14" s="129" t="n"/>
      <c r="D14" s="129">
        <f>B14</f>
        <v/>
      </c>
      <c r="E14" s="130">
        <f>D14*1.05</f>
        <v/>
      </c>
      <c r="F14" s="131">
        <f>E14*(1+'Dashboard (2)'!$T$1)</f>
        <v/>
      </c>
      <c r="G14" s="131">
        <f>F14*(1+'Dashboard (2)'!$T$1)</f>
        <v/>
      </c>
      <c r="H14" s="131">
        <f>G14*(1+'Dashboard (2)'!$T$1)</f>
        <v/>
      </c>
      <c r="I14" s="131">
        <f>H14*(1+'Dashboard (2)'!$T$1)</f>
        <v/>
      </c>
    </row>
    <row r="15" ht="14.25" customHeight="1">
      <c r="A15" s="2" t="inlineStr">
        <is>
          <t>LCV rate: EUR 250 ISZE-net FY26 base (same rate as the fleet study), +5% FY27 = 262.50, then + price input per year. Replaces MH chain 291.2 x 1.16 x 0.65 = 219.56 (FX and margin applied twice).</t>
        </is>
      </c>
    </row>
    <row r="17" ht="14.25" customHeight="1">
      <c r="A17" s="31" t="inlineStr">
        <is>
          <t>ISZE -&gt; UMI wholesale (ISZE-net EUR)  &lt;&lt;  EXTENDED TARGET IS SET HERE</t>
        </is>
      </c>
    </row>
    <row r="18" ht="26.25" customHeight="1">
      <c r="C18" s="4" t="inlineStr">
        <is>
          <t>FY25 (Apr'24-Mar'25)</t>
        </is>
      </c>
      <c r="D18" s="4" t="inlineStr">
        <is>
          <t>FY26 (Apr'25-Mar'26)</t>
        </is>
      </c>
      <c r="E18" s="4" t="inlineStr">
        <is>
          <t>FY27 (Apr'26-Mar'27)</t>
        </is>
      </c>
      <c r="F18" s="4" t="inlineStr">
        <is>
          <t>FY28</t>
        </is>
      </c>
      <c r="G18" s="4" t="inlineStr">
        <is>
          <t>FY29</t>
        </is>
      </c>
      <c r="H18" s="4" t="inlineStr">
        <is>
          <t>FY30</t>
        </is>
      </c>
      <c r="I18" s="4" t="inlineStr">
        <is>
          <t>FY31</t>
        </is>
      </c>
    </row>
    <row r="19" ht="14.25" customHeight="1">
      <c r="A19" t="inlineStr">
        <is>
          <t>Max spend / potential (= UIO x ISZE-net rate)</t>
        </is>
      </c>
      <c r="C19" s="10">
        <f>C9*$D$14</f>
        <v/>
      </c>
      <c r="D19" s="10">
        <f>D9*$D$14</f>
        <v/>
      </c>
      <c r="E19" s="10">
        <f>E9*$E$14</f>
        <v/>
      </c>
      <c r="F19" s="127">
        <f>F9*F14</f>
        <v/>
      </c>
      <c r="G19" s="127">
        <f>G9*G14</f>
        <v/>
      </c>
      <c r="H19" s="127">
        <f>H9*H14</f>
        <v/>
      </c>
      <c r="I19" s="127">
        <f>I9*I14</f>
        <v/>
      </c>
    </row>
    <row r="20" ht="14.25" customHeight="1">
      <c r="A20" t="inlineStr">
        <is>
          <t>Actual (ISZE billing) · FY27 = BP target</t>
        </is>
      </c>
      <c r="C20" s="56" t="n">
        <v>2739215.7</v>
      </c>
      <c r="D20" s="56" t="n">
        <v>2445335.24</v>
      </c>
      <c r="E20" s="56" t="n">
        <v>2973279.33</v>
      </c>
      <c r="F20" s="2" t="n"/>
    </row>
    <row r="21" ht="14.25" customHeight="1">
      <c r="A21" t="inlineStr">
        <is>
          <t>Share (GPS, ISZE level)</t>
        </is>
      </c>
      <c r="C21" s="120">
        <f>C20/C19</f>
        <v/>
      </c>
      <c r="D21" s="120">
        <f>D20/D19</f>
        <v/>
      </c>
      <c r="E21" s="120">
        <f>E20/E19</f>
        <v/>
      </c>
    </row>
    <row r="22" ht="14.25" customHeight="1">
      <c r="A22" t="inlineStr">
        <is>
          <t>Stretch (%) = global input, capped at ceiling</t>
        </is>
      </c>
      <c r="C22" s="132" t="n">
        <v>0</v>
      </c>
      <c r="D22" s="132" t="n">
        <v>0</v>
      </c>
      <c r="E22" s="132">
        <f>MAX(0,MIN('Dashboard (2)'!$N$1,'Dashboard (2)'!$Q$1-E21))</f>
        <v/>
      </c>
    </row>
    <row r="23" ht="14.25" customHeight="1">
      <c r="A23" t="inlineStr">
        <is>
          <t>Stretch amount (= max spend x stretch%)</t>
        </is>
      </c>
      <c r="C23" s="10">
        <f>C19*C22</f>
        <v/>
      </c>
      <c r="D23" s="10">
        <f>D19*D22</f>
        <v/>
      </c>
      <c r="E23" s="30">
        <f>E19*E22</f>
        <v/>
      </c>
    </row>
    <row r="24" ht="14.25" customHeight="1">
      <c r="A24" s="9" t="inlineStr">
        <is>
          <t>TTL amount (= actual + stretch)  &lt;&lt;  EXTENDED TARGET</t>
        </is>
      </c>
      <c r="C24" s="13">
        <f>C20+C23</f>
        <v/>
      </c>
      <c r="D24" s="13">
        <f>D20+D23</f>
        <v/>
      </c>
      <c r="E24" s="22">
        <f>E20+E23</f>
        <v/>
      </c>
    </row>
    <row r="25" ht="14.25" customHeight="1">
      <c r="A25" t="inlineStr">
        <is>
          <t>Share (new)</t>
        </is>
      </c>
      <c r="C25" s="117">
        <f>C24/C19</f>
        <v/>
      </c>
      <c r="D25" s="117">
        <f>D24/D19</f>
        <v/>
      </c>
      <c r="E25" s="117">
        <f>E24/E19</f>
        <v/>
      </c>
    </row>
    <row r="26" ht="14.25" customHeight="1">
      <c r="A26" s="2" t="inlineStr">
        <is>
          <t>Source: 00_derived/gps_billing_fy_ALLCUSTOMERS.csv canonical 'UMI' (net_gps, GPS-audited, FY-aligned, lubricants included).</t>
        </is>
      </c>
    </row>
    <row r="27">
      <c r="A27" s="108" t="inlineStr">
        <is>
          <t>FY28-FY31 max spend (row 19, cols F:I) feeds Dashboard (2). FY27 actual cell E20 = BP reviewed 24-04-2026.</t>
        </is>
      </c>
    </row>
    <row r="28" ht="14.25" customHeight="1">
      <c r="A28" s="58" t="inlineStr">
        <is>
          <t>UMI -&gt; DEALER level (DB-&gt;DLR) — MH method (35% DB margin gross-up)</t>
        </is>
      </c>
    </row>
    <row r="29" ht="26.25" customHeight="1">
      <c r="C29" s="4" t="inlineStr">
        <is>
          <t>FY25 (Apr'24-Mar'25)</t>
        </is>
      </c>
      <c r="D29" s="4" t="inlineStr">
        <is>
          <t>FY26 (Apr'25-Mar'26)</t>
        </is>
      </c>
      <c r="E29" s="4" t="inlineStr">
        <is>
          <t>FY27 (Apr'26-Mar'27)</t>
        </is>
      </c>
    </row>
    <row r="30" ht="14.25" customHeight="1">
      <c r="A30" t="inlineStr">
        <is>
          <t>Parts Sales DB-to-DLR (actual) · KPI Master File june 2026.xlsx</t>
        </is>
      </c>
      <c r="C30" s="56" t="n"/>
      <c r="D30" s="56" t="n"/>
      <c r="F30" s="64" t="inlineStr">
        <is>
          <t>FY25 0/12 mo · FY26 0/12 mo</t>
        </is>
      </c>
    </row>
    <row r="31" ht="14.25" customHeight="1">
      <c r="A31" t="inlineStr">
        <is>
          <t>DB margin % (MH assumption — same as testcase B15)</t>
        </is>
      </c>
      <c r="B31" s="133" t="n">
        <v>0.35</v>
      </c>
      <c r="C31" s="134" t="n"/>
      <c r="D31" s="134" t="n"/>
    </row>
    <row r="32" ht="14.25" customHeight="1">
      <c r="A32" t="inlineStr">
        <is>
          <t>Stretch amount at dealer (= ISZE stretch / (1 − margin))  ·  MH E29</t>
        </is>
      </c>
      <c r="E32" s="61">
        <f>-E23/(B31-1)</f>
        <v/>
      </c>
    </row>
    <row r="33" ht="14.25" customHeight="1">
      <c r="A33" s="9" t="inlineStr">
        <is>
          <t>FY27 AMOUNT TO REACH at dealer (= FY26 actual + dealer stretch)</t>
        </is>
      </c>
      <c r="E33" s="62">
        <f>IF(OR(D30="",D30="no KPI data"),"no KPI data",D30+E32)</f>
        <v/>
      </c>
    </row>
    <row r="34" ht="42" customHeight="1">
      <c r="A34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37" ht="14.25" customHeight="1">
      <c r="A37" s="31" t="inlineStr">
        <is>
          <t>GAPS / open items</t>
        </is>
      </c>
    </row>
    <row r="38" ht="33.75" customHeight="1">
      <c r="A38" s="14" t="inlineStr">
        <is>
          <t>1. LCV rate: MH's 291.2 chain ends at 219.5648. The identical GBP400 under the v9 CV convention ends at 296. Same source, two conventions — carried as instructed.</t>
        </is>
      </c>
    </row>
    <row r="39" ht="22.5" customHeight="1">
      <c r="A39" s="14" t="inlineStr">
        <is>
          <t>2. Dealer-level data is 'Internal only' in the KPI Master — irrelevant now that the DB-to-DLR block is dropped.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NORWAY — GPS Extended Target FY2027 · RUTEBILEIERNES STANDARDISERING AS   [LCV only]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NORWAY UIO (LCV)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LCV</t>
        </is>
      </c>
      <c r="C9" s="51" t="n">
        <v>8237</v>
      </c>
      <c r="D9" s="51" t="n">
        <v>7929</v>
      </c>
      <c r="E9" s="51" t="n">
        <v>8111</v>
      </c>
      <c r="F9" s="126" t="n">
        <v>8218</v>
      </c>
      <c r="G9" s="126" t="n">
        <v>8426</v>
      </c>
      <c r="H9" s="126" t="n">
        <v>8628</v>
      </c>
      <c r="I9" s="126" t="n">
        <v>8824</v>
      </c>
    </row>
    <row r="10" ht="14.25" customHeight="1">
      <c r="A10" t="inlineStr">
        <is>
          <t>TTL</t>
        </is>
      </c>
      <c r="C10" s="10">
        <f>C9</f>
        <v/>
      </c>
      <c r="D10" s="10">
        <f>D9</f>
        <v/>
      </c>
      <c r="E10" s="10">
        <f>E9</f>
        <v/>
      </c>
      <c r="F10" s="127">
        <f>F9</f>
        <v/>
      </c>
      <c r="G10" s="127">
        <f>G9</f>
        <v/>
      </c>
      <c r="H10" s="127">
        <f>H9</f>
        <v/>
      </c>
      <c r="I10" s="127">
        <f>I9</f>
        <v/>
      </c>
    </row>
    <row r="11" ht="14.25" customHeight="1">
      <c r="A11" s="2" t="inlineStr">
        <is>
          <t>Source: UIO v19 '1.UIO Overview' row 15, LCV — CY2024 / CY2025E / CY2026F mapped to FY25 / FY26 / FY27 (UIO shifted one column right).</t>
        </is>
      </c>
    </row>
    <row r="13" ht="14.25" customHeight="1">
      <c r="A13" s="31" t="inlineStr">
        <is>
          <t>Parts Sales / Unit (EUR)</t>
        </is>
      </c>
      <c r="B13" t="inlineStr">
        <is>
          <t>FY26 base</t>
        </is>
      </c>
      <c r="C13" s="52" t="n"/>
      <c r="D13" s="52" t="inlineStr">
        <is>
          <t>FY26</t>
        </is>
      </c>
      <c r="E13" s="52" t="inlineStr">
        <is>
          <t>FY27 (+5%)</t>
        </is>
      </c>
      <c r="F13" s="52" t="inlineStr">
        <is>
          <t>FY28 (+price)</t>
        </is>
      </c>
      <c r="G13" s="52" t="inlineStr">
        <is>
          <t>FY29 (+price)</t>
        </is>
      </c>
      <c r="H13" s="52" t="inlineStr">
        <is>
          <t>FY30 (+price)</t>
        </is>
      </c>
      <c r="I13" s="52" t="inlineStr">
        <is>
          <t>FY31 (+price)</t>
        </is>
      </c>
    </row>
    <row r="14" ht="14.25" customHeight="1">
      <c r="A14" t="inlineStr">
        <is>
          <t>ISZE-net EUR/unit (= DB cost)</t>
        </is>
      </c>
      <c r="B14" s="128" t="n">
        <v>250</v>
      </c>
      <c r="C14" s="129" t="n"/>
      <c r="D14" s="129">
        <f>B14</f>
        <v/>
      </c>
      <c r="E14" s="130">
        <f>D14*1.05</f>
        <v/>
      </c>
      <c r="F14" s="131">
        <f>E14*(1+'Dashboard (2)'!$T$1)</f>
        <v/>
      </c>
      <c r="G14" s="131">
        <f>F14*(1+'Dashboard (2)'!$T$1)</f>
        <v/>
      </c>
      <c r="H14" s="131">
        <f>G14*(1+'Dashboard (2)'!$T$1)</f>
        <v/>
      </c>
      <c r="I14" s="131">
        <f>H14*(1+'Dashboard (2)'!$T$1)</f>
        <v/>
      </c>
    </row>
    <row r="15" ht="14.25" customHeight="1">
      <c r="A15" s="2" t="inlineStr">
        <is>
          <t>LCV rate: EUR 250 ISZE-net FY26 base (same rate as the fleet study), +5% FY27 = 262.50, then + price input per year. Replaces MH chain 291.2 x 1.16 x 0.65 = 219.56 (FX and margin applied twice).</t>
        </is>
      </c>
    </row>
    <row r="17" ht="14.25" customHeight="1">
      <c r="A17" s="31" t="inlineStr">
        <is>
          <t>ISZE -&gt; NORWAY wholesale (ISZE-net EUR)  &lt;&lt;  EXTENDED TARGET IS SET HERE</t>
        </is>
      </c>
    </row>
    <row r="18" ht="26.25" customHeight="1">
      <c r="C18" s="4" t="inlineStr">
        <is>
          <t>FY25 (Apr'24-Mar'25)</t>
        </is>
      </c>
      <c r="D18" s="4" t="inlineStr">
        <is>
          <t>FY26 (Apr'25-Mar'26)</t>
        </is>
      </c>
      <c r="E18" s="4" t="inlineStr">
        <is>
          <t>FY27 (Apr'26-Mar'27)</t>
        </is>
      </c>
      <c r="F18" s="4" t="inlineStr">
        <is>
          <t>FY28</t>
        </is>
      </c>
      <c r="G18" s="4" t="inlineStr">
        <is>
          <t>FY29</t>
        </is>
      </c>
      <c r="H18" s="4" t="inlineStr">
        <is>
          <t>FY30</t>
        </is>
      </c>
      <c r="I18" s="4" t="inlineStr">
        <is>
          <t>FY31</t>
        </is>
      </c>
    </row>
    <row r="19" ht="14.25" customHeight="1">
      <c r="A19" t="inlineStr">
        <is>
          <t>Max spend / potential (= UIO x ISZE-net rate)</t>
        </is>
      </c>
      <c r="C19" s="10">
        <f>C9*$D$14</f>
        <v/>
      </c>
      <c r="D19" s="10">
        <f>D9*$D$14</f>
        <v/>
      </c>
      <c r="E19" s="10">
        <f>E9*$E$14</f>
        <v/>
      </c>
      <c r="F19" s="127">
        <f>F9*F14</f>
        <v/>
      </c>
      <c r="G19" s="127">
        <f>G9*G14</f>
        <v/>
      </c>
      <c r="H19" s="127">
        <f>H9*H14</f>
        <v/>
      </c>
      <c r="I19" s="127">
        <f>I9*I14</f>
        <v/>
      </c>
    </row>
    <row r="20" ht="14.25" customHeight="1">
      <c r="A20" t="inlineStr">
        <is>
          <t>Actual (ISZE billing) · FY27 = BP target</t>
        </is>
      </c>
      <c r="C20" s="56" t="n">
        <v>1162750.67</v>
      </c>
      <c r="D20" s="56" t="n">
        <v>1471434.21</v>
      </c>
      <c r="E20" s="56" t="n">
        <v>1764799.75</v>
      </c>
      <c r="F20" s="2" t="n"/>
    </row>
    <row r="21" ht="14.25" customHeight="1">
      <c r="A21" t="inlineStr">
        <is>
          <t>Share (GPS, ISZE level)</t>
        </is>
      </c>
      <c r="C21" s="120">
        <f>C20/C19</f>
        <v/>
      </c>
      <c r="D21" s="120">
        <f>D20/D19</f>
        <v/>
      </c>
      <c r="E21" s="120">
        <f>E20/E19</f>
        <v/>
      </c>
    </row>
    <row r="22" ht="14.25" customHeight="1">
      <c r="A22" t="inlineStr">
        <is>
          <t>Stretch (%) = global input, capped at ceiling</t>
        </is>
      </c>
      <c r="C22" s="132" t="n">
        <v>0</v>
      </c>
      <c r="D22" s="132" t="n">
        <v>0</v>
      </c>
      <c r="E22" s="132">
        <f>MAX(0,MIN('Dashboard (2)'!$N$1,'Dashboard (2)'!$Q$1-E21))</f>
        <v/>
      </c>
    </row>
    <row r="23" ht="14.25" customHeight="1">
      <c r="A23" t="inlineStr">
        <is>
          <t>Stretch amount (= max spend x stretch%)</t>
        </is>
      </c>
      <c r="C23" s="10">
        <f>C19*C22</f>
        <v/>
      </c>
      <c r="D23" s="10">
        <f>D19*D22</f>
        <v/>
      </c>
      <c r="E23" s="30">
        <f>E19*E22</f>
        <v/>
      </c>
    </row>
    <row r="24" ht="14.25" customHeight="1">
      <c r="A24" s="9" t="inlineStr">
        <is>
          <t>TTL amount (= actual + stretch)  &lt;&lt;  EXTENDED TARGET</t>
        </is>
      </c>
      <c r="C24" s="13">
        <f>C20+C23</f>
        <v/>
      </c>
      <c r="D24" s="13">
        <f>D20+D23</f>
        <v/>
      </c>
      <c r="E24" s="22">
        <f>E20+E23</f>
        <v/>
      </c>
    </row>
    <row r="25" ht="14.25" customHeight="1">
      <c r="A25" t="inlineStr">
        <is>
          <t>Share (new)</t>
        </is>
      </c>
      <c r="C25" s="117">
        <f>C24/C19</f>
        <v/>
      </c>
      <c r="D25" s="117">
        <f>D24/D19</f>
        <v/>
      </c>
      <c r="E25" s="117">
        <f>E24/E19</f>
        <v/>
      </c>
    </row>
    <row r="26" ht="14.25" customHeight="1">
      <c r="A26" s="2" t="inlineStr">
        <is>
          <t>Source: 00_derived/gps_billing_fy_ALLCUSTOMERS.csv canonical 'Norway' (net_gps, GPS-audited, FY-aligned, lubricants included).</t>
        </is>
      </c>
    </row>
    <row r="27">
      <c r="A27" s="108" t="inlineStr">
        <is>
          <t>FY28-FY31 max spend (row 19, cols F:I) feeds Dashboard (2). FY27 actual cell E20 = BP reviewed 24-04-2026.</t>
        </is>
      </c>
    </row>
    <row r="28" ht="14.25" customHeight="1">
      <c r="A28" s="58" t="inlineStr">
        <is>
          <t>NORWAY -&gt; DEALER level (DB-&gt;DLR) — MH method (35% DB margin gross-up)</t>
        </is>
      </c>
    </row>
    <row r="29" ht="26.25" customHeight="1">
      <c r="C29" s="4" t="inlineStr">
        <is>
          <t>FY25 (Apr'24-Mar'25)</t>
        </is>
      </c>
      <c r="D29" s="4" t="inlineStr">
        <is>
          <t>FY26 (Apr'25-Mar'26)</t>
        </is>
      </c>
      <c r="E29" s="4" t="inlineStr">
        <is>
          <t>FY27 (Apr'26-Mar'27)</t>
        </is>
      </c>
    </row>
    <row r="30" ht="14.25" customHeight="1">
      <c r="A30" t="inlineStr">
        <is>
          <t>Parts Sales DB-to-DLR (actual) · KPI Master File june 2026.xlsx</t>
        </is>
      </c>
      <c r="C30" s="56" t="n">
        <v>3367988</v>
      </c>
      <c r="D30" s="56" t="n">
        <v>4811395</v>
      </c>
      <c r="F30" s="64" t="inlineStr">
        <is>
          <t>FY25 12/12 mo · FY26 11/12 mo</t>
        </is>
      </c>
    </row>
    <row r="31" ht="14.25" customHeight="1">
      <c r="A31" t="inlineStr">
        <is>
          <t>DB margin % (MH assumption — same as testcase B15)</t>
        </is>
      </c>
      <c r="B31" s="133" t="n">
        <v>0.35</v>
      </c>
      <c r="C31" s="134" t="n"/>
      <c r="D31" s="134" t="n"/>
    </row>
    <row r="32" ht="14.25" customHeight="1">
      <c r="A32" t="inlineStr">
        <is>
          <t>Stretch amount at dealer (= ISZE stretch / (1 − margin))  ·  MH E29</t>
        </is>
      </c>
      <c r="E32" s="61">
        <f>-E23/(B31-1)</f>
        <v/>
      </c>
    </row>
    <row r="33" ht="14.25" customHeight="1">
      <c r="A33" s="9" t="inlineStr">
        <is>
          <t>FY27 AMOUNT TO REACH at dealer (= FY26 actual + dealer stretch)</t>
        </is>
      </c>
      <c r="E33" s="62">
        <f>IF(OR(D30="",D30="no KPI data"),"no KPI data",D30+E32)</f>
        <v/>
      </c>
    </row>
    <row r="34" ht="42" customHeight="1">
      <c r="A34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37" ht="14.25" customHeight="1">
      <c r="A37" s="31" t="inlineStr">
        <is>
          <t>GAPS / open items</t>
        </is>
      </c>
    </row>
    <row r="38" ht="33.75" customHeight="1">
      <c r="A38" s="14" t="inlineStr">
        <is>
          <t>1. LCV rate: MH's 291.2 chain ends at 219.5648. The identical GBP400 under the v9 CV convention ends at 296. Same source, two conventions — carried as instructed.</t>
        </is>
      </c>
    </row>
    <row r="39" ht="33.75" customHeight="1">
      <c r="A39" s="14" t="inlineStr">
        <is>
          <t>2. Billing = payer 86 only. Payer 66 (labelled 'RSA' in the billing file) is GREECE, not Norway — confirmed by Jerome 17-07-2026. Do not join billing to warranty on the name 'RSA'.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SWEDEN — GPS Extended Target FY2027 · ISUZU SVERIGE AB   [LCV only]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SWEDEN UIO (LCV)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LCV</t>
        </is>
      </c>
      <c r="C9" s="51" t="n">
        <v>7221</v>
      </c>
      <c r="D9" s="51" t="n">
        <v>8443</v>
      </c>
      <c r="E9" s="51" t="n">
        <v>9090</v>
      </c>
      <c r="F9" s="126" t="n">
        <v>9737</v>
      </c>
      <c r="G9" s="126" t="n">
        <v>10320</v>
      </c>
      <c r="H9" s="126" t="n">
        <v>10885</v>
      </c>
      <c r="I9" s="126" t="n">
        <v>11433</v>
      </c>
    </row>
    <row r="10" ht="14.25" customHeight="1">
      <c r="A10" t="inlineStr">
        <is>
          <t>TTL</t>
        </is>
      </c>
      <c r="C10" s="10">
        <f>C9</f>
        <v/>
      </c>
      <c r="D10" s="10">
        <f>D9</f>
        <v/>
      </c>
      <c r="E10" s="10">
        <f>E9</f>
        <v/>
      </c>
      <c r="F10" s="127">
        <f>F9</f>
        <v/>
      </c>
      <c r="G10" s="127">
        <f>G9</f>
        <v/>
      </c>
      <c r="H10" s="127">
        <f>H9</f>
        <v/>
      </c>
      <c r="I10" s="127">
        <f>I9</f>
        <v/>
      </c>
    </row>
    <row r="11" ht="14.25" customHeight="1">
      <c r="A11" s="2" t="inlineStr">
        <is>
          <t>Source: UIO v19 '1.UIO Overview' row 18, LCV — CY2024 / CY2025E / CY2026F mapped to FY25 / FY26 / FY27 (UIO shifted one column right).</t>
        </is>
      </c>
    </row>
    <row r="13" ht="14.25" customHeight="1">
      <c r="A13" s="31" t="inlineStr">
        <is>
          <t>Parts Sales / Unit (EUR)</t>
        </is>
      </c>
      <c r="B13" t="inlineStr">
        <is>
          <t>FY26 base</t>
        </is>
      </c>
      <c r="C13" s="52" t="n"/>
      <c r="D13" s="52" t="inlineStr">
        <is>
          <t>FY26</t>
        </is>
      </c>
      <c r="E13" s="52" t="inlineStr">
        <is>
          <t>FY27 (+5%)</t>
        </is>
      </c>
      <c r="F13" s="52" t="inlineStr">
        <is>
          <t>FY28 (+price)</t>
        </is>
      </c>
      <c r="G13" s="52" t="inlineStr">
        <is>
          <t>FY29 (+price)</t>
        </is>
      </c>
      <c r="H13" s="52" t="inlineStr">
        <is>
          <t>FY30 (+price)</t>
        </is>
      </c>
      <c r="I13" s="52" t="inlineStr">
        <is>
          <t>FY31 (+price)</t>
        </is>
      </c>
    </row>
    <row r="14" ht="14.25" customHeight="1">
      <c r="A14" t="inlineStr">
        <is>
          <t>ISZE-net EUR/unit (= DB cost)</t>
        </is>
      </c>
      <c r="B14" s="128" t="n">
        <v>250</v>
      </c>
      <c r="C14" s="129" t="n"/>
      <c r="D14" s="129">
        <f>B14</f>
        <v/>
      </c>
      <c r="E14" s="130">
        <f>D14*1.05</f>
        <v/>
      </c>
      <c r="F14" s="131">
        <f>E14*(1+'Dashboard (2)'!$T$1)</f>
        <v/>
      </c>
      <c r="G14" s="131">
        <f>F14*(1+'Dashboard (2)'!$T$1)</f>
        <v/>
      </c>
      <c r="H14" s="131">
        <f>G14*(1+'Dashboard (2)'!$T$1)</f>
        <v/>
      </c>
      <c r="I14" s="131">
        <f>H14*(1+'Dashboard (2)'!$T$1)</f>
        <v/>
      </c>
    </row>
    <row r="15" ht="14.25" customHeight="1">
      <c r="A15" s="2" t="inlineStr">
        <is>
          <t>LCV rate: EUR 250 ISZE-net FY26 base (same rate as the fleet study), +5% FY27 = 262.50, then + price input per year. Replaces MH chain 291.2 x 1.16 x 0.65 = 219.56 (FX and margin applied twice).</t>
        </is>
      </c>
    </row>
    <row r="17" ht="14.25" customHeight="1">
      <c r="A17" s="31" t="inlineStr">
        <is>
          <t>ISZE -&gt; SWEDEN wholesale (ISZE-net EUR)  &lt;&lt;  EXTENDED TARGET IS SET HERE</t>
        </is>
      </c>
    </row>
    <row r="18" ht="26.25" customHeight="1">
      <c r="C18" s="4" t="inlineStr">
        <is>
          <t>FY25 (Apr'24-Mar'25)</t>
        </is>
      </c>
      <c r="D18" s="4" t="inlineStr">
        <is>
          <t>FY26 (Apr'25-Mar'26)</t>
        </is>
      </c>
      <c r="E18" s="4" t="inlineStr">
        <is>
          <t>FY27 (Apr'26-Mar'27)</t>
        </is>
      </c>
      <c r="F18" s="4" t="inlineStr">
        <is>
          <t>FY28</t>
        </is>
      </c>
      <c r="G18" s="4" t="inlineStr">
        <is>
          <t>FY29</t>
        </is>
      </c>
      <c r="H18" s="4" t="inlineStr">
        <is>
          <t>FY30</t>
        </is>
      </c>
      <c r="I18" s="4" t="inlineStr">
        <is>
          <t>FY31</t>
        </is>
      </c>
    </row>
    <row r="19" ht="14.25" customHeight="1">
      <c r="A19" t="inlineStr">
        <is>
          <t>Max spend / potential (= UIO x ISZE-net rate)</t>
        </is>
      </c>
      <c r="C19" s="10">
        <f>C9*$D$14</f>
        <v/>
      </c>
      <c r="D19" s="10">
        <f>D9*$D$14</f>
        <v/>
      </c>
      <c r="E19" s="10">
        <f>E9*$E$14</f>
        <v/>
      </c>
      <c r="F19" s="127">
        <f>F9*F14</f>
        <v/>
      </c>
      <c r="G19" s="127">
        <f>G9*G14</f>
        <v/>
      </c>
      <c r="H19" s="127">
        <f>H9*H14</f>
        <v/>
      </c>
      <c r="I19" s="127">
        <f>I9*I14</f>
        <v/>
      </c>
    </row>
    <row r="20" ht="14.25" customHeight="1">
      <c r="A20" t="inlineStr">
        <is>
          <t>Actual (ISZE billing) · FY27 = BP target</t>
        </is>
      </c>
      <c r="C20" s="56" t="n">
        <v>1215958.33</v>
      </c>
      <c r="D20" s="56" t="n">
        <v>1298275.99</v>
      </c>
      <c r="E20" s="56" t="n">
        <v>1464302.33</v>
      </c>
      <c r="F20" s="2" t="n"/>
    </row>
    <row r="21" ht="14.25" customHeight="1">
      <c r="A21" t="inlineStr">
        <is>
          <t>Share (GPS, ISZE level)</t>
        </is>
      </c>
      <c r="C21" s="120">
        <f>C20/C19</f>
        <v/>
      </c>
      <c r="D21" s="120">
        <f>D20/D19</f>
        <v/>
      </c>
      <c r="E21" s="120">
        <f>E20/E19</f>
        <v/>
      </c>
    </row>
    <row r="22" ht="14.25" customHeight="1">
      <c r="A22" t="inlineStr">
        <is>
          <t>Stretch (%) = global input, capped at ceiling</t>
        </is>
      </c>
      <c r="C22" s="132" t="n">
        <v>0</v>
      </c>
      <c r="D22" s="132" t="n">
        <v>0</v>
      </c>
      <c r="E22" s="132">
        <f>MAX(0,MIN('Dashboard (2)'!$N$1,'Dashboard (2)'!$Q$1-E21))</f>
        <v/>
      </c>
    </row>
    <row r="23" ht="14.25" customHeight="1">
      <c r="A23" t="inlineStr">
        <is>
          <t>Stretch amount (= max spend x stretch%)</t>
        </is>
      </c>
      <c r="C23" s="10">
        <f>C19*C22</f>
        <v/>
      </c>
      <c r="D23" s="10">
        <f>D19*D22</f>
        <v/>
      </c>
      <c r="E23" s="30">
        <f>E19*E22</f>
        <v/>
      </c>
    </row>
    <row r="24" ht="14.25" customHeight="1">
      <c r="A24" s="9" t="inlineStr">
        <is>
          <t>TTL amount (= actual + stretch)  &lt;&lt;  EXTENDED TARGET</t>
        </is>
      </c>
      <c r="C24" s="13">
        <f>C20+C23</f>
        <v/>
      </c>
      <c r="D24" s="13">
        <f>D20+D23</f>
        <v/>
      </c>
      <c r="E24" s="22">
        <f>E20+E23</f>
        <v/>
      </c>
    </row>
    <row r="25" ht="14.25" customHeight="1">
      <c r="A25" t="inlineStr">
        <is>
          <t>Share (new)</t>
        </is>
      </c>
      <c r="C25" s="117">
        <f>C24/C19</f>
        <v/>
      </c>
      <c r="D25" s="117">
        <f>D24/D19</f>
        <v/>
      </c>
      <c r="E25" s="117">
        <f>E24/E19</f>
        <v/>
      </c>
    </row>
    <row r="26" ht="14.25" customHeight="1">
      <c r="A26" s="2" t="inlineStr">
        <is>
          <t>Source: 00_derived/gps_billing_fy_ALLCUSTOMERS.csv canonical 'Sverige' (net_gps, GPS-audited, FY-aligned, lubricants included).</t>
        </is>
      </c>
    </row>
    <row r="27">
      <c r="A27" s="108" t="inlineStr">
        <is>
          <t>FY28-FY31 max spend (row 19, cols F:I) feeds Dashboard (2). FY27 actual cell E20 = BP reviewed 24-04-2026.</t>
        </is>
      </c>
    </row>
    <row r="28" ht="14.25" customHeight="1">
      <c r="A28" s="58" t="inlineStr">
        <is>
          <t>SWEDEN -&gt; DEALER level (DB-&gt;DLR) — MH method (35% DB margin gross-up)</t>
        </is>
      </c>
    </row>
    <row r="29" ht="26.25" customHeight="1">
      <c r="C29" s="4" t="inlineStr">
        <is>
          <t>FY25 (Apr'24-Mar'25)</t>
        </is>
      </c>
      <c r="D29" s="4" t="inlineStr">
        <is>
          <t>FY26 (Apr'25-Mar'26)</t>
        </is>
      </c>
      <c r="E29" s="4" t="inlineStr">
        <is>
          <t>FY27 (Apr'26-Mar'27)</t>
        </is>
      </c>
    </row>
    <row r="30" ht="14.25" customHeight="1">
      <c r="A30" t="inlineStr">
        <is>
          <t>Parts Sales DB-to-DLR (actual) · KPI Master File june 2026.xlsx</t>
        </is>
      </c>
      <c r="C30" s="56" t="n">
        <v>2482560</v>
      </c>
      <c r="D30" s="56" t="n">
        <v>3154221.508</v>
      </c>
      <c r="F30" s="2" t="inlineStr">
        <is>
          <t>FY25 12/12 mo · FY26 12/12 mo</t>
        </is>
      </c>
    </row>
    <row r="31" ht="14.25" customHeight="1">
      <c r="A31" t="inlineStr">
        <is>
          <t>DB margin % (MH assumption — same as testcase B15)</t>
        </is>
      </c>
      <c r="B31" s="133" t="n">
        <v>0.35</v>
      </c>
      <c r="C31" s="134" t="n"/>
      <c r="D31" s="134" t="n"/>
    </row>
    <row r="32" ht="14.25" customHeight="1">
      <c r="A32" t="inlineStr">
        <is>
          <t>Stretch amount at dealer (= ISZE stretch / (1 − margin))  ·  MH E29</t>
        </is>
      </c>
      <c r="E32" s="61">
        <f>-E23/(B31-1)</f>
        <v/>
      </c>
    </row>
    <row r="33" ht="14.25" customHeight="1">
      <c r="A33" s="9" t="inlineStr">
        <is>
          <t>FY27 AMOUNT TO REACH at dealer (= FY26 actual + dealer stretch)</t>
        </is>
      </c>
      <c r="E33" s="62">
        <f>IF(OR(D30="",D30="no KPI data"),"no KPI data",D30+E32)</f>
        <v/>
      </c>
    </row>
    <row r="34" ht="42" customHeight="1">
      <c r="A34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37" ht="14.25" customHeight="1">
      <c r="A37" s="31" t="inlineStr">
        <is>
          <t>GAPS / open items</t>
        </is>
      </c>
    </row>
    <row r="38" ht="33.75" customHeight="1">
      <c r="A38" s="14" t="inlineStr">
        <is>
          <t>1. LCV rate: MH's 291.2 chain ends at 219.5648. The identical GBP400 under the v9 CV convention ends at 296. Same source, two conventions — carried as instructed.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HUNGARY — GPS Extended Target FY2027 · AW Distribution Kft.   [LCV only]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HUNGARY UIO (LCV)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LCV</t>
        </is>
      </c>
      <c r="C9" s="51" t="n">
        <v>3714</v>
      </c>
      <c r="D9" s="51" t="n">
        <v>3734</v>
      </c>
      <c r="E9" s="51" t="n">
        <v>3992</v>
      </c>
      <c r="F9" s="126" t="n">
        <v>4242</v>
      </c>
      <c r="G9" s="126" t="n">
        <v>4390</v>
      </c>
      <c r="H9" s="126" t="n">
        <v>4533</v>
      </c>
      <c r="I9" s="126" t="n">
        <v>4672</v>
      </c>
    </row>
    <row r="10" ht="14.25" customHeight="1">
      <c r="A10" t="inlineStr">
        <is>
          <t>TTL</t>
        </is>
      </c>
      <c r="C10" s="10">
        <f>C9</f>
        <v/>
      </c>
      <c r="D10" s="10">
        <f>D9</f>
        <v/>
      </c>
      <c r="E10" s="10">
        <f>E9</f>
        <v/>
      </c>
      <c r="F10" s="127">
        <f>F9</f>
        <v/>
      </c>
      <c r="G10" s="127">
        <f>G9</f>
        <v/>
      </c>
      <c r="H10" s="127">
        <f>H9</f>
        <v/>
      </c>
      <c r="I10" s="127">
        <f>I9</f>
        <v/>
      </c>
    </row>
    <row r="11" ht="14.25" customHeight="1">
      <c r="A11" s="2" t="inlineStr">
        <is>
          <t>Source: UIO v19 '1.UIO Overview' row 75, LCV — CY2024 / CY2025E / CY2026F mapped to FY25 / FY26 / FY27 (UIO shifted one column right).</t>
        </is>
      </c>
    </row>
    <row r="13" ht="14.25" customHeight="1">
      <c r="A13" s="31" t="inlineStr">
        <is>
          <t>Parts Sales / Unit (EUR)</t>
        </is>
      </c>
      <c r="B13" t="inlineStr">
        <is>
          <t>FY26 base</t>
        </is>
      </c>
      <c r="C13" s="52" t="n"/>
      <c r="D13" s="52" t="inlineStr">
        <is>
          <t>FY26</t>
        </is>
      </c>
      <c r="E13" s="52" t="inlineStr">
        <is>
          <t>FY27 (+5%)</t>
        </is>
      </c>
      <c r="F13" s="52" t="inlineStr">
        <is>
          <t>FY28 (+price)</t>
        </is>
      </c>
      <c r="G13" s="52" t="inlineStr">
        <is>
          <t>FY29 (+price)</t>
        </is>
      </c>
      <c r="H13" s="52" t="inlineStr">
        <is>
          <t>FY30 (+price)</t>
        </is>
      </c>
      <c r="I13" s="52" t="inlineStr">
        <is>
          <t>FY31 (+price)</t>
        </is>
      </c>
    </row>
    <row r="14" ht="14.25" customHeight="1">
      <c r="A14" t="inlineStr">
        <is>
          <t>ISZE-net EUR/unit (= DB cost)</t>
        </is>
      </c>
      <c r="B14" s="128" t="n">
        <v>250</v>
      </c>
      <c r="C14" s="129" t="n"/>
      <c r="D14" s="129">
        <f>B14</f>
        <v/>
      </c>
      <c r="E14" s="130">
        <f>D14*1.05</f>
        <v/>
      </c>
      <c r="F14" s="131">
        <f>E14*(1+'Dashboard (2)'!$T$1)</f>
        <v/>
      </c>
      <c r="G14" s="131">
        <f>F14*(1+'Dashboard (2)'!$T$1)</f>
        <v/>
      </c>
      <c r="H14" s="131">
        <f>G14*(1+'Dashboard (2)'!$T$1)</f>
        <v/>
      </c>
      <c r="I14" s="131">
        <f>H14*(1+'Dashboard (2)'!$T$1)</f>
        <v/>
      </c>
    </row>
    <row r="15" ht="14.25" customHeight="1">
      <c r="A15" s="2" t="inlineStr">
        <is>
          <t>LCV rate: EUR 250 ISZE-net FY26 base (same rate as the fleet study), +5% FY27 = 262.50, then + price input per year. Replaces MH chain 291.2 x 1.16 x 0.65 = 219.56 (FX and margin applied twice).</t>
        </is>
      </c>
    </row>
    <row r="17" ht="14.25" customHeight="1">
      <c r="A17" s="31" t="inlineStr">
        <is>
          <t>ISZE -&gt; HUNGARY wholesale (ISZE-net EUR)  &lt;&lt;  EXTENDED TARGET IS SET HERE</t>
        </is>
      </c>
    </row>
    <row r="18" ht="26.25" customHeight="1">
      <c r="C18" s="4" t="inlineStr">
        <is>
          <t>FY25 (Apr'24-Mar'25)</t>
        </is>
      </c>
      <c r="D18" s="4" t="inlineStr">
        <is>
          <t>FY26 (Apr'25-Mar'26)</t>
        </is>
      </c>
      <c r="E18" s="4" t="inlineStr">
        <is>
          <t>FY27 (Apr'26-Mar'27)</t>
        </is>
      </c>
      <c r="F18" s="4" t="inlineStr">
        <is>
          <t>FY28</t>
        </is>
      </c>
      <c r="G18" s="4" t="inlineStr">
        <is>
          <t>FY29</t>
        </is>
      </c>
      <c r="H18" s="4" t="inlineStr">
        <is>
          <t>FY30</t>
        </is>
      </c>
      <c r="I18" s="4" t="inlineStr">
        <is>
          <t>FY31</t>
        </is>
      </c>
    </row>
    <row r="19" ht="14.25" customHeight="1">
      <c r="A19" t="inlineStr">
        <is>
          <t>Max spend / potential (= UIO x ISZE-net rate)</t>
        </is>
      </c>
      <c r="C19" s="10">
        <f>C9*$D$14</f>
        <v/>
      </c>
      <c r="D19" s="10">
        <f>D9*$D$14</f>
        <v/>
      </c>
      <c r="E19" s="10">
        <f>E9*$E$14</f>
        <v/>
      </c>
      <c r="F19" s="127">
        <f>F9*F14</f>
        <v/>
      </c>
      <c r="G19" s="127">
        <f>G9*G14</f>
        <v/>
      </c>
      <c r="H19" s="127">
        <f>H9*H14</f>
        <v/>
      </c>
      <c r="I19" s="127">
        <f>I9*I14</f>
        <v/>
      </c>
    </row>
    <row r="20" ht="14.25" customHeight="1">
      <c r="A20" t="inlineStr">
        <is>
          <t>Actual (ISZE billing) · FY27 = BP target</t>
        </is>
      </c>
      <c r="C20" s="56" t="n">
        <v>365817.37</v>
      </c>
      <c r="D20" s="56" t="n">
        <v>346246.24</v>
      </c>
      <c r="E20" s="56" t="n">
        <v>349600</v>
      </c>
      <c r="F20" s="2" t="n"/>
    </row>
    <row r="21" ht="14.25" customHeight="1">
      <c r="A21" t="inlineStr">
        <is>
          <t>Share (GPS, ISZE level)</t>
        </is>
      </c>
      <c r="C21" s="120">
        <f>C20/C19</f>
        <v/>
      </c>
      <c r="D21" s="120">
        <f>D20/D19</f>
        <v/>
      </c>
      <c r="E21" s="120">
        <f>E20/E19</f>
        <v/>
      </c>
    </row>
    <row r="22" ht="14.25" customHeight="1">
      <c r="A22" t="inlineStr">
        <is>
          <t>Stretch (%) = global input, capped at ceiling</t>
        </is>
      </c>
      <c r="C22" s="132" t="n">
        <v>0</v>
      </c>
      <c r="D22" s="132" t="n">
        <v>0</v>
      </c>
      <c r="E22" s="132">
        <f>MAX(0,MIN('Dashboard (2)'!$N$1,'Dashboard (2)'!$Q$1-E21))</f>
        <v/>
      </c>
    </row>
    <row r="23" ht="14.25" customHeight="1">
      <c r="A23" t="inlineStr">
        <is>
          <t>Stretch amount (= max spend x stretch%)</t>
        </is>
      </c>
      <c r="C23" s="10">
        <f>C19*C22</f>
        <v/>
      </c>
      <c r="D23" s="10">
        <f>D19*D22</f>
        <v/>
      </c>
      <c r="E23" s="30">
        <f>E19*E22</f>
        <v/>
      </c>
    </row>
    <row r="24" ht="14.25" customHeight="1">
      <c r="A24" s="9" t="inlineStr">
        <is>
          <t>TTL amount (= actual + stretch)  &lt;&lt;  EXTENDED TARGET</t>
        </is>
      </c>
      <c r="C24" s="13">
        <f>C20+C23</f>
        <v/>
      </c>
      <c r="D24" s="13">
        <f>D20+D23</f>
        <v/>
      </c>
      <c r="E24" s="22">
        <f>E20+E23</f>
        <v/>
      </c>
    </row>
    <row r="25" ht="14.25" customHeight="1">
      <c r="A25" t="inlineStr">
        <is>
          <t>Share (new)</t>
        </is>
      </c>
      <c r="C25" s="117">
        <f>C24/C19</f>
        <v/>
      </c>
      <c r="D25" s="117">
        <f>D24/D19</f>
        <v/>
      </c>
      <c r="E25" s="117">
        <f>E24/E19</f>
        <v/>
      </c>
    </row>
    <row r="26" ht="14.25" customHeight="1">
      <c r="A26" s="2" t="inlineStr">
        <is>
          <t>Source: 00_derived/gps_billing_fy_ALLCUSTOMERS.csv canonical 'AutoWallis' (net_gps, GPS-audited, FY-aligned, lubricants included).</t>
        </is>
      </c>
    </row>
    <row r="27">
      <c r="A27" s="108" t="inlineStr">
        <is>
          <t>FY28-FY31 max spend (row 19, cols F:I) feeds Dashboard (2). FY27 actual cell E20 = BP reviewed 24-04-2026.</t>
        </is>
      </c>
    </row>
    <row r="28" ht="14.25" customHeight="1">
      <c r="A28" s="58" t="inlineStr">
        <is>
          <t>HUNGARY -&gt; DEALER level (DB-&gt;DLR) — MH method (35% DB margin gross-up)</t>
        </is>
      </c>
    </row>
    <row r="29" ht="26.25" customHeight="1">
      <c r="C29" s="4" t="inlineStr">
        <is>
          <t>FY25 (Apr'24-Mar'25)</t>
        </is>
      </c>
      <c r="D29" s="4" t="inlineStr">
        <is>
          <t>FY26 (Apr'25-Mar'26)</t>
        </is>
      </c>
      <c r="E29" s="4" t="inlineStr">
        <is>
          <t>FY27 (Apr'26-Mar'27)</t>
        </is>
      </c>
    </row>
    <row r="30" ht="14.25" customHeight="1">
      <c r="A30" t="inlineStr">
        <is>
          <t>Parts Sales DB-to-DLR (actual) · KPI Master File june 2026.xlsx</t>
        </is>
      </c>
      <c r="C30" s="56" t="n">
        <v>934209</v>
      </c>
      <c r="D30" s="56" t="n">
        <v>871455</v>
      </c>
      <c r="F30" s="2" t="inlineStr">
        <is>
          <t>FY25 12/12 mo · FY26 12/12 mo</t>
        </is>
      </c>
    </row>
    <row r="31" ht="14.25" customHeight="1">
      <c r="A31" t="inlineStr">
        <is>
          <t>DB margin % (MH assumption — same as testcase B15)</t>
        </is>
      </c>
      <c r="B31" s="133" t="n">
        <v>0.35</v>
      </c>
      <c r="C31" s="134" t="n"/>
      <c r="D31" s="134" t="n"/>
    </row>
    <row r="32" ht="14.25" customHeight="1">
      <c r="A32" t="inlineStr">
        <is>
          <t>Stretch amount at dealer (= ISZE stretch / (1 − margin))  ·  MH E29</t>
        </is>
      </c>
      <c r="E32" s="61">
        <f>-E23/(B31-1)</f>
        <v/>
      </c>
    </row>
    <row r="33" ht="14.25" customHeight="1">
      <c r="A33" s="9" t="inlineStr">
        <is>
          <t>FY27 AMOUNT TO REACH at dealer (= FY26 actual + dealer stretch)</t>
        </is>
      </c>
      <c r="E33" s="62">
        <f>IF(OR(D30="",D30="no KPI data"),"no KPI data",D30+E32)</f>
        <v/>
      </c>
    </row>
    <row r="34" ht="42" customHeight="1">
      <c r="A34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37" ht="14.25" customHeight="1">
      <c r="A37" s="31" t="inlineStr">
        <is>
          <t>GAPS / open items</t>
        </is>
      </c>
    </row>
    <row r="38" ht="33.75" customHeight="1">
      <c r="A38" s="14" t="inlineStr">
        <is>
          <t>1. LCV rate: MH's 291.2 chain ends at 219.5648. The identical GBP400 under the v9 CV convention ends at 296. Same source, two conventions — carried as instructed.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FINLAND — GPS Extended Target FY2027 · Nordic Automotive trading oy.   [LCV only]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FINLAND UIO (LCV)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LCV</t>
        </is>
      </c>
      <c r="C9" s="51" t="n">
        <v>1259</v>
      </c>
      <c r="D9" s="51" t="n">
        <v>1204</v>
      </c>
      <c r="E9" s="51" t="n">
        <v>1308</v>
      </c>
      <c r="F9" s="126" t="n">
        <v>1409</v>
      </c>
      <c r="G9" s="126" t="n">
        <v>1522</v>
      </c>
      <c r="H9" s="126" t="n">
        <v>1631</v>
      </c>
      <c r="I9" s="126" t="n">
        <v>1737</v>
      </c>
    </row>
    <row r="10" ht="14.25" customHeight="1">
      <c r="A10" t="inlineStr">
        <is>
          <t>TTL</t>
        </is>
      </c>
      <c r="C10" s="10">
        <f>C9</f>
        <v/>
      </c>
      <c r="D10" s="10">
        <f>D9</f>
        <v/>
      </c>
      <c r="E10" s="10">
        <f>E9</f>
        <v/>
      </c>
      <c r="F10" s="127">
        <f>F9</f>
        <v/>
      </c>
      <c r="G10" s="127">
        <f>G9</f>
        <v/>
      </c>
      <c r="H10" s="127">
        <f>H9</f>
        <v/>
      </c>
      <c r="I10" s="127">
        <f>I9</f>
        <v/>
      </c>
    </row>
    <row r="11" ht="14.25" customHeight="1">
      <c r="A11" s="2" t="inlineStr">
        <is>
          <t>Source: UIO v19 '1.UIO Overview' row 66, LCV — CY2024 / CY2025E / CY2026F mapped to FY25 / FY26 / FY27 (UIO shifted one column right).</t>
        </is>
      </c>
    </row>
    <row r="13" ht="14.25" customHeight="1">
      <c r="A13" s="31" t="inlineStr">
        <is>
          <t>Parts Sales / Unit (EUR)</t>
        </is>
      </c>
      <c r="B13" t="inlineStr">
        <is>
          <t>FY26 base</t>
        </is>
      </c>
      <c r="C13" s="52" t="n"/>
      <c r="D13" s="52" t="inlineStr">
        <is>
          <t>FY26</t>
        </is>
      </c>
      <c r="E13" s="52" t="inlineStr">
        <is>
          <t>FY27 (+5%)</t>
        </is>
      </c>
      <c r="F13" s="52" t="inlineStr">
        <is>
          <t>FY28 (+price)</t>
        </is>
      </c>
      <c r="G13" s="52" t="inlineStr">
        <is>
          <t>FY29 (+price)</t>
        </is>
      </c>
      <c r="H13" s="52" t="inlineStr">
        <is>
          <t>FY30 (+price)</t>
        </is>
      </c>
      <c r="I13" s="52" t="inlineStr">
        <is>
          <t>FY31 (+price)</t>
        </is>
      </c>
    </row>
    <row r="14" ht="14.25" customHeight="1">
      <c r="A14" t="inlineStr">
        <is>
          <t>ISZE-net EUR/unit (= DB cost)</t>
        </is>
      </c>
      <c r="B14" s="128" t="n">
        <v>250</v>
      </c>
      <c r="C14" s="129" t="n"/>
      <c r="D14" s="129">
        <f>B14</f>
        <v/>
      </c>
      <c r="E14" s="130">
        <f>D14*1.05</f>
        <v/>
      </c>
      <c r="F14" s="131">
        <f>E14*(1+'Dashboard (2)'!$T$1)</f>
        <v/>
      </c>
      <c r="G14" s="131">
        <f>F14*(1+'Dashboard (2)'!$T$1)</f>
        <v/>
      </c>
      <c r="H14" s="131">
        <f>G14*(1+'Dashboard (2)'!$T$1)</f>
        <v/>
      </c>
      <c r="I14" s="131">
        <f>H14*(1+'Dashboard (2)'!$T$1)</f>
        <v/>
      </c>
    </row>
    <row r="15" ht="14.25" customHeight="1">
      <c r="A15" s="2" t="inlineStr">
        <is>
          <t>LCV rate: EUR 250 ISZE-net FY26 base (same rate as the fleet study), +5% FY27 = 262.50, then + price input per year. Replaces MH chain 291.2 x 1.16 x 0.65 = 219.56 (FX and margin applied twice).</t>
        </is>
      </c>
    </row>
    <row r="17" ht="14.25" customHeight="1">
      <c r="A17" s="31" t="inlineStr">
        <is>
          <t>ISZE -&gt; FINLAND wholesale (ISZE-net EUR)  &lt;&lt;  EXTENDED TARGET IS SET HERE</t>
        </is>
      </c>
    </row>
    <row r="18" ht="26.25" customHeight="1">
      <c r="C18" s="4" t="inlineStr">
        <is>
          <t>FY25 (Apr'24-Mar'25)</t>
        </is>
      </c>
      <c r="D18" s="4" t="inlineStr">
        <is>
          <t>FY26 (Apr'25-Mar'26)</t>
        </is>
      </c>
      <c r="E18" s="4" t="inlineStr">
        <is>
          <t>FY27 (Apr'26-Mar'27)</t>
        </is>
      </c>
      <c r="F18" s="4" t="inlineStr">
        <is>
          <t>FY28</t>
        </is>
      </c>
      <c r="G18" s="4" t="inlineStr">
        <is>
          <t>FY29</t>
        </is>
      </c>
      <c r="H18" s="4" t="inlineStr">
        <is>
          <t>FY30</t>
        </is>
      </c>
      <c r="I18" s="4" t="inlineStr">
        <is>
          <t>FY31</t>
        </is>
      </c>
    </row>
    <row r="19" ht="14.25" customHeight="1">
      <c r="A19" t="inlineStr">
        <is>
          <t>Max spend / potential (= UIO x ISZE-net rate)</t>
        </is>
      </c>
      <c r="C19" s="10">
        <f>C9*$D$14</f>
        <v/>
      </c>
      <c r="D19" s="10">
        <f>D9*$D$14</f>
        <v/>
      </c>
      <c r="E19" s="10">
        <f>E9*$E$14</f>
        <v/>
      </c>
      <c r="F19" s="127">
        <f>F9*F14</f>
        <v/>
      </c>
      <c r="G19" s="127">
        <f>G9*G14</f>
        <v/>
      </c>
      <c r="H19" s="127">
        <f>H9*H14</f>
        <v/>
      </c>
      <c r="I19" s="127">
        <f>I9*I14</f>
        <v/>
      </c>
    </row>
    <row r="20" ht="14.25" customHeight="1">
      <c r="A20" t="inlineStr">
        <is>
          <t>Actual (ISZE billing) · FY27 = BP target</t>
        </is>
      </c>
      <c r="C20" s="56" t="n">
        <v>266204.48</v>
      </c>
      <c r="D20" s="56" t="n">
        <v>279383.25</v>
      </c>
      <c r="E20" s="56" t="n">
        <v>360300</v>
      </c>
      <c r="F20" s="2" t="n"/>
    </row>
    <row r="21" ht="14.25" customHeight="1">
      <c r="A21" t="inlineStr">
        <is>
          <t>Share (GPS, ISZE level)</t>
        </is>
      </c>
      <c r="C21" s="120">
        <f>C20/C19</f>
        <v/>
      </c>
      <c r="D21" s="120">
        <f>D20/D19</f>
        <v/>
      </c>
      <c r="E21" s="120">
        <f>E20/E19</f>
        <v/>
      </c>
    </row>
    <row r="22" ht="14.25" customHeight="1">
      <c r="A22" t="inlineStr">
        <is>
          <t>Stretch (%) = global input, capped at ceiling</t>
        </is>
      </c>
      <c r="C22" s="132" t="n">
        <v>0</v>
      </c>
      <c r="D22" s="132" t="n">
        <v>0</v>
      </c>
      <c r="E22" s="132">
        <f>MAX(0,MIN('Dashboard (2)'!$N$1,'Dashboard (2)'!$Q$1-E21))</f>
        <v/>
      </c>
    </row>
    <row r="23" ht="14.25" customHeight="1">
      <c r="A23" t="inlineStr">
        <is>
          <t>Stretch amount (= max spend x stretch%)</t>
        </is>
      </c>
      <c r="C23" s="10">
        <f>C19*C22</f>
        <v/>
      </c>
      <c r="D23" s="10">
        <f>D19*D22</f>
        <v/>
      </c>
      <c r="E23" s="30">
        <f>E19*E22</f>
        <v/>
      </c>
    </row>
    <row r="24" ht="14.25" customHeight="1">
      <c r="A24" s="9" t="inlineStr">
        <is>
          <t>TTL amount (= actual + stretch)  &lt;&lt;  EXTENDED TARGET</t>
        </is>
      </c>
      <c r="C24" s="13">
        <f>C20+C23</f>
        <v/>
      </c>
      <c r="D24" s="13">
        <f>D20+D23</f>
        <v/>
      </c>
      <c r="E24" s="22">
        <f>E20+E23</f>
        <v/>
      </c>
    </row>
    <row r="25" ht="14.25" customHeight="1">
      <c r="A25" t="inlineStr">
        <is>
          <t>Share (new)</t>
        </is>
      </c>
      <c r="C25" s="117">
        <f>C24/C19</f>
        <v/>
      </c>
      <c r="D25" s="117">
        <f>D24/D19</f>
        <v/>
      </c>
      <c r="E25" s="117">
        <f>E24/E19</f>
        <v/>
      </c>
    </row>
    <row r="26" ht="14.25" customHeight="1">
      <c r="A26" s="2" t="inlineStr">
        <is>
          <t>Source: 00_derived/gps_billing_fy_ALLCUSTOMERS.csv canonical 'Nordic FI' (net_gps, GPS-audited, FY-aligned, lubricants included).</t>
        </is>
      </c>
    </row>
    <row r="27">
      <c r="A27" s="108" t="inlineStr">
        <is>
          <t>FY28-FY31 max spend (row 19, cols F:I) feeds Dashboard (2). FY27 actual cell E20 = BP reviewed 24-04-2026.</t>
        </is>
      </c>
    </row>
    <row r="28" ht="14.25" customHeight="1">
      <c r="A28" s="58" t="inlineStr">
        <is>
          <t>FINLAND -&gt; DEALER level (DB-&gt;DLR) — MH method (35% DB margin gross-up)</t>
        </is>
      </c>
    </row>
    <row r="29" ht="26.25" customHeight="1">
      <c r="C29" s="4" t="inlineStr">
        <is>
          <t>FY25 (Apr'24-Mar'25)</t>
        </is>
      </c>
      <c r="D29" s="4" t="inlineStr">
        <is>
          <t>FY26 (Apr'25-Mar'26)</t>
        </is>
      </c>
      <c r="E29" s="4" t="inlineStr">
        <is>
          <t>FY27 (Apr'26-Mar'27)</t>
        </is>
      </c>
    </row>
    <row r="30" ht="14.25" customHeight="1">
      <c r="A30" t="inlineStr">
        <is>
          <t>Parts Sales DB-to-DLR (actual) · KPI Master File june 2026.xlsx</t>
        </is>
      </c>
      <c r="C30" s="56" t="n">
        <v>576758</v>
      </c>
      <c r="D30" s="56" t="n">
        <v>350854</v>
      </c>
      <c r="F30" s="64" t="inlineStr">
        <is>
          <t>FY25 12/12 mo · FY26 6/12 mo</t>
        </is>
      </c>
    </row>
    <row r="31" ht="14.25" customHeight="1">
      <c r="A31" t="inlineStr">
        <is>
          <t>DB margin % (MH assumption — same as testcase B15)</t>
        </is>
      </c>
      <c r="B31" s="133" t="n">
        <v>0.35</v>
      </c>
      <c r="C31" s="134" t="n"/>
      <c r="D31" s="134" t="n"/>
    </row>
    <row r="32" ht="14.25" customHeight="1">
      <c r="A32" t="inlineStr">
        <is>
          <t>Stretch amount at dealer (= ISZE stretch / (1 − margin))  ·  MH E29</t>
        </is>
      </c>
      <c r="E32" s="61">
        <f>-E23/(B31-1)</f>
        <v/>
      </c>
    </row>
    <row r="33" ht="14.25" customHeight="1">
      <c r="A33" s="9" t="inlineStr">
        <is>
          <t>FY27 AMOUNT TO REACH at dealer (= FY26 actual + dealer stretch)</t>
        </is>
      </c>
      <c r="E33" s="62">
        <f>IF(OR(D30="",D30="no KPI data"),"no KPI data",D30+E32)</f>
        <v/>
      </c>
    </row>
    <row r="34" ht="42" customHeight="1">
      <c r="A34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37" ht="14.25" customHeight="1">
      <c r="A37" s="31" t="inlineStr">
        <is>
          <t>GAPS / open items</t>
        </is>
      </c>
    </row>
    <row r="38" ht="33.75" customHeight="1">
      <c r="A38" s="14" t="inlineStr">
        <is>
          <t>1. LCV rate: MH's 291.2 chain ends at 219.5648. The identical GBP400 under the v9 CV convention ends at 296. Same source, two conventions — carried as instructed.</t>
        </is>
      </c>
    </row>
    <row r="39" ht="22.5" customHeight="1">
      <c r="A39" s="14" t="inlineStr">
        <is>
          <t>2. TARGET EXCEEDS 100% OF THE PARC'S MAX SPEND. Do not quote a GPS % to this DB — discuss the amount, or agree the per-unit rate first.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ROMANIA — GPS Extended Target FY2027 · Isuzu Rom Auto   [LCV only]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ROMANIA UIO (LCV)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LCV</t>
        </is>
      </c>
      <c r="C9" s="51" t="n">
        <v>986</v>
      </c>
      <c r="D9" s="51" t="n">
        <v>1071</v>
      </c>
      <c r="E9" s="51" t="n">
        <v>1209</v>
      </c>
      <c r="F9" s="126" t="n">
        <v>1343</v>
      </c>
      <c r="G9" s="126" t="n">
        <v>1475</v>
      </c>
      <c r="H9" s="126" t="n">
        <v>1603</v>
      </c>
      <c r="I9" s="126" t="n">
        <v>1727</v>
      </c>
    </row>
    <row r="10" ht="14.25" customHeight="1">
      <c r="A10" t="inlineStr">
        <is>
          <t>TTL</t>
        </is>
      </c>
      <c r="C10" s="10">
        <f>C9</f>
        <v/>
      </c>
      <c r="D10" s="10">
        <f>D9</f>
        <v/>
      </c>
      <c r="E10" s="10">
        <f>E9</f>
        <v/>
      </c>
      <c r="F10" s="127">
        <f>F9</f>
        <v/>
      </c>
      <c r="G10" s="127">
        <f>G9</f>
        <v/>
      </c>
      <c r="H10" s="127">
        <f>H9</f>
        <v/>
      </c>
      <c r="I10" s="127">
        <f>I9</f>
        <v/>
      </c>
    </row>
    <row r="11" ht="14.25" customHeight="1">
      <c r="A11" s="2" t="inlineStr">
        <is>
          <t>Source: UIO v19 '1.UIO Overview' row 84, LCV — CY2024 / CY2025E / CY2026F mapped to FY25 / FY26 / FY27 (UIO shifted one column right).</t>
        </is>
      </c>
    </row>
    <row r="13" ht="14.25" customHeight="1">
      <c r="A13" s="31" t="inlineStr">
        <is>
          <t>Parts Sales / Unit (EUR)</t>
        </is>
      </c>
      <c r="B13" t="inlineStr">
        <is>
          <t>FY26 base</t>
        </is>
      </c>
      <c r="C13" s="52" t="n"/>
      <c r="D13" s="52" t="inlineStr">
        <is>
          <t>FY26</t>
        </is>
      </c>
      <c r="E13" s="52" t="inlineStr">
        <is>
          <t>FY27 (+5%)</t>
        </is>
      </c>
      <c r="F13" s="52" t="inlineStr">
        <is>
          <t>FY28 (+price)</t>
        </is>
      </c>
      <c r="G13" s="52" t="inlineStr">
        <is>
          <t>FY29 (+price)</t>
        </is>
      </c>
      <c r="H13" s="52" t="inlineStr">
        <is>
          <t>FY30 (+price)</t>
        </is>
      </c>
      <c r="I13" s="52" t="inlineStr">
        <is>
          <t>FY31 (+price)</t>
        </is>
      </c>
    </row>
    <row r="14" ht="14.25" customHeight="1">
      <c r="A14" t="inlineStr">
        <is>
          <t>ISZE-net EUR/unit (= DB cost)</t>
        </is>
      </c>
      <c r="B14" s="128" t="n">
        <v>250</v>
      </c>
      <c r="C14" s="129" t="n"/>
      <c r="D14" s="129">
        <f>B14</f>
        <v/>
      </c>
      <c r="E14" s="130">
        <f>D14*1.05</f>
        <v/>
      </c>
      <c r="F14" s="131">
        <f>E14*(1+'Dashboard (2)'!$T$1)</f>
        <v/>
      </c>
      <c r="G14" s="131">
        <f>F14*(1+'Dashboard (2)'!$T$1)</f>
        <v/>
      </c>
      <c r="H14" s="131">
        <f>G14*(1+'Dashboard (2)'!$T$1)</f>
        <v/>
      </c>
      <c r="I14" s="131">
        <f>H14*(1+'Dashboard (2)'!$T$1)</f>
        <v/>
      </c>
    </row>
    <row r="15" ht="14.25" customHeight="1">
      <c r="A15" s="2" t="inlineStr">
        <is>
          <t>LCV rate: EUR 250 ISZE-net FY26 base (same rate as the fleet study), +5% FY27 = 262.50, then + price input per year. Replaces MH chain 291.2 x 1.16 x 0.65 = 219.56 (FX and margin applied twice).</t>
        </is>
      </c>
    </row>
    <row r="17" ht="14.25" customHeight="1">
      <c r="A17" s="31" t="inlineStr">
        <is>
          <t>ISZE -&gt; ROMANIA wholesale (ISZE-net EUR)  &lt;&lt;  EXTENDED TARGET IS SET HERE</t>
        </is>
      </c>
    </row>
    <row r="18" ht="26.25" customHeight="1">
      <c r="C18" s="4" t="inlineStr">
        <is>
          <t>FY25 (Apr'24-Mar'25)</t>
        </is>
      </c>
      <c r="D18" s="4" t="inlineStr">
        <is>
          <t>FY26 (Apr'25-Mar'26)</t>
        </is>
      </c>
      <c r="E18" s="4" t="inlineStr">
        <is>
          <t>FY27 (Apr'26-Mar'27)</t>
        </is>
      </c>
      <c r="F18" s="4" t="inlineStr">
        <is>
          <t>FY28</t>
        </is>
      </c>
      <c r="G18" s="4" t="inlineStr">
        <is>
          <t>FY29</t>
        </is>
      </c>
      <c r="H18" s="4" t="inlineStr">
        <is>
          <t>FY30</t>
        </is>
      </c>
      <c r="I18" s="4" t="inlineStr">
        <is>
          <t>FY31</t>
        </is>
      </c>
    </row>
    <row r="19" ht="14.25" customHeight="1">
      <c r="A19" t="inlineStr">
        <is>
          <t>Max spend / potential (= UIO x ISZE-net rate)</t>
        </is>
      </c>
      <c r="C19" s="10">
        <f>C9*$D$14</f>
        <v/>
      </c>
      <c r="D19" s="10">
        <f>D9*$D$14</f>
        <v/>
      </c>
      <c r="E19" s="10">
        <f>E9*$E$14</f>
        <v/>
      </c>
      <c r="F19" s="127">
        <f>F9*F14</f>
        <v/>
      </c>
      <c r="G19" s="127">
        <f>G9*G14</f>
        <v/>
      </c>
      <c r="H19" s="127">
        <f>H9*H14</f>
        <v/>
      </c>
      <c r="I19" s="127">
        <f>I9*I14</f>
        <v/>
      </c>
    </row>
    <row r="20" ht="14.25" customHeight="1">
      <c r="A20" t="inlineStr">
        <is>
          <t>Actual (ISZE billing) · FY27 = BP target</t>
        </is>
      </c>
      <c r="C20" s="56" t="n">
        <v>151600.22</v>
      </c>
      <c r="D20" s="56" t="n">
        <v>177897.87</v>
      </c>
      <c r="E20" s="56" t="n">
        <v>199587.57</v>
      </c>
      <c r="F20" s="2" t="n"/>
    </row>
    <row r="21" ht="14.25" customHeight="1">
      <c r="A21" t="inlineStr">
        <is>
          <t>Share (GPS, ISZE level)</t>
        </is>
      </c>
      <c r="C21" s="120">
        <f>C20/C19</f>
        <v/>
      </c>
      <c r="D21" s="120">
        <f>D20/D19</f>
        <v/>
      </c>
      <c r="E21" s="120">
        <f>E20/E19</f>
        <v/>
      </c>
    </row>
    <row r="22" ht="14.25" customHeight="1">
      <c r="A22" t="inlineStr">
        <is>
          <t>Stretch (%) = global input, capped at ceiling</t>
        </is>
      </c>
      <c r="C22" s="132" t="n">
        <v>0</v>
      </c>
      <c r="D22" s="132" t="n">
        <v>0</v>
      </c>
      <c r="E22" s="132">
        <f>MAX(0,MIN('Dashboard (2)'!$N$1,'Dashboard (2)'!$Q$1-E21))</f>
        <v/>
      </c>
    </row>
    <row r="23" ht="14.25" customHeight="1">
      <c r="A23" t="inlineStr">
        <is>
          <t>Stretch amount (= max spend x stretch%)</t>
        </is>
      </c>
      <c r="C23" s="10">
        <f>C19*C22</f>
        <v/>
      </c>
      <c r="D23" s="10">
        <f>D19*D22</f>
        <v/>
      </c>
      <c r="E23" s="30">
        <f>E19*E22</f>
        <v/>
      </c>
    </row>
    <row r="24" ht="14.25" customHeight="1">
      <c r="A24" s="9" t="inlineStr">
        <is>
          <t>TTL amount (= actual + stretch)  &lt;&lt;  EXTENDED TARGET</t>
        </is>
      </c>
      <c r="C24" s="13">
        <f>C20+C23</f>
        <v/>
      </c>
      <c r="D24" s="13">
        <f>D20+D23</f>
        <v/>
      </c>
      <c r="E24" s="22">
        <f>E20+E23</f>
        <v/>
      </c>
    </row>
    <row r="25" ht="14.25" customHeight="1">
      <c r="A25" t="inlineStr">
        <is>
          <t>Share (new)</t>
        </is>
      </c>
      <c r="C25" s="117">
        <f>C24/C19</f>
        <v/>
      </c>
      <c r="D25" s="117">
        <f>D24/D19</f>
        <v/>
      </c>
      <c r="E25" s="117">
        <f>E24/E19</f>
        <v/>
      </c>
    </row>
    <row r="26" ht="14.25" customHeight="1">
      <c r="A26" s="2" t="inlineStr">
        <is>
          <t>Source: 00_derived/gps_billing_fy_ALLCUSTOMERS.csv canonical 'ROM Auto' (net_gps, GPS-audited, FY-aligned, lubricants included).</t>
        </is>
      </c>
    </row>
    <row r="27">
      <c r="A27" s="108" t="inlineStr">
        <is>
          <t>FY28-FY31 max spend (row 19, cols F:I) feeds Dashboard (2). FY27 actual cell E20 = BP reviewed 24-04-2026.</t>
        </is>
      </c>
    </row>
    <row r="28" ht="14.25" customHeight="1">
      <c r="A28" s="58" t="inlineStr">
        <is>
          <t>ROMANIA -&gt; DEALER level (DB-&gt;DLR) — MH method (35% DB margin gross-up)</t>
        </is>
      </c>
    </row>
    <row r="29" ht="26.25" customHeight="1">
      <c r="C29" s="4" t="inlineStr">
        <is>
          <t>FY25 (Apr'24-Mar'25)</t>
        </is>
      </c>
      <c r="D29" s="4" t="inlineStr">
        <is>
          <t>FY26 (Apr'25-Mar'26)</t>
        </is>
      </c>
      <c r="E29" s="4" t="inlineStr">
        <is>
          <t>FY27 (Apr'26-Mar'27)</t>
        </is>
      </c>
    </row>
    <row r="30" ht="14.25" customHeight="1">
      <c r="A30" t="inlineStr">
        <is>
          <t>Parts Sales DB-to-DLR (actual) · KPI Master File june 2026.xlsx</t>
        </is>
      </c>
      <c r="C30" s="56" t="n">
        <v>382258</v>
      </c>
      <c r="D30" s="56" t="n">
        <v>394596.629253138</v>
      </c>
      <c r="F30" s="2" t="inlineStr">
        <is>
          <t>FY25 12/12 mo · FY26 12/12 mo</t>
        </is>
      </c>
    </row>
    <row r="31" ht="14.25" customHeight="1">
      <c r="A31" t="inlineStr">
        <is>
          <t>DB margin % (MH assumption — same as testcase B15)</t>
        </is>
      </c>
      <c r="B31" s="133" t="n">
        <v>0.35</v>
      </c>
      <c r="C31" s="134" t="n"/>
      <c r="D31" s="134" t="n"/>
    </row>
    <row r="32" ht="14.25" customHeight="1">
      <c r="A32" t="inlineStr">
        <is>
          <t>Stretch amount at dealer (= ISZE stretch / (1 − margin))  ·  MH E29</t>
        </is>
      </c>
      <c r="E32" s="61">
        <f>-E23/(B31-1)</f>
        <v/>
      </c>
    </row>
    <row r="33" ht="14.25" customHeight="1">
      <c r="A33" s="9" t="inlineStr">
        <is>
          <t>FY27 AMOUNT TO REACH at dealer (= FY26 actual + dealer stretch)</t>
        </is>
      </c>
      <c r="E33" s="62">
        <f>IF(OR(D30="",D30="no KPI data"),"no KPI data",D30+E32)</f>
        <v/>
      </c>
    </row>
    <row r="34" ht="42" customHeight="1">
      <c r="A34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37" ht="14.25" customHeight="1">
      <c r="A37" s="31" t="inlineStr">
        <is>
          <t>GAPS / open items</t>
        </is>
      </c>
    </row>
    <row r="38" ht="33.75" customHeight="1">
      <c r="A38" s="14" t="inlineStr">
        <is>
          <t>1. LCV rate: MH's 291.2 chain ends at 219.5648. The identical GBP400 under the v9 CV convention ends at 296. Same source, two conventions — carried as instructed.</t>
        </is>
      </c>
    </row>
    <row r="39" ht="22.5" customHeight="1">
      <c r="A39" s="14" t="inlineStr">
        <is>
          <t>2. Absent from distributor_master_mapping.csv — mapping gap. LCV-only per v9 and the UIO row.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DENMARK — GPS Extended Target FY2027 · ISUZU DANMARK A/S   [LCV only]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DENMARK UIO (LCV)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LCV</t>
        </is>
      </c>
      <c r="C9" s="51" t="n">
        <v>829</v>
      </c>
      <c r="D9" s="51" t="n">
        <v>850</v>
      </c>
      <c r="E9" s="51" t="n">
        <v>944</v>
      </c>
      <c r="F9" s="126" t="n">
        <v>1036</v>
      </c>
      <c r="G9" s="126" t="n">
        <v>1140</v>
      </c>
      <c r="H9" s="126" t="n">
        <v>1241</v>
      </c>
      <c r="I9" s="126" t="n">
        <v>1339</v>
      </c>
    </row>
    <row r="10" ht="14.25" customHeight="1">
      <c r="A10" t="inlineStr">
        <is>
          <t>TTL</t>
        </is>
      </c>
      <c r="C10" s="10">
        <f>C9</f>
        <v/>
      </c>
      <c r="D10" s="10">
        <f>D9</f>
        <v/>
      </c>
      <c r="E10" s="10">
        <f>E9</f>
        <v/>
      </c>
      <c r="F10" s="127">
        <f>F9</f>
        <v/>
      </c>
      <c r="G10" s="127">
        <f>G9</f>
        <v/>
      </c>
      <c r="H10" s="127">
        <f>H9</f>
        <v/>
      </c>
      <c r="I10" s="127">
        <f>I9</f>
        <v/>
      </c>
    </row>
    <row r="11" ht="14.25" customHeight="1">
      <c r="A11" s="2" t="inlineStr">
        <is>
          <t>Source: UIO v19 '1.UIO Overview' row 21, LCV — CY2024 / CY2025E / CY2026F mapped to FY25 / FY26 / FY27 (UIO shifted one column right).</t>
        </is>
      </c>
    </row>
    <row r="13" ht="14.25" customHeight="1">
      <c r="A13" s="31" t="inlineStr">
        <is>
          <t>Parts Sales / Unit (EUR)</t>
        </is>
      </c>
      <c r="B13" t="inlineStr">
        <is>
          <t>FY26 base</t>
        </is>
      </c>
      <c r="C13" s="52" t="n"/>
      <c r="D13" s="52" t="inlineStr">
        <is>
          <t>FY26</t>
        </is>
      </c>
      <c r="E13" s="52" t="inlineStr">
        <is>
          <t>FY27 (+5%)</t>
        </is>
      </c>
      <c r="F13" s="52" t="inlineStr">
        <is>
          <t>FY28 (+price)</t>
        </is>
      </c>
      <c r="G13" s="52" t="inlineStr">
        <is>
          <t>FY29 (+price)</t>
        </is>
      </c>
      <c r="H13" s="52" t="inlineStr">
        <is>
          <t>FY30 (+price)</t>
        </is>
      </c>
      <c r="I13" s="52" t="inlineStr">
        <is>
          <t>FY31 (+price)</t>
        </is>
      </c>
    </row>
    <row r="14" ht="14.25" customHeight="1">
      <c r="A14" t="inlineStr">
        <is>
          <t>ISZE-net EUR/unit (= DB cost)</t>
        </is>
      </c>
      <c r="B14" s="128" t="n">
        <v>250</v>
      </c>
      <c r="C14" s="129" t="n"/>
      <c r="D14" s="129">
        <f>B14</f>
        <v/>
      </c>
      <c r="E14" s="130">
        <f>D14*1.05</f>
        <v/>
      </c>
      <c r="F14" s="131">
        <f>E14*(1+'Dashboard (2)'!$T$1)</f>
        <v/>
      </c>
      <c r="G14" s="131">
        <f>F14*(1+'Dashboard (2)'!$T$1)</f>
        <v/>
      </c>
      <c r="H14" s="131">
        <f>G14*(1+'Dashboard (2)'!$T$1)</f>
        <v/>
      </c>
      <c r="I14" s="131">
        <f>H14*(1+'Dashboard (2)'!$T$1)</f>
        <v/>
      </c>
    </row>
    <row r="15" ht="14.25" customHeight="1">
      <c r="A15" s="2" t="inlineStr">
        <is>
          <t>LCV rate: EUR 250 ISZE-net FY26 base (same rate as the fleet study), +5% FY27 = 262.50, then + price input per year. Replaces MH chain 291.2 x 1.16 x 0.65 = 219.56 (FX and margin applied twice).</t>
        </is>
      </c>
    </row>
    <row r="17" ht="14.25" customHeight="1">
      <c r="A17" s="31" t="inlineStr">
        <is>
          <t>ISZE -&gt; DENMARK wholesale (ISZE-net EUR)  &lt;&lt;  EXTENDED TARGET IS SET HERE</t>
        </is>
      </c>
    </row>
    <row r="18" ht="26.25" customHeight="1">
      <c r="C18" s="4" t="inlineStr">
        <is>
          <t>FY25 (Apr'24-Mar'25)</t>
        </is>
      </c>
      <c r="D18" s="4" t="inlineStr">
        <is>
          <t>FY26 (Apr'25-Mar'26)</t>
        </is>
      </c>
      <c r="E18" s="4" t="inlineStr">
        <is>
          <t>FY27 (Apr'26-Mar'27)</t>
        </is>
      </c>
      <c r="F18" s="4" t="inlineStr">
        <is>
          <t>FY28</t>
        </is>
      </c>
      <c r="G18" s="4" t="inlineStr">
        <is>
          <t>FY29</t>
        </is>
      </c>
      <c r="H18" s="4" t="inlineStr">
        <is>
          <t>FY30</t>
        </is>
      </c>
      <c r="I18" s="4" t="inlineStr">
        <is>
          <t>FY31</t>
        </is>
      </c>
    </row>
    <row r="19" ht="14.25" customHeight="1">
      <c r="A19" t="inlineStr">
        <is>
          <t>Max spend / potential (= UIO x ISZE-net rate)</t>
        </is>
      </c>
      <c r="C19" s="10">
        <f>C9*$D$14</f>
        <v/>
      </c>
      <c r="D19" s="10">
        <f>D9*$D$14</f>
        <v/>
      </c>
      <c r="E19" s="10">
        <f>E9*$E$14</f>
        <v/>
      </c>
      <c r="F19" s="127">
        <f>F9*F14</f>
        <v/>
      </c>
      <c r="G19" s="127">
        <f>G9*G14</f>
        <v/>
      </c>
      <c r="H19" s="127">
        <f>H9*H14</f>
        <v/>
      </c>
      <c r="I19" s="127">
        <f>I9*I14</f>
        <v/>
      </c>
    </row>
    <row r="20" ht="14.25" customHeight="1">
      <c r="A20" t="inlineStr">
        <is>
          <t>Actual (ISZE billing) · FY27 = BP target</t>
        </is>
      </c>
      <c r="C20" s="56" t="n">
        <v>122628.72</v>
      </c>
      <c r="D20" s="56" t="n">
        <v>154459.8</v>
      </c>
      <c r="E20" s="56" t="n">
        <v>187600</v>
      </c>
      <c r="F20" s="2" t="n"/>
    </row>
    <row r="21" ht="14.25" customHeight="1">
      <c r="A21" t="inlineStr">
        <is>
          <t>Share (GPS, ISZE level)</t>
        </is>
      </c>
      <c r="C21" s="120">
        <f>C20/C19</f>
        <v/>
      </c>
      <c r="D21" s="120">
        <f>D20/D19</f>
        <v/>
      </c>
      <c r="E21" s="120">
        <f>E20/E19</f>
        <v/>
      </c>
    </row>
    <row r="22" ht="14.25" customHeight="1">
      <c r="A22" t="inlineStr">
        <is>
          <t>Stretch (%) = global input, capped at ceiling</t>
        </is>
      </c>
      <c r="C22" s="132" t="n">
        <v>0</v>
      </c>
      <c r="D22" s="132" t="n">
        <v>0</v>
      </c>
      <c r="E22" s="132">
        <f>MAX(0,MIN('Dashboard (2)'!$N$1,'Dashboard (2)'!$Q$1-E21))</f>
        <v/>
      </c>
    </row>
    <row r="23" ht="14.25" customHeight="1">
      <c r="A23" t="inlineStr">
        <is>
          <t>Stretch amount (= max spend x stretch%)</t>
        </is>
      </c>
      <c r="C23" s="10">
        <f>C19*C22</f>
        <v/>
      </c>
      <c r="D23" s="10">
        <f>D19*D22</f>
        <v/>
      </c>
      <c r="E23" s="30">
        <f>E19*E22</f>
        <v/>
      </c>
    </row>
    <row r="24" ht="14.25" customHeight="1">
      <c r="A24" s="9" t="inlineStr">
        <is>
          <t>TTL amount (= actual + stretch)  &lt;&lt;  EXTENDED TARGET</t>
        </is>
      </c>
      <c r="C24" s="13">
        <f>C20+C23</f>
        <v/>
      </c>
      <c r="D24" s="13">
        <f>D20+D23</f>
        <v/>
      </c>
      <c r="E24" s="22">
        <f>E20+E23</f>
        <v/>
      </c>
    </row>
    <row r="25" ht="14.25" customHeight="1">
      <c r="A25" t="inlineStr">
        <is>
          <t>Share (new)</t>
        </is>
      </c>
      <c r="C25" s="117">
        <f>C24/C19</f>
        <v/>
      </c>
      <c r="D25" s="117">
        <f>D24/D19</f>
        <v/>
      </c>
      <c r="E25" s="117">
        <f>E24/E19</f>
        <v/>
      </c>
    </row>
    <row r="26" ht="14.25" customHeight="1">
      <c r="A26" s="2" t="inlineStr">
        <is>
          <t>Source: 00_derived/gps_billing_fy_ALLCUSTOMERS.csv canonical 'Danmark' (net_gps, GPS-audited, FY-aligned, lubricants included).</t>
        </is>
      </c>
    </row>
    <row r="27">
      <c r="A27" s="108" t="inlineStr">
        <is>
          <t>FY28-FY31 max spend (row 19, cols F:I) feeds Dashboard (2). FY27 actual cell E20 = BP reviewed 24-04-2026.</t>
        </is>
      </c>
    </row>
    <row r="28" ht="14.25" customHeight="1">
      <c r="A28" s="58" t="inlineStr">
        <is>
          <t>DENMARK -&gt; DEALER level (DB-&gt;DLR) — MH method (35% DB margin gross-up)</t>
        </is>
      </c>
    </row>
    <row r="29" ht="26.25" customHeight="1">
      <c r="C29" s="4" t="inlineStr">
        <is>
          <t>FY25 (Apr'24-Mar'25)</t>
        </is>
      </c>
      <c r="D29" s="4" t="inlineStr">
        <is>
          <t>FY26 (Apr'25-Mar'26)</t>
        </is>
      </c>
      <c r="E29" s="4" t="inlineStr">
        <is>
          <t>FY27 (Apr'26-Mar'27)</t>
        </is>
      </c>
    </row>
    <row r="30" ht="14.25" customHeight="1">
      <c r="A30" t="inlineStr">
        <is>
          <t>Parts Sales DB-to-DLR (actual) · KPI Master File june 2026.xlsx</t>
        </is>
      </c>
      <c r="C30" s="56" t="n">
        <v>356680.16</v>
      </c>
      <c r="D30" s="56" t="n">
        <v>572863.67</v>
      </c>
      <c r="F30" s="2" t="inlineStr">
        <is>
          <t>FY25 12/12 mo · FY26 12/12 mo</t>
        </is>
      </c>
    </row>
    <row r="31" ht="14.25" customHeight="1">
      <c r="A31" t="inlineStr">
        <is>
          <t>DB margin % (MH assumption — same as testcase B15)</t>
        </is>
      </c>
      <c r="B31" s="133" t="n">
        <v>0.35</v>
      </c>
      <c r="C31" s="134" t="n"/>
      <c r="D31" s="134" t="n"/>
    </row>
    <row r="32" ht="14.25" customHeight="1">
      <c r="A32" t="inlineStr">
        <is>
          <t>Stretch amount at dealer (= ISZE stretch / (1 − margin))  ·  MH E29</t>
        </is>
      </c>
      <c r="E32" s="61">
        <f>-E23/(B31-1)</f>
        <v/>
      </c>
    </row>
    <row r="33" ht="14.25" customHeight="1">
      <c r="A33" s="9" t="inlineStr">
        <is>
          <t>FY27 AMOUNT TO REACH at dealer (= FY26 actual + dealer stretch)</t>
        </is>
      </c>
      <c r="E33" s="62">
        <f>IF(OR(D30="",D30="no KPI data"),"no KPI data",D30+E32)</f>
        <v/>
      </c>
    </row>
    <row r="34" ht="42" customHeight="1">
      <c r="A34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37" ht="14.25" customHeight="1">
      <c r="A37" s="31" t="inlineStr">
        <is>
          <t>GAPS / open items</t>
        </is>
      </c>
    </row>
    <row r="38" ht="33.75" customHeight="1">
      <c r="A38" s="14" t="inlineStr">
        <is>
          <t>1. LCV rate: MH's 291.2 chain ends at 219.5648. The identical GBP400 under the v9 CV convention ends at 296. Same source, two conventions — carried as instructed.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ICELAND — GPS Extended Target FY2027 · BL. EHF.   [LCV only]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ICELAND UIO (LCV)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LCV</t>
        </is>
      </c>
      <c r="C9" s="51" t="n">
        <v>342</v>
      </c>
      <c r="D9" s="51" t="n">
        <v>406</v>
      </c>
      <c r="E9" s="51" t="n">
        <v>439</v>
      </c>
      <c r="F9" s="126" t="n">
        <v>471</v>
      </c>
      <c r="G9" s="126" t="n">
        <v>549</v>
      </c>
      <c r="H9" s="126" t="n">
        <v>625</v>
      </c>
      <c r="I9" s="126" t="n">
        <v>698</v>
      </c>
    </row>
    <row r="10" ht="14.25" customHeight="1">
      <c r="A10" t="inlineStr">
        <is>
          <t>TTL</t>
        </is>
      </c>
      <c r="C10" s="10">
        <f>C9</f>
        <v/>
      </c>
      <c r="D10" s="10">
        <f>D9</f>
        <v/>
      </c>
      <c r="E10" s="10">
        <f>E9</f>
        <v/>
      </c>
      <c r="F10" s="127">
        <f>F9</f>
        <v/>
      </c>
      <c r="G10" s="127">
        <f>G9</f>
        <v/>
      </c>
      <c r="H10" s="127">
        <f>H9</f>
        <v/>
      </c>
      <c r="I10" s="127">
        <f>I9</f>
        <v/>
      </c>
    </row>
    <row r="11" ht="14.25" customHeight="1">
      <c r="A11" s="2" t="inlineStr">
        <is>
          <t>Source: UIO v19 '1.UIO Overview' row 12, LCV — CY2024 / CY2025E / CY2026F mapped to FY25 / FY26 / FY27 (UIO shifted one column right).</t>
        </is>
      </c>
    </row>
    <row r="13" ht="14.25" customHeight="1">
      <c r="A13" s="31" t="inlineStr">
        <is>
          <t>Parts Sales / Unit (EUR)</t>
        </is>
      </c>
      <c r="B13" t="inlineStr">
        <is>
          <t>FY26 base</t>
        </is>
      </c>
      <c r="C13" s="52" t="n"/>
      <c r="D13" s="52" t="inlineStr">
        <is>
          <t>FY26</t>
        </is>
      </c>
      <c r="E13" s="52" t="inlineStr">
        <is>
          <t>FY27 (+5%)</t>
        </is>
      </c>
      <c r="F13" s="52" t="inlineStr">
        <is>
          <t>FY28 (+price)</t>
        </is>
      </c>
      <c r="G13" s="52" t="inlineStr">
        <is>
          <t>FY29 (+price)</t>
        </is>
      </c>
      <c r="H13" s="52" t="inlineStr">
        <is>
          <t>FY30 (+price)</t>
        </is>
      </c>
      <c r="I13" s="52" t="inlineStr">
        <is>
          <t>FY31 (+price)</t>
        </is>
      </c>
    </row>
    <row r="14" ht="14.25" customHeight="1">
      <c r="A14" t="inlineStr">
        <is>
          <t>ISZE-net EUR/unit (= DB cost)</t>
        </is>
      </c>
      <c r="B14" s="128" t="n">
        <v>250</v>
      </c>
      <c r="C14" s="129" t="n"/>
      <c r="D14" s="129">
        <f>B14</f>
        <v/>
      </c>
      <c r="E14" s="130">
        <f>D14*1.05</f>
        <v/>
      </c>
      <c r="F14" s="131">
        <f>E14*(1+'Dashboard (2)'!$T$1)</f>
        <v/>
      </c>
      <c r="G14" s="131">
        <f>F14*(1+'Dashboard (2)'!$T$1)</f>
        <v/>
      </c>
      <c r="H14" s="131">
        <f>G14*(1+'Dashboard (2)'!$T$1)</f>
        <v/>
      </c>
      <c r="I14" s="131">
        <f>H14*(1+'Dashboard (2)'!$T$1)</f>
        <v/>
      </c>
    </row>
    <row r="15" ht="14.25" customHeight="1">
      <c r="A15" s="2" t="inlineStr">
        <is>
          <t>LCV rate: EUR 250 ISZE-net FY26 base (same rate as the fleet study), +5% FY27 = 262.50, then + price input per year. Replaces MH chain 291.2 x 1.16 x 0.65 = 219.56 (FX and margin applied twice).</t>
        </is>
      </c>
    </row>
    <row r="17" ht="14.25" customHeight="1">
      <c r="A17" s="31" t="inlineStr">
        <is>
          <t>ISZE -&gt; ICELAND wholesale (ISZE-net EUR)  &lt;&lt;  EXTENDED TARGET IS SET HERE</t>
        </is>
      </c>
    </row>
    <row r="18" ht="26.25" customHeight="1">
      <c r="C18" s="4" t="inlineStr">
        <is>
          <t>FY25 (Apr'24-Mar'25)</t>
        </is>
      </c>
      <c r="D18" s="4" t="inlineStr">
        <is>
          <t>FY26 (Apr'25-Mar'26)</t>
        </is>
      </c>
      <c r="E18" s="4" t="inlineStr">
        <is>
          <t>FY27 (Apr'26-Mar'27)</t>
        </is>
      </c>
      <c r="F18" s="4" t="inlineStr">
        <is>
          <t>FY28</t>
        </is>
      </c>
      <c r="G18" s="4" t="inlineStr">
        <is>
          <t>FY29</t>
        </is>
      </c>
      <c r="H18" s="4" t="inlineStr">
        <is>
          <t>FY30</t>
        </is>
      </c>
      <c r="I18" s="4" t="inlineStr">
        <is>
          <t>FY31</t>
        </is>
      </c>
    </row>
    <row r="19" ht="14.25" customHeight="1">
      <c r="A19" t="inlineStr">
        <is>
          <t>Max spend / potential (= UIO x ISZE-net rate)</t>
        </is>
      </c>
      <c r="C19" s="10">
        <f>C9*$D$14</f>
        <v/>
      </c>
      <c r="D19" s="10">
        <f>D9*$D$14</f>
        <v/>
      </c>
      <c r="E19" s="10">
        <f>E9*$E$14</f>
        <v/>
      </c>
      <c r="F19" s="127">
        <f>F9*F14</f>
        <v/>
      </c>
      <c r="G19" s="127">
        <f>G9*G14</f>
        <v/>
      </c>
      <c r="H19" s="127">
        <f>H9*H14</f>
        <v/>
      </c>
      <c r="I19" s="127">
        <f>I9*I14</f>
        <v/>
      </c>
    </row>
    <row r="20" ht="14.25" customHeight="1">
      <c r="A20" t="inlineStr">
        <is>
          <t>Actual (ISZE billing) · FY27 = BP target</t>
        </is>
      </c>
      <c r="C20" s="56" t="n">
        <v>73673.52</v>
      </c>
      <c r="D20" s="56" t="n">
        <v>86604.50999999999</v>
      </c>
      <c r="E20" s="56" t="n">
        <v>104600</v>
      </c>
      <c r="F20" s="2" t="n"/>
    </row>
    <row r="21" ht="14.25" customHeight="1">
      <c r="A21" t="inlineStr">
        <is>
          <t>Share (GPS, ISZE level)</t>
        </is>
      </c>
      <c r="C21" s="120">
        <f>C20/C19</f>
        <v/>
      </c>
      <c r="D21" s="120">
        <f>D20/D19</f>
        <v/>
      </c>
      <c r="E21" s="120">
        <f>E20/E19</f>
        <v/>
      </c>
    </row>
    <row r="22" ht="14.25" customHeight="1">
      <c r="A22" t="inlineStr">
        <is>
          <t>Stretch (%) = global input, capped at ceiling</t>
        </is>
      </c>
      <c r="C22" s="132" t="n">
        <v>0</v>
      </c>
      <c r="D22" s="132" t="n">
        <v>0</v>
      </c>
      <c r="E22" s="132">
        <f>MAX(0,MIN('Dashboard (2)'!$N$1,'Dashboard (2)'!$Q$1-E21))</f>
        <v/>
      </c>
    </row>
    <row r="23" ht="14.25" customHeight="1">
      <c r="A23" t="inlineStr">
        <is>
          <t>Stretch amount (= max spend x stretch%)</t>
        </is>
      </c>
      <c r="C23" s="10">
        <f>C19*C22</f>
        <v/>
      </c>
      <c r="D23" s="10">
        <f>D19*D22</f>
        <v/>
      </c>
      <c r="E23" s="30">
        <f>E19*E22</f>
        <v/>
      </c>
    </row>
    <row r="24" ht="14.25" customHeight="1">
      <c r="A24" s="9" t="inlineStr">
        <is>
          <t>TTL amount (= actual + stretch)  &lt;&lt;  EXTENDED TARGET</t>
        </is>
      </c>
      <c r="C24" s="13">
        <f>C20+C23</f>
        <v/>
      </c>
      <c r="D24" s="13">
        <f>D20+D23</f>
        <v/>
      </c>
      <c r="E24" s="22">
        <f>E20+E23</f>
        <v/>
      </c>
    </row>
    <row r="25" ht="14.25" customHeight="1">
      <c r="A25" t="inlineStr">
        <is>
          <t>Share (new)</t>
        </is>
      </c>
      <c r="C25" s="117">
        <f>C24/C19</f>
        <v/>
      </c>
      <c r="D25" s="117">
        <f>D24/D19</f>
        <v/>
      </c>
      <c r="E25" s="117">
        <f>E24/E19</f>
        <v/>
      </c>
    </row>
    <row r="26" ht="14.25" customHeight="1">
      <c r="A26" s="2" t="inlineStr">
        <is>
          <t>Source: 00_derived/gps_billing_fy_ALLCUSTOMERS.csv canonical 'BL Iceland' (net_gps, GPS-audited, FY-aligned, lubricants included).</t>
        </is>
      </c>
    </row>
    <row r="27">
      <c r="A27" s="108" t="inlineStr">
        <is>
          <t>FY28-FY31 max spend (row 19, cols F:I) feeds Dashboard (2). FY27 actual cell E20 = BP reviewed 24-04-2026.</t>
        </is>
      </c>
    </row>
    <row r="28" ht="14.25" customHeight="1">
      <c r="A28" s="58" t="inlineStr">
        <is>
          <t>ICELAND -&gt; DEALER level (DB-&gt;DLR) — MH method (35% DB margin gross-up)</t>
        </is>
      </c>
    </row>
    <row r="29" ht="26.25" customHeight="1">
      <c r="C29" s="4" t="inlineStr">
        <is>
          <t>FY25 (Apr'24-Mar'25)</t>
        </is>
      </c>
      <c r="D29" s="4" t="inlineStr">
        <is>
          <t>FY26 (Apr'25-Mar'26)</t>
        </is>
      </c>
      <c r="E29" s="4" t="inlineStr">
        <is>
          <t>FY27 (Apr'26-Mar'27)</t>
        </is>
      </c>
    </row>
    <row r="30" ht="14.25" customHeight="1">
      <c r="A30" t="inlineStr">
        <is>
          <t>Parts Sales DB-to-DLR (actual) · KPI Master File june 2026.xlsx</t>
        </is>
      </c>
      <c r="C30" s="56" t="n">
        <v>209944</v>
      </c>
      <c r="D30" s="56" t="n">
        <v>195849</v>
      </c>
      <c r="F30" s="2" t="inlineStr">
        <is>
          <t>FY25 12/12 mo · FY26 12/12 mo</t>
        </is>
      </c>
    </row>
    <row r="31" ht="14.25" customHeight="1">
      <c r="A31" t="inlineStr">
        <is>
          <t>DB margin % (MH assumption — same as testcase B15)</t>
        </is>
      </c>
      <c r="B31" s="133" t="n">
        <v>0.35</v>
      </c>
      <c r="C31" s="134" t="n"/>
      <c r="D31" s="134" t="n"/>
    </row>
    <row r="32" ht="14.25" customHeight="1">
      <c r="A32" t="inlineStr">
        <is>
          <t>Stretch amount at dealer (= ISZE stretch / (1 − margin))  ·  MH E29</t>
        </is>
      </c>
      <c r="E32" s="61">
        <f>-E23/(B31-1)</f>
        <v/>
      </c>
    </row>
    <row r="33" ht="14.25" customHeight="1">
      <c r="A33" s="9" t="inlineStr">
        <is>
          <t>FY27 AMOUNT TO REACH at dealer (= FY26 actual + dealer stretch)</t>
        </is>
      </c>
      <c r="E33" s="62">
        <f>IF(OR(D30="",D30="no KPI data"),"no KPI data",D30+E32)</f>
        <v/>
      </c>
    </row>
    <row r="34" ht="42" customHeight="1">
      <c r="A34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37" ht="14.25" customHeight="1">
      <c r="A37" s="31" t="inlineStr">
        <is>
          <t>GAPS / open items</t>
        </is>
      </c>
    </row>
    <row r="38" ht="33.75" customHeight="1">
      <c r="A38" s="14" t="inlineStr">
        <is>
          <t>1. LCV rate: MH's 291.2 chain ends at 219.5648. The identical GBP400 under the v9 CV convention ends at 296. Same source, two conventions — carried as instructed.</t>
        </is>
      </c>
    </row>
    <row r="39" ht="22.5" customHeight="1">
      <c r="A39" s="14" t="inlineStr">
        <is>
          <t>2. TARGET EXCEEDS 100% OF THE PARC'S MAX SPEND. Do not quote a GPS % to this DB — discuss the amount, or agree the per-unit rate first.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GERMANY — GPS Extended Target FY2027 · ISUZU SALES DEUTSCHLAND GMBH   [mixed CV+LCV]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GERMANY UIO by segment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LD (N75/N50/N62)</t>
        </is>
      </c>
      <c r="C9" s="51" t="n">
        <v>719</v>
      </c>
      <c r="D9" s="51" t="n">
        <v>697</v>
      </c>
      <c r="E9" s="51" t="n">
        <v>1066</v>
      </c>
      <c r="F9" s="126" t="n">
        <v>1422</v>
      </c>
      <c r="G9" s="126" t="n">
        <v>2003</v>
      </c>
      <c r="H9" s="126" t="n">
        <v>2841</v>
      </c>
      <c r="I9" s="126" t="n">
        <v>3756</v>
      </c>
    </row>
    <row r="10" ht="14.25" customHeight="1">
      <c r="A10" t="inlineStr">
        <is>
          <t>MD</t>
        </is>
      </c>
      <c r="C10" s="51" t="n">
        <v>36</v>
      </c>
      <c r="D10" s="51" t="n">
        <v>35</v>
      </c>
      <c r="E10" s="51" t="n">
        <v>34</v>
      </c>
      <c r="F10" s="126" t="n">
        <v>33</v>
      </c>
      <c r="G10" s="126" t="n">
        <v>32</v>
      </c>
      <c r="H10" s="126" t="n">
        <v>31</v>
      </c>
      <c r="I10" s="126" t="n">
        <v>30</v>
      </c>
    </row>
    <row r="11" ht="14.25" customHeight="1">
      <c r="A11" t="inlineStr">
        <is>
          <t>F-Series</t>
        </is>
      </c>
      <c r="C11" s="51" t="n">
        <v>0</v>
      </c>
      <c r="D11" s="51" t="n">
        <v>0</v>
      </c>
      <c r="E11" s="51" t="n">
        <v>0</v>
      </c>
      <c r="F11" s="126" t="n">
        <v>0</v>
      </c>
      <c r="G11" s="126" t="n">
        <v>0</v>
      </c>
      <c r="H11" s="126" t="n">
        <v>0</v>
      </c>
      <c r="I11" s="126" t="n">
        <v>0</v>
      </c>
    </row>
    <row r="12" ht="14.25" customHeight="1">
      <c r="A12" t="inlineStr">
        <is>
          <t>LCV / D-Max</t>
        </is>
      </c>
      <c r="C12" s="51" t="n">
        <v>12709</v>
      </c>
      <c r="D12" s="51" t="n">
        <v>13048</v>
      </c>
      <c r="E12" s="51" t="n">
        <v>13657</v>
      </c>
      <c r="F12" s="126" t="n">
        <v>14247</v>
      </c>
      <c r="G12" s="126" t="n">
        <v>14820</v>
      </c>
      <c r="H12" s="126" t="n">
        <v>15375</v>
      </c>
      <c r="I12" s="126" t="n">
        <v>15914</v>
      </c>
    </row>
    <row r="13" ht="14.25" customHeight="1">
      <c r="A13" s="9" t="inlineStr">
        <is>
          <t>TTL</t>
        </is>
      </c>
      <c r="C13" s="13">
        <f>SUM(C9:C12)</f>
        <v/>
      </c>
      <c r="D13" s="13">
        <f>SUM(D9:D12)</f>
        <v/>
      </c>
      <c r="E13" s="13">
        <f>SUM(E9:E12)</f>
        <v/>
      </c>
      <c r="F13" s="13">
        <f>SUM(F9:F12)</f>
        <v/>
      </c>
      <c r="G13" s="13">
        <f>SUM(G9:G12)</f>
        <v/>
      </c>
      <c r="H13" s="13">
        <f>SUM(H9:H12)</f>
        <v/>
      </c>
      <c r="I13" s="13">
        <f>SUM(I9:I12)</f>
        <v/>
      </c>
    </row>
    <row r="14" ht="14.25" customHeight="1">
      <c r="A14" s="2" t="inlineStr">
        <is>
          <t>Source: UIO v19 rows 42/43/-/44 — CY2024 / CY2025E / CY2026F mapped to FY25 / FY26 / FY27 (UIO shifted one column right).</t>
        </is>
      </c>
    </row>
    <row r="16" ht="14.25" customHeight="1">
      <c r="A16" s="31" t="inlineStr">
        <is>
          <t>Max spend per unit (EUR, ISZE-net)</t>
        </is>
      </c>
      <c r="C16" s="52" t="inlineStr">
        <is>
          <t>base</t>
        </is>
      </c>
      <c r="D16" s="52" t="inlineStr">
        <is>
          <t>FY27 (+5%)</t>
        </is>
      </c>
      <c r="E16" s="52" t="inlineStr">
        <is>
          <t>FY28</t>
        </is>
      </c>
      <c r="F16" s="52" t="inlineStr">
        <is>
          <t>FY29</t>
        </is>
      </c>
      <c r="G16" s="52" t="inlineStr">
        <is>
          <t>FY30</t>
        </is>
      </c>
      <c r="H16" s="52" t="inlineStr">
        <is>
          <t>FY31</t>
        </is>
      </c>
    </row>
    <row r="17" ht="14.25" customHeight="1">
      <c r="A17" t="inlineStr">
        <is>
          <t>LD  · v9 rate</t>
        </is>
      </c>
      <c r="C17" s="135" t="n">
        <v>739</v>
      </c>
      <c r="D17" s="130">
        <f>C17*1.05</f>
        <v/>
      </c>
      <c r="E17" s="131">
        <f>D17*(1+'Dashboard (2)'!$T$1)</f>
        <v/>
      </c>
      <c r="F17" s="131">
        <f>E17*(1+'Dashboard (2)'!$T$1)</f>
        <v/>
      </c>
      <c r="G17" s="131">
        <f>F17*(1+'Dashboard (2)'!$T$1)</f>
        <v/>
      </c>
      <c r="H17" s="131">
        <f>G17*(1+'Dashboard (2)'!$T$1)</f>
        <v/>
      </c>
    </row>
    <row r="18" ht="14.25" customHeight="1">
      <c r="A18" t="inlineStr">
        <is>
          <t>MD  · v9 rate</t>
        </is>
      </c>
      <c r="C18" s="135" t="n">
        <v>887</v>
      </c>
      <c r="D18" s="130">
        <f>C18*1.05</f>
        <v/>
      </c>
      <c r="E18" s="131">
        <f>D18*(1+'Dashboard (2)'!$T$1)</f>
        <v/>
      </c>
      <c r="F18" s="131">
        <f>E18*(1+'Dashboard (2)'!$T$1)</f>
        <v/>
      </c>
      <c r="G18" s="131">
        <f>F18*(1+'Dashboard (2)'!$T$1)</f>
        <v/>
      </c>
      <c r="H18" s="131">
        <f>G18*(1+'Dashboard (2)'!$T$1)</f>
        <v/>
      </c>
    </row>
    <row r="19" ht="14.25" customHeight="1">
      <c r="A19" t="inlineStr">
        <is>
          <t>F-Series  · v9 rate</t>
        </is>
      </c>
      <c r="C19" s="135" t="n">
        <v>887</v>
      </c>
      <c r="D19" s="130">
        <f>C19*1.05</f>
        <v/>
      </c>
      <c r="E19" s="131">
        <f>D19*(1+'Dashboard (2)'!$T$1)</f>
        <v/>
      </c>
      <c r="F19" s="131">
        <f>E19*(1+'Dashboard (2)'!$T$1)</f>
        <v/>
      </c>
      <c r="G19" s="131">
        <f>F19*(1+'Dashboard (2)'!$T$1)</f>
        <v/>
      </c>
      <c r="H19" s="131">
        <f>G19*(1+'Dashboard (2)'!$T$1)</f>
        <v/>
      </c>
    </row>
    <row r="20" ht="14.25" customHeight="1">
      <c r="A20" t="inlineStr">
        <is>
          <t>LCV / D-Max  · EUR 250 ISZE-net base</t>
        </is>
      </c>
      <c r="C20" s="136" t="n">
        <v>250</v>
      </c>
      <c r="D20" s="130">
        <f>C20*1.05</f>
        <v/>
      </c>
      <c r="E20" s="131">
        <f>D20*(1+'Dashboard (2)'!$T$1)</f>
        <v/>
      </c>
      <c r="F20" s="131">
        <f>E20*(1+'Dashboard (2)'!$T$1)</f>
        <v/>
      </c>
      <c r="G20" s="131">
        <f>F20*(1+'Dashboard (2)'!$T$1)</f>
        <v/>
      </c>
      <c r="H20" s="131">
        <f>G20*(1+'Dashboard (2)'!$T$1)</f>
        <v/>
      </c>
    </row>
    <row r="21" ht="14.25" customHeight="1">
      <c r="A21" s="2" t="inlineStr">
        <is>
          <t>CV rates held at v9 (739 / 887) +5% FY27, per Jerome. LCV: EUR 250 base +5% (262.50). FY28-FY31 = previous year x (1 + price input).</t>
        </is>
      </c>
    </row>
    <row r="23" ht="14.25" customHeight="1">
      <c r="A23" s="31" t="inlineStr">
        <is>
          <t>ISZE -&gt; GERMANY wholesale (ISZE-net EUR)  &lt;&lt;  EXTENDED TARGET IS SET HERE</t>
        </is>
      </c>
    </row>
    <row r="24" ht="26.25" customHeight="1">
      <c r="C24" s="4" t="inlineStr">
        <is>
          <t>FY25 (Apr'24-Mar'25)</t>
        </is>
      </c>
      <c r="D24" s="4" t="inlineStr">
        <is>
          <t>FY26 (Apr'25-Mar'26)</t>
        </is>
      </c>
      <c r="E24" s="4" t="inlineStr">
        <is>
          <t>FY27 (Apr'26-Mar'27)</t>
        </is>
      </c>
      <c r="F24" s="4" t="inlineStr">
        <is>
          <t>FY28</t>
        </is>
      </c>
      <c r="G24" s="4" t="inlineStr">
        <is>
          <t>FY29</t>
        </is>
      </c>
      <c r="H24" s="4" t="inlineStr">
        <is>
          <t>FY30</t>
        </is>
      </c>
      <c r="I24" s="4" t="inlineStr">
        <is>
          <t>FY31</t>
        </is>
      </c>
    </row>
    <row r="25" ht="14.25" customHeight="1">
      <c r="A25" t="inlineStr">
        <is>
          <t>Max spend / potential (= UIO x ISZE-net rate)</t>
        </is>
      </c>
      <c r="C25" s="10">
        <f>C9*$C$17+C10*$C$18+C11*$C$19+C12*$C$20</f>
        <v/>
      </c>
      <c r="D25" s="10">
        <f>D9*$C$17+D10*$C$18+D11*$C$19+D12*$C$20</f>
        <v/>
      </c>
      <c r="E25" s="10">
        <f>E9*$D$17+E10*$D$18+E11*$D$19+E12*$D$20</f>
        <v/>
      </c>
      <c r="F25" s="127">
        <f>F9*E17+F10*E18+F11*E19+F12*E20</f>
        <v/>
      </c>
      <c r="G25" s="127">
        <f>G9*F17+G10*F18+G11*F19+G12*F20</f>
        <v/>
      </c>
      <c r="H25" s="127">
        <f>H9*G17+H10*G18+H11*G19+H12*G20</f>
        <v/>
      </c>
      <c r="I25" s="127">
        <f>I9*H17+I10*H18+I11*H19+I12*H20</f>
        <v/>
      </c>
    </row>
    <row r="26" ht="14.25" customHeight="1">
      <c r="A26" t="inlineStr">
        <is>
          <t>Actual (ISZE billing) · FY27 = BP target</t>
        </is>
      </c>
      <c r="C26" s="56" t="n">
        <v>2589331.92</v>
      </c>
      <c r="D26" s="56" t="n">
        <v>2641885.14</v>
      </c>
      <c r="E26" s="56" t="n">
        <v>2913662.84</v>
      </c>
      <c r="F26" s="2" t="n"/>
    </row>
    <row r="27" ht="14.25" customHeight="1">
      <c r="A27" t="inlineStr">
        <is>
          <t>Share (GPS, ISZE level)</t>
        </is>
      </c>
      <c r="C27" s="120">
        <f>C26/C25</f>
        <v/>
      </c>
      <c r="D27" s="120">
        <f>D26/D25</f>
        <v/>
      </c>
      <c r="E27" s="120">
        <f>E26/E25</f>
        <v/>
      </c>
    </row>
    <row r="28" ht="14.25" customHeight="1">
      <c r="A28" t="inlineStr">
        <is>
          <t>Stretch (%) = global input, capped at ceiling</t>
        </is>
      </c>
      <c r="C28" s="132" t="n">
        <v>0</v>
      </c>
      <c r="D28" s="132" t="n">
        <v>0</v>
      </c>
      <c r="E28" s="132">
        <f>MAX(0,MIN('Dashboard (2)'!$N$1,'Dashboard (2)'!$Q$1-E27))</f>
        <v/>
      </c>
    </row>
    <row r="29" ht="14.25" customHeight="1">
      <c r="A29" t="inlineStr">
        <is>
          <t>Stretch amount (= max spend x stretch%)</t>
        </is>
      </c>
      <c r="C29" s="10">
        <f>C25*C28</f>
        <v/>
      </c>
      <c r="D29" s="10">
        <f>D25*D28</f>
        <v/>
      </c>
      <c r="E29" s="30">
        <f>E25*E28</f>
        <v/>
      </c>
    </row>
    <row r="30" ht="14.25" customHeight="1">
      <c r="A30" s="9" t="inlineStr">
        <is>
          <t>TTL amount (= actual + stretch)  &lt;&lt;  EXTENDED TARGET</t>
        </is>
      </c>
      <c r="C30" s="13">
        <f>C26+C29</f>
        <v/>
      </c>
      <c r="D30" s="13">
        <f>D26+D29</f>
        <v/>
      </c>
      <c r="E30" s="22">
        <f>E26+E29</f>
        <v/>
      </c>
    </row>
    <row r="31" ht="14.25" customHeight="1">
      <c r="A31" t="inlineStr">
        <is>
          <t>Share (new)</t>
        </is>
      </c>
      <c r="C31" s="117">
        <f>C30/C25</f>
        <v/>
      </c>
      <c r="D31" s="117">
        <f>D30/D25</f>
        <v/>
      </c>
      <c r="E31" s="117">
        <f>E30/E25</f>
        <v/>
      </c>
    </row>
    <row r="32" ht="14.25" customHeight="1">
      <c r="A32" s="2" t="inlineStr">
        <is>
          <t>Source: 00_derived/gps_billing_fy_ALLCUSTOMERS.csv canonical 'ISD'.</t>
        </is>
      </c>
    </row>
    <row r="33">
      <c r="A33" s="108" t="inlineStr">
        <is>
          <t>FY28-FY31 max spend (row 25, cols F:I) feeds Dashboard (2). FY27 actual cell E26 = BP reviewed 24-04-2026.</t>
        </is>
      </c>
    </row>
    <row r="34" ht="14.25" customHeight="1">
      <c r="A34" s="58" t="inlineStr">
        <is>
          <t>GERMANY -&gt; DEALER level (DB-&gt;DLR) — MH method (35% DB margin gross-up)</t>
        </is>
      </c>
    </row>
    <row r="35" ht="26.25" customHeight="1">
      <c r="C35" s="4" t="inlineStr">
        <is>
          <t>FY25 (Apr'24-Mar'25)</t>
        </is>
      </c>
      <c r="D35" s="4" t="inlineStr">
        <is>
          <t>FY26 (Apr'25-Mar'26)</t>
        </is>
      </c>
      <c r="E35" s="4" t="inlineStr">
        <is>
          <t>FY27 (Apr'26-Mar'27)</t>
        </is>
      </c>
    </row>
    <row r="36" ht="14.25" customHeight="1">
      <c r="A36" t="inlineStr">
        <is>
          <t>Parts Sales DB-to-DLR (actual) · KPI Master File june 2026.xlsx</t>
        </is>
      </c>
      <c r="C36" s="56" t="n">
        <v>4475521</v>
      </c>
      <c r="D36" s="56" t="n"/>
      <c r="F36" s="64" t="inlineStr">
        <is>
          <t>FY25 11/12 mo · FY26 0/12 mo</t>
        </is>
      </c>
    </row>
    <row r="37" ht="14.25" customHeight="1">
      <c r="A37" t="inlineStr">
        <is>
          <t>DB margin % (MH assumption — same as testcase B15)</t>
        </is>
      </c>
      <c r="B37" s="133" t="n">
        <v>0.35</v>
      </c>
      <c r="C37" s="134" t="n"/>
      <c r="D37" s="134" t="n"/>
    </row>
    <row r="38" ht="14.25" customHeight="1">
      <c r="A38" t="inlineStr">
        <is>
          <t>Stretch amount at dealer (= ISZE stretch / (1 − margin))  ·  MH E29</t>
        </is>
      </c>
      <c r="E38" s="61">
        <f>-E29/(B37-1)</f>
        <v/>
      </c>
    </row>
    <row r="39" ht="14.25" customHeight="1">
      <c r="A39" s="9" t="inlineStr">
        <is>
          <t>FY27 AMOUNT TO REACH at dealer (= FY26 actual + dealer stretch)</t>
        </is>
      </c>
      <c r="E39" s="62">
        <f>IF(OR(D36="",D36="no KPI data"),"no KPI data",D36+E38)</f>
        <v/>
      </c>
    </row>
    <row r="40" ht="42" customHeight="1">
      <c r="A40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43" ht="14.25" customHeight="1">
      <c r="A43" s="31" t="inlineStr">
        <is>
          <t>GAPS / open items</t>
        </is>
      </c>
    </row>
    <row r="44" ht="22.5" customHeight="1">
      <c r="A44" s="14" t="inlineStr">
        <is>
          <t>1. CV rates on the v9 convention +5%; LCV on MH's chain. Two conventions in one tab — deliberate.</t>
        </is>
      </c>
    </row>
    <row r="45" ht="33.75" customHeight="1">
      <c r="A45" s="14" t="inlineStr">
        <is>
          <t>2. distributor_master_mapping.csv says segment_cv=No ('Mainly LCV'), but UIO v19 carries LD 1,066 + MD 34. Built as mixed (v9 treatment). Mapping is stale — worth fixing at source.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BELGIUM — GPS Extended Target FY2027 · ISUZU BENELUX NV   [mixed CV+LCV]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BELGIUM UIO by segment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LD (N75/N50/N62)</t>
        </is>
      </c>
      <c r="C9" s="51" t="n">
        <v>123</v>
      </c>
      <c r="D9" s="51" t="n">
        <v>113</v>
      </c>
      <c r="E9" s="51" t="n">
        <v>145</v>
      </c>
      <c r="F9" s="126" t="n">
        <v>176</v>
      </c>
      <c r="G9" s="126" t="n">
        <v>206</v>
      </c>
      <c r="H9" s="126" t="n">
        <v>235</v>
      </c>
      <c r="I9" s="126" t="n">
        <v>263</v>
      </c>
    </row>
    <row r="10" ht="14.25" customHeight="1">
      <c r="A10" t="inlineStr">
        <is>
          <t>MD</t>
        </is>
      </c>
      <c r="C10" s="51" t="n">
        <v>0</v>
      </c>
      <c r="D10" s="51" t="n">
        <v>0</v>
      </c>
      <c r="E10" s="51" t="n">
        <v>0</v>
      </c>
      <c r="F10" s="126" t="n">
        <v>0</v>
      </c>
      <c r="G10" s="126" t="n">
        <v>0</v>
      </c>
      <c r="H10" s="126" t="n">
        <v>0</v>
      </c>
      <c r="I10" s="126" t="n">
        <v>0</v>
      </c>
    </row>
    <row r="11" ht="14.25" customHeight="1">
      <c r="A11" t="inlineStr">
        <is>
          <t>F-Series</t>
        </is>
      </c>
      <c r="C11" s="51" t="n">
        <v>0</v>
      </c>
      <c r="D11" s="51" t="n">
        <v>0</v>
      </c>
      <c r="E11" s="51" t="n">
        <v>0</v>
      </c>
      <c r="F11" s="126" t="n">
        <v>0</v>
      </c>
      <c r="G11" s="126" t="n">
        <v>0</v>
      </c>
      <c r="H11" s="126" t="n">
        <v>0</v>
      </c>
      <c r="I11" s="126" t="n">
        <v>0</v>
      </c>
    </row>
    <row r="12" ht="14.25" customHeight="1">
      <c r="A12" t="inlineStr">
        <is>
          <t>LCV / D-Max</t>
        </is>
      </c>
      <c r="C12" s="51" t="n">
        <v>9160</v>
      </c>
      <c r="D12" s="51" t="n">
        <v>9452</v>
      </c>
      <c r="E12" s="51" t="n">
        <v>10008</v>
      </c>
      <c r="F12" s="126" t="n">
        <v>10548</v>
      </c>
      <c r="G12" s="126" t="n">
        <v>11072</v>
      </c>
      <c r="H12" s="126" t="n">
        <v>11580</v>
      </c>
      <c r="I12" s="126" t="n">
        <v>12073</v>
      </c>
    </row>
    <row r="13" ht="14.25" customHeight="1">
      <c r="A13" s="9" t="inlineStr">
        <is>
          <t>TTL</t>
        </is>
      </c>
      <c r="C13" s="13">
        <f>SUM(C9:C12)</f>
        <v/>
      </c>
      <c r="D13" s="13">
        <f>SUM(D9:D12)</f>
        <v/>
      </c>
      <c r="E13" s="13">
        <f>SUM(E9:E12)</f>
        <v/>
      </c>
      <c r="F13" s="13">
        <f>SUM(F9:F12)</f>
        <v/>
      </c>
      <c r="G13" s="13">
        <f>SUM(G9:G12)</f>
        <v/>
      </c>
      <c r="H13" s="13">
        <f>SUM(H9:H12)</f>
        <v/>
      </c>
      <c r="I13" s="13">
        <f>SUM(I9:I12)</f>
        <v/>
      </c>
    </row>
    <row r="14" ht="14.25" customHeight="1">
      <c r="A14" s="2" t="inlineStr">
        <is>
          <t>Source: UIO v19 rows 33/34/-/35 — CY2024 / CY2025E / CY2026F mapped to FY25 / FY26 / FY27 (UIO shifted one column right).</t>
        </is>
      </c>
    </row>
    <row r="16" ht="14.25" customHeight="1">
      <c r="A16" s="31" t="inlineStr">
        <is>
          <t>Max spend per unit (EUR, ISZE-net)</t>
        </is>
      </c>
      <c r="C16" s="52" t="inlineStr">
        <is>
          <t>base</t>
        </is>
      </c>
      <c r="D16" s="52" t="inlineStr">
        <is>
          <t>FY27 (+5%)</t>
        </is>
      </c>
      <c r="E16" s="52" t="inlineStr">
        <is>
          <t>FY28</t>
        </is>
      </c>
      <c r="F16" s="52" t="inlineStr">
        <is>
          <t>FY29</t>
        </is>
      </c>
      <c r="G16" s="52" t="inlineStr">
        <is>
          <t>FY30</t>
        </is>
      </c>
      <c r="H16" s="52" t="inlineStr">
        <is>
          <t>FY31</t>
        </is>
      </c>
    </row>
    <row r="17" ht="14.25" customHeight="1">
      <c r="A17" t="inlineStr">
        <is>
          <t>LD  · v9 rate</t>
        </is>
      </c>
      <c r="C17" s="135" t="n">
        <v>739</v>
      </c>
      <c r="D17" s="130">
        <f>C17*1.05</f>
        <v/>
      </c>
      <c r="E17" s="131">
        <f>D17*(1+'Dashboard (2)'!$T$1)</f>
        <v/>
      </c>
      <c r="F17" s="131">
        <f>E17*(1+'Dashboard (2)'!$T$1)</f>
        <v/>
      </c>
      <c r="G17" s="131">
        <f>F17*(1+'Dashboard (2)'!$T$1)</f>
        <v/>
      </c>
      <c r="H17" s="131">
        <f>G17*(1+'Dashboard (2)'!$T$1)</f>
        <v/>
      </c>
    </row>
    <row r="18" ht="14.25" customHeight="1">
      <c r="A18" t="inlineStr">
        <is>
          <t>MD  · v9 rate</t>
        </is>
      </c>
      <c r="C18" s="135" t="n">
        <v>887</v>
      </c>
      <c r="D18" s="130">
        <f>C18*1.05</f>
        <v/>
      </c>
      <c r="E18" s="131">
        <f>D18*(1+'Dashboard (2)'!$T$1)</f>
        <v/>
      </c>
      <c r="F18" s="131">
        <f>E18*(1+'Dashboard (2)'!$T$1)</f>
        <v/>
      </c>
      <c r="G18" s="131">
        <f>F18*(1+'Dashboard (2)'!$T$1)</f>
        <v/>
      </c>
      <c r="H18" s="131">
        <f>G18*(1+'Dashboard (2)'!$T$1)</f>
        <v/>
      </c>
    </row>
    <row r="19" ht="14.25" customHeight="1">
      <c r="A19" t="inlineStr">
        <is>
          <t>F-Series  · v9 rate</t>
        </is>
      </c>
      <c r="C19" s="135" t="n">
        <v>887</v>
      </c>
      <c r="D19" s="130">
        <f>C19*1.05</f>
        <v/>
      </c>
      <c r="E19" s="131">
        <f>D19*(1+'Dashboard (2)'!$T$1)</f>
        <v/>
      </c>
      <c r="F19" s="131">
        <f>E19*(1+'Dashboard (2)'!$T$1)</f>
        <v/>
      </c>
      <c r="G19" s="131">
        <f>F19*(1+'Dashboard (2)'!$T$1)</f>
        <v/>
      </c>
      <c r="H19" s="131">
        <f>G19*(1+'Dashboard (2)'!$T$1)</f>
        <v/>
      </c>
    </row>
    <row r="20" ht="14.25" customHeight="1">
      <c r="A20" t="inlineStr">
        <is>
          <t>LCV / D-Max  · EUR 250 ISZE-net base</t>
        </is>
      </c>
      <c r="C20" s="136" t="n">
        <v>250</v>
      </c>
      <c r="D20" s="130">
        <f>C20*1.05</f>
        <v/>
      </c>
      <c r="E20" s="131">
        <f>D20*(1+'Dashboard (2)'!$T$1)</f>
        <v/>
      </c>
      <c r="F20" s="131">
        <f>E20*(1+'Dashboard (2)'!$T$1)</f>
        <v/>
      </c>
      <c r="G20" s="131">
        <f>F20*(1+'Dashboard (2)'!$T$1)</f>
        <v/>
      </c>
      <c r="H20" s="131">
        <f>G20*(1+'Dashboard (2)'!$T$1)</f>
        <v/>
      </c>
    </row>
    <row r="21" ht="14.25" customHeight="1">
      <c r="A21" s="2" t="inlineStr">
        <is>
          <t>CV rates held at v9 (739 / 887) +5% FY27, per Jerome. LCV: EUR 250 base +5% (262.50). FY28-FY31 = previous year x (1 + price input).</t>
        </is>
      </c>
    </row>
    <row r="23" ht="14.25" customHeight="1">
      <c r="A23" s="31" t="inlineStr">
        <is>
          <t>ISZE -&gt; BELGIUM wholesale (ISZE-net EUR)  &lt;&lt;  EXTENDED TARGET IS SET HERE</t>
        </is>
      </c>
    </row>
    <row r="24" ht="26.25" customHeight="1">
      <c r="C24" s="4" t="inlineStr">
        <is>
          <t>FY25 (Apr'24-Mar'25)</t>
        </is>
      </c>
      <c r="D24" s="4" t="inlineStr">
        <is>
          <t>FY26 (Apr'25-Mar'26)</t>
        </is>
      </c>
      <c r="E24" s="4" t="inlineStr">
        <is>
          <t>FY27 (Apr'26-Mar'27)</t>
        </is>
      </c>
      <c r="F24" s="4" t="inlineStr">
        <is>
          <t>FY28</t>
        </is>
      </c>
      <c r="G24" s="4" t="inlineStr">
        <is>
          <t>FY29</t>
        </is>
      </c>
      <c r="H24" s="4" t="inlineStr">
        <is>
          <t>FY30</t>
        </is>
      </c>
      <c r="I24" s="4" t="inlineStr">
        <is>
          <t>FY31</t>
        </is>
      </c>
    </row>
    <row r="25" ht="14.25" customHeight="1">
      <c r="A25" t="inlineStr">
        <is>
          <t>Max spend / potential (= UIO x ISZE-net rate)</t>
        </is>
      </c>
      <c r="C25" s="10">
        <f>C9*$C$17+C10*$C$18+C11*$C$19+C12*$C$20</f>
        <v/>
      </c>
      <c r="D25" s="10">
        <f>D9*$C$17+D10*$C$18+D11*$C$19+D12*$C$20</f>
        <v/>
      </c>
      <c r="E25" s="10">
        <f>E9*$D$17+E10*$D$18+E11*$D$19+E12*$D$20</f>
        <v/>
      </c>
      <c r="F25" s="127">
        <f>F9*E17+F10*E18+F11*E19+F12*E20</f>
        <v/>
      </c>
      <c r="G25" s="127">
        <f>G9*F17+G10*F18+G11*F19+G12*F20</f>
        <v/>
      </c>
      <c r="H25" s="127">
        <f>H9*G17+H10*G18+H11*G19+H12*G20</f>
        <v/>
      </c>
      <c r="I25" s="127">
        <f>I9*H17+I10*H18+I11*H19+I12*H20</f>
        <v/>
      </c>
    </row>
    <row r="26" ht="14.25" customHeight="1">
      <c r="A26" t="inlineStr">
        <is>
          <t>Actual (ISZE billing) · FY27 = BP target</t>
        </is>
      </c>
      <c r="C26" s="56" t="n">
        <v>2229128.61</v>
      </c>
      <c r="D26" s="56" t="n">
        <v>2110127.66</v>
      </c>
      <c r="E26" s="56" t="n">
        <v>2296577.34</v>
      </c>
      <c r="F26" s="2" t="n"/>
    </row>
    <row r="27" ht="14.25" customHeight="1">
      <c r="A27" t="inlineStr">
        <is>
          <t>Share (GPS, ISZE level)</t>
        </is>
      </c>
      <c r="C27" s="120">
        <f>C26/C25</f>
        <v/>
      </c>
      <c r="D27" s="120">
        <f>D26/D25</f>
        <v/>
      </c>
      <c r="E27" s="120">
        <f>E26/E25</f>
        <v/>
      </c>
    </row>
    <row r="28" ht="14.25" customHeight="1">
      <c r="A28" t="inlineStr">
        <is>
          <t>Stretch (%) = global input, capped at ceiling</t>
        </is>
      </c>
      <c r="C28" s="132" t="n">
        <v>0</v>
      </c>
      <c r="D28" s="132" t="n">
        <v>0</v>
      </c>
      <c r="E28" s="132">
        <f>MAX(0,MIN('Dashboard (2)'!$N$1,'Dashboard (2)'!$Q$1-E27))</f>
        <v/>
      </c>
    </row>
    <row r="29" ht="14.25" customHeight="1">
      <c r="A29" t="inlineStr">
        <is>
          <t>Stretch amount (= max spend x stretch%)</t>
        </is>
      </c>
      <c r="C29" s="10">
        <f>C25*C28</f>
        <v/>
      </c>
      <c r="D29" s="10">
        <f>D25*D28</f>
        <v/>
      </c>
      <c r="E29" s="30">
        <f>E25*E28</f>
        <v/>
      </c>
    </row>
    <row r="30" ht="14.25" customHeight="1">
      <c r="A30" s="9" t="inlineStr">
        <is>
          <t>TTL amount (= actual + stretch)  &lt;&lt;  EXTENDED TARGET</t>
        </is>
      </c>
      <c r="C30" s="13">
        <f>C26+C29</f>
        <v/>
      </c>
      <c r="D30" s="13">
        <f>D26+D29</f>
        <v/>
      </c>
      <c r="E30" s="22">
        <f>E26+E29</f>
        <v/>
      </c>
    </row>
    <row r="31" ht="14.25" customHeight="1">
      <c r="A31" t="inlineStr">
        <is>
          <t>Share (new)</t>
        </is>
      </c>
      <c r="C31" s="117">
        <f>C30/C25</f>
        <v/>
      </c>
      <c r="D31" s="117">
        <f>D30/D25</f>
        <v/>
      </c>
      <c r="E31" s="117">
        <f>E30/E25</f>
        <v/>
      </c>
    </row>
    <row r="32" ht="14.25" customHeight="1">
      <c r="A32" s="2" t="inlineStr">
        <is>
          <t>Source: 00_derived/gps_billing_fy_ALLCUSTOMERS.csv canonical 'IBX'.</t>
        </is>
      </c>
    </row>
    <row r="33">
      <c r="A33" s="108" t="inlineStr">
        <is>
          <t>FY28-FY31 max spend (row 25, cols F:I) feeds Dashboard (2). FY27 actual cell E26 = BP reviewed 24-04-2026.</t>
        </is>
      </c>
    </row>
    <row r="34" ht="14.25" customHeight="1">
      <c r="A34" s="58" t="inlineStr">
        <is>
          <t>BELGIUM -&gt; DEALER level (DB-&gt;DLR) — MH method (35% DB margin gross-up)</t>
        </is>
      </c>
    </row>
    <row r="35" ht="26.25" customHeight="1">
      <c r="C35" s="4" t="inlineStr">
        <is>
          <t>FY25 (Apr'24-Mar'25)</t>
        </is>
      </c>
      <c r="D35" s="4" t="inlineStr">
        <is>
          <t>FY26 (Apr'25-Mar'26)</t>
        </is>
      </c>
      <c r="E35" s="4" t="inlineStr">
        <is>
          <t>FY27 (Apr'26-Mar'27)</t>
        </is>
      </c>
    </row>
    <row r="36" ht="14.25" customHeight="1">
      <c r="A36" t="inlineStr">
        <is>
          <t>Parts Sales DB-to-DLR (actual) · KPI Master File june 2026.xlsx</t>
        </is>
      </c>
      <c r="C36" s="56" t="n">
        <v>4056302</v>
      </c>
      <c r="D36" s="56" t="n">
        <v>6834272</v>
      </c>
      <c r="F36" s="64" t="inlineStr">
        <is>
          <t>FY25 10/12 mo · FY26 12/12 mo</t>
        </is>
      </c>
    </row>
    <row r="37" ht="14.25" customHeight="1">
      <c r="A37" t="inlineStr">
        <is>
          <t>DB margin % (MH assumption — same as testcase B15)</t>
        </is>
      </c>
      <c r="B37" s="133" t="n">
        <v>0.35</v>
      </c>
      <c r="C37" s="134" t="n"/>
      <c r="D37" s="134" t="n"/>
    </row>
    <row r="38" ht="14.25" customHeight="1">
      <c r="A38" t="inlineStr">
        <is>
          <t>Stretch amount at dealer (= ISZE stretch / (1 − margin))  ·  MH E29</t>
        </is>
      </c>
      <c r="E38" s="61">
        <f>-E29/(B37-1)</f>
        <v/>
      </c>
    </row>
    <row r="39" ht="14.25" customHeight="1">
      <c r="A39" s="9" t="inlineStr">
        <is>
          <t>FY27 AMOUNT TO REACH at dealer (= FY26 actual + dealer stretch)</t>
        </is>
      </c>
      <c r="E39" s="62">
        <f>IF(OR(D36="",D36="no KPI data"),"no KPI data",D36+E38)</f>
        <v/>
      </c>
    </row>
    <row r="40" ht="42" customHeight="1">
      <c r="A40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43" ht="14.25" customHeight="1">
      <c r="A43" s="31" t="inlineStr">
        <is>
          <t>GAPS / open items</t>
        </is>
      </c>
    </row>
    <row r="44" ht="22.5" customHeight="1">
      <c r="A44" s="14" t="inlineStr">
        <is>
          <t>1. CV rates on the v9 convention +5%; LCV on MH's chain. Two conventions in one tab — deliberate.</t>
        </is>
      </c>
    </row>
    <row r="45" ht="45" customHeight="1">
      <c r="A45" s="14" t="inlineStr">
        <is>
          <t>2. ISUZU BENELUX NV covers BE/NL/PL/LUX. This tab uses the BELGIUM UIO rows only — NL/PL/LUX parc is not included in the max spend. GPS 96.7% after stretch is therefore likely overstated: the numerator may carry billing for a parc the denominator excludes.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PORTUGAL — GPS Extended Target FY2027 · I Motors   [mixed CV+LCV]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PORTUGAL UIO by segment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LD (N75/N50/N62)</t>
        </is>
      </c>
      <c r="C9" s="51" t="n">
        <v>2239</v>
      </c>
      <c r="D9" s="51" t="n">
        <v>2206</v>
      </c>
      <c r="E9" s="51" t="n">
        <v>2596</v>
      </c>
      <c r="F9" s="126" t="n">
        <v>2974</v>
      </c>
      <c r="G9" s="126" t="n">
        <v>3341</v>
      </c>
      <c r="H9" s="126" t="n">
        <v>3697</v>
      </c>
      <c r="I9" s="126" t="n">
        <v>4042</v>
      </c>
    </row>
    <row r="10" ht="14.25" customHeight="1">
      <c r="A10" t="inlineStr">
        <is>
          <t>MD</t>
        </is>
      </c>
      <c r="C10" s="51" t="n">
        <v>0</v>
      </c>
      <c r="D10" s="51" t="n">
        <v>0</v>
      </c>
      <c r="E10" s="51" t="n">
        <v>96</v>
      </c>
      <c r="F10" s="126" t="n">
        <v>201</v>
      </c>
      <c r="G10" s="126" t="n">
        <v>303</v>
      </c>
      <c r="H10" s="126" t="n">
        <v>402</v>
      </c>
      <c r="I10" s="126" t="n">
        <v>498</v>
      </c>
    </row>
    <row r="11" ht="14.25" customHeight="1">
      <c r="A11" t="inlineStr">
        <is>
          <t>F-Series</t>
        </is>
      </c>
      <c r="C11" s="51" t="n">
        <v>254</v>
      </c>
      <c r="D11" s="51" t="n">
        <v>269</v>
      </c>
      <c r="E11" s="51" t="n">
        <v>261</v>
      </c>
      <c r="F11" s="126" t="n">
        <v>253</v>
      </c>
      <c r="G11" s="126" t="n">
        <v>245</v>
      </c>
      <c r="H11" s="126" t="n">
        <v>238</v>
      </c>
      <c r="I11" s="126" t="n">
        <v>231</v>
      </c>
    </row>
    <row r="12" ht="14.25" customHeight="1">
      <c r="A12" t="inlineStr">
        <is>
          <t>LCV / D-Max</t>
        </is>
      </c>
      <c r="C12" s="51" t="n">
        <v>4410</v>
      </c>
      <c r="D12" s="51" t="n">
        <v>4733</v>
      </c>
      <c r="E12" s="51" t="n">
        <v>5491</v>
      </c>
      <c r="F12" s="126" t="n">
        <v>6226</v>
      </c>
      <c r="G12" s="126" t="n">
        <v>6879</v>
      </c>
      <c r="H12" s="126" t="n">
        <v>7513</v>
      </c>
      <c r="I12" s="126" t="n">
        <v>8128</v>
      </c>
    </row>
    <row r="13" ht="14.25" customHeight="1">
      <c r="A13" s="9" t="inlineStr">
        <is>
          <t>TTL</t>
        </is>
      </c>
      <c r="C13" s="13">
        <f>SUM(C9:C12)</f>
        <v/>
      </c>
      <c r="D13" s="13">
        <f>SUM(D9:D12)</f>
        <v/>
      </c>
      <c r="E13" s="13">
        <f>SUM(E9:E12)</f>
        <v/>
      </c>
      <c r="F13" s="13">
        <f>SUM(F9:F12)</f>
        <v/>
      </c>
      <c r="G13" s="13">
        <f>SUM(G9:G12)</f>
        <v/>
      </c>
      <c r="H13" s="13">
        <f>SUM(H9:H12)</f>
        <v/>
      </c>
      <c r="I13" s="13">
        <f>SUM(I9:I12)</f>
        <v/>
      </c>
    </row>
    <row r="14" ht="14.25" customHeight="1">
      <c r="A14" s="2" t="inlineStr">
        <is>
          <t>Source: UIO v19 rows 51/52/53/54 — CY2024 / CY2025E / CY2026F mapped to FY25 / FY26 / FY27 (UIO shifted one column right).</t>
        </is>
      </c>
    </row>
    <row r="16" ht="14.25" customHeight="1">
      <c r="A16" s="31" t="inlineStr">
        <is>
          <t>Max spend per unit (EUR, ISZE-net)</t>
        </is>
      </c>
      <c r="C16" s="52" t="inlineStr">
        <is>
          <t>base</t>
        </is>
      </c>
      <c r="D16" s="52" t="inlineStr">
        <is>
          <t>FY27 (+5%)</t>
        </is>
      </c>
      <c r="E16" s="52" t="inlineStr">
        <is>
          <t>FY28</t>
        </is>
      </c>
      <c r="F16" s="52" t="inlineStr">
        <is>
          <t>FY29</t>
        </is>
      </c>
      <c r="G16" s="52" t="inlineStr">
        <is>
          <t>FY30</t>
        </is>
      </c>
      <c r="H16" s="52" t="inlineStr">
        <is>
          <t>FY31</t>
        </is>
      </c>
    </row>
    <row r="17" ht="14.25" customHeight="1">
      <c r="A17" t="inlineStr">
        <is>
          <t>LD  · v9 rate</t>
        </is>
      </c>
      <c r="C17" s="135" t="n">
        <v>739</v>
      </c>
      <c r="D17" s="130">
        <f>C17*1.05</f>
        <v/>
      </c>
      <c r="E17" s="131">
        <f>D17*(1+'Dashboard (2)'!$T$1)</f>
        <v/>
      </c>
      <c r="F17" s="131">
        <f>E17*(1+'Dashboard (2)'!$T$1)</f>
        <v/>
      </c>
      <c r="G17" s="131">
        <f>F17*(1+'Dashboard (2)'!$T$1)</f>
        <v/>
      </c>
      <c r="H17" s="131">
        <f>G17*(1+'Dashboard (2)'!$T$1)</f>
        <v/>
      </c>
    </row>
    <row r="18" ht="14.25" customHeight="1">
      <c r="A18" t="inlineStr">
        <is>
          <t>MD  · v9 rate</t>
        </is>
      </c>
      <c r="C18" s="135" t="n">
        <v>887</v>
      </c>
      <c r="D18" s="130">
        <f>C18*1.05</f>
        <v/>
      </c>
      <c r="E18" s="131">
        <f>D18*(1+'Dashboard (2)'!$T$1)</f>
        <v/>
      </c>
      <c r="F18" s="131">
        <f>E18*(1+'Dashboard (2)'!$T$1)</f>
        <v/>
      </c>
      <c r="G18" s="131">
        <f>F18*(1+'Dashboard (2)'!$T$1)</f>
        <v/>
      </c>
      <c r="H18" s="131">
        <f>G18*(1+'Dashboard (2)'!$T$1)</f>
        <v/>
      </c>
    </row>
    <row r="19" ht="14.25" customHeight="1">
      <c r="A19" t="inlineStr">
        <is>
          <t>F-Series  · v9 rate</t>
        </is>
      </c>
      <c r="C19" s="135" t="n">
        <v>887</v>
      </c>
      <c r="D19" s="130">
        <f>C19*1.05</f>
        <v/>
      </c>
      <c r="E19" s="131">
        <f>D19*(1+'Dashboard (2)'!$T$1)</f>
        <v/>
      </c>
      <c r="F19" s="131">
        <f>E19*(1+'Dashboard (2)'!$T$1)</f>
        <v/>
      </c>
      <c r="G19" s="131">
        <f>F19*(1+'Dashboard (2)'!$T$1)</f>
        <v/>
      </c>
      <c r="H19" s="131">
        <f>G19*(1+'Dashboard (2)'!$T$1)</f>
        <v/>
      </c>
    </row>
    <row r="20" ht="14.25" customHeight="1">
      <c r="A20" t="inlineStr">
        <is>
          <t>LCV / D-Max  · EUR 250 ISZE-net base</t>
        </is>
      </c>
      <c r="C20" s="136" t="n">
        <v>250</v>
      </c>
      <c r="D20" s="130">
        <f>C20*1.05</f>
        <v/>
      </c>
      <c r="E20" s="131">
        <f>D20*(1+'Dashboard (2)'!$T$1)</f>
        <v/>
      </c>
      <c r="F20" s="131">
        <f>E20*(1+'Dashboard (2)'!$T$1)</f>
        <v/>
      </c>
      <c r="G20" s="131">
        <f>F20*(1+'Dashboard (2)'!$T$1)</f>
        <v/>
      </c>
      <c r="H20" s="131">
        <f>G20*(1+'Dashboard (2)'!$T$1)</f>
        <v/>
      </c>
    </row>
    <row r="21" ht="14.25" customHeight="1">
      <c r="A21" s="2" t="inlineStr">
        <is>
          <t>CV rates held at v9 (739 / 887) +5% FY27, per Jerome. LCV: EUR 250 base +5% (262.50). FY28-FY31 = previous year x (1 + price input).</t>
        </is>
      </c>
    </row>
    <row r="23" ht="14.25" customHeight="1">
      <c r="A23" s="31" t="inlineStr">
        <is>
          <t>ISZE -&gt; PORTUGAL wholesale (ISZE-net EUR)  &lt;&lt;  EXTENDED TARGET IS SET HERE</t>
        </is>
      </c>
    </row>
    <row r="24" ht="26.25" customHeight="1">
      <c r="C24" s="4" t="inlineStr">
        <is>
          <t>FY25 (Apr'24-Mar'25)</t>
        </is>
      </c>
      <c r="D24" s="4" t="inlineStr">
        <is>
          <t>FY26 (Apr'25-Mar'26)</t>
        </is>
      </c>
      <c r="E24" s="4" t="inlineStr">
        <is>
          <t>FY27 (Apr'26-Mar'27)</t>
        </is>
      </c>
      <c r="F24" s="4" t="inlineStr">
        <is>
          <t>FY28</t>
        </is>
      </c>
      <c r="G24" s="4" t="inlineStr">
        <is>
          <t>FY29</t>
        </is>
      </c>
      <c r="H24" s="4" t="inlineStr">
        <is>
          <t>FY30</t>
        </is>
      </c>
      <c r="I24" s="4" t="inlineStr">
        <is>
          <t>FY31</t>
        </is>
      </c>
    </row>
    <row r="25" ht="14.25" customHeight="1">
      <c r="A25" t="inlineStr">
        <is>
          <t>Max spend / potential (= UIO x ISZE-net rate)</t>
        </is>
      </c>
      <c r="C25" s="10">
        <f>C9*$C$17+C10*$C$18+C11*$C$19+C12*$C$20</f>
        <v/>
      </c>
      <c r="D25" s="10">
        <f>D9*$C$17+D10*$C$18+D11*$C$19+D12*$C$20</f>
        <v/>
      </c>
      <c r="E25" s="10">
        <f>E9*$D$17+E10*$D$18+E11*$D$19+E12*$D$20</f>
        <v/>
      </c>
      <c r="F25" s="127">
        <f>F9*E17+F10*E18+F11*E19+F12*E20</f>
        <v/>
      </c>
      <c r="G25" s="127">
        <f>G9*F17+G10*F18+G11*F19+G12*F20</f>
        <v/>
      </c>
      <c r="H25" s="127">
        <f>H9*G17+H10*G18+H11*G19+H12*G20</f>
        <v/>
      </c>
      <c r="I25" s="127">
        <f>I9*H17+I10*H18+I11*H19+I12*H20</f>
        <v/>
      </c>
    </row>
    <row r="26" ht="14.25" customHeight="1">
      <c r="A26" t="inlineStr">
        <is>
          <t>Actual (ISZE billing) · FY27 = BP target</t>
        </is>
      </c>
      <c r="C26" s="56" t="n">
        <v>1544440.63</v>
      </c>
      <c r="D26" s="56" t="n">
        <v>1813146.85</v>
      </c>
      <c r="E26" s="56" t="n">
        <v>1858269.4</v>
      </c>
      <c r="F26" s="2" t="n"/>
    </row>
    <row r="27" ht="14.25" customHeight="1">
      <c r="A27" t="inlineStr">
        <is>
          <t>Share (GPS, ISZE level)</t>
        </is>
      </c>
      <c r="C27" s="120">
        <f>C26/C25</f>
        <v/>
      </c>
      <c r="D27" s="120">
        <f>D26/D25</f>
        <v/>
      </c>
      <c r="E27" s="120">
        <f>E26/E25</f>
        <v/>
      </c>
    </row>
    <row r="28" ht="14.25" customHeight="1">
      <c r="A28" t="inlineStr">
        <is>
          <t>Stretch (%) = global input, capped at ceiling</t>
        </is>
      </c>
      <c r="C28" s="132" t="n">
        <v>0</v>
      </c>
      <c r="D28" s="132" t="n">
        <v>0</v>
      </c>
      <c r="E28" s="132">
        <f>MAX(0,MIN('Dashboard (2)'!$N$1,'Dashboard (2)'!$Q$1-E27))</f>
        <v/>
      </c>
    </row>
    <row r="29" ht="14.25" customHeight="1">
      <c r="A29" t="inlineStr">
        <is>
          <t>Stretch amount (= max spend x stretch%)</t>
        </is>
      </c>
      <c r="C29" s="10">
        <f>C25*C28</f>
        <v/>
      </c>
      <c r="D29" s="10">
        <f>D25*D28</f>
        <v/>
      </c>
      <c r="E29" s="30">
        <f>E25*E28</f>
        <v/>
      </c>
    </row>
    <row r="30" ht="14.25" customHeight="1">
      <c r="A30" s="9" t="inlineStr">
        <is>
          <t>TTL amount (= actual + stretch)  &lt;&lt;  EXTENDED TARGET</t>
        </is>
      </c>
      <c r="C30" s="13">
        <f>C26+C29</f>
        <v/>
      </c>
      <c r="D30" s="13">
        <f>D26+D29</f>
        <v/>
      </c>
      <c r="E30" s="22">
        <f>E26+E29</f>
        <v/>
      </c>
    </row>
    <row r="31" ht="14.25" customHeight="1">
      <c r="A31" t="inlineStr">
        <is>
          <t>Share (new)</t>
        </is>
      </c>
      <c r="C31" s="117">
        <f>C30/C25</f>
        <v/>
      </c>
      <c r="D31" s="117">
        <f>D30/D25</f>
        <v/>
      </c>
      <c r="E31" s="117">
        <f>E30/E25</f>
        <v/>
      </c>
    </row>
    <row r="32" ht="14.25" customHeight="1">
      <c r="A32" s="2" t="inlineStr">
        <is>
          <t>Source: 00_derived/gps_billing_fy_ALLCUSTOMERS.csv canonical 'Imotors'.</t>
        </is>
      </c>
    </row>
    <row r="33">
      <c r="A33" s="108" t="inlineStr">
        <is>
          <t>FY28-FY31 max spend (row 25, cols F:I) feeds Dashboard (2). FY27 actual cell E26 = BP reviewed 24-04-2026.</t>
        </is>
      </c>
    </row>
    <row r="34" ht="14.25" customHeight="1">
      <c r="A34" s="58" t="inlineStr">
        <is>
          <t>PORTUGAL -&gt; DEALER level (DB-&gt;DLR) — MH method (35% DB margin gross-up)</t>
        </is>
      </c>
    </row>
    <row r="35" ht="26.25" customHeight="1">
      <c r="C35" s="4" t="inlineStr">
        <is>
          <t>FY25 (Apr'24-Mar'25)</t>
        </is>
      </c>
      <c r="D35" s="4" t="inlineStr">
        <is>
          <t>FY26 (Apr'25-Mar'26)</t>
        </is>
      </c>
      <c r="E35" s="4" t="inlineStr">
        <is>
          <t>FY27 (Apr'26-Mar'27)</t>
        </is>
      </c>
    </row>
    <row r="36" ht="14.25" customHeight="1">
      <c r="A36" t="inlineStr">
        <is>
          <t>Parts Sales DB-to-DLR (actual) · KPI Master File june 2026.xlsx</t>
        </is>
      </c>
      <c r="C36" s="56" t="n">
        <v>2229187</v>
      </c>
      <c r="D36" s="56" t="n">
        <v>4047903</v>
      </c>
      <c r="F36" s="64" t="inlineStr">
        <is>
          <t>FY25 7/12 mo · FY26 12/12 mo</t>
        </is>
      </c>
    </row>
    <row r="37" ht="14.25" customHeight="1">
      <c r="A37" t="inlineStr">
        <is>
          <t>DB margin % (MH assumption — same as testcase B15)</t>
        </is>
      </c>
      <c r="B37" s="133" t="n">
        <v>0.35</v>
      </c>
      <c r="C37" s="134" t="n"/>
      <c r="D37" s="134" t="n"/>
    </row>
    <row r="38" ht="14.25" customHeight="1">
      <c r="A38" t="inlineStr">
        <is>
          <t>Stretch amount at dealer (= ISZE stretch / (1 − margin))  ·  MH E29</t>
        </is>
      </c>
      <c r="E38" s="61">
        <f>-E29/(B37-1)</f>
        <v/>
      </c>
    </row>
    <row r="39" ht="14.25" customHeight="1">
      <c r="A39" s="9" t="inlineStr">
        <is>
          <t>FY27 AMOUNT TO REACH at dealer (= FY26 actual + dealer stretch)</t>
        </is>
      </c>
      <c r="E39" s="62">
        <f>IF(OR(D36="",D36="no KPI data"),"no KPI data",D36+E38)</f>
        <v/>
      </c>
    </row>
    <row r="40" ht="42" customHeight="1">
      <c r="A40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43" ht="14.25" customHeight="1">
      <c r="A43" s="31" t="inlineStr">
        <is>
          <t>GAPS / open items</t>
        </is>
      </c>
    </row>
    <row r="44" ht="22.5" customHeight="1">
      <c r="A44" s="14" t="inlineStr">
        <is>
          <t>1. CV rates on the v9 convention +5%; LCV on MH's chain. Two conventions in one tab — deliberate.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IRELAND — GPS Extended Target FY2027 · Isuzu Ireland   [mixed CV+LCV]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IRELAND UIO by segment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LD (N75/N50/N62)</t>
        </is>
      </c>
      <c r="C9" s="51" t="n">
        <v>749</v>
      </c>
      <c r="D9" s="51" t="n">
        <v>731</v>
      </c>
      <c r="E9" s="51" t="n">
        <v>925</v>
      </c>
      <c r="F9" s="126" t="n">
        <v>1113</v>
      </c>
      <c r="G9" s="126" t="n">
        <v>1296</v>
      </c>
      <c r="H9" s="126" t="n">
        <v>1473</v>
      </c>
      <c r="I9" s="126" t="n">
        <v>1645</v>
      </c>
    </row>
    <row r="10" ht="14.25" customHeight="1">
      <c r="A10" t="inlineStr">
        <is>
          <t>MD</t>
        </is>
      </c>
      <c r="C10" s="51" t="n">
        <v>0</v>
      </c>
      <c r="D10" s="51" t="n">
        <v>0</v>
      </c>
      <c r="E10" s="51" t="n">
        <v>36</v>
      </c>
      <c r="F10" s="126" t="n">
        <v>71</v>
      </c>
      <c r="G10" s="126" t="n">
        <v>105</v>
      </c>
      <c r="H10" s="126" t="n">
        <v>138</v>
      </c>
      <c r="I10" s="126" t="n">
        <v>170</v>
      </c>
    </row>
    <row r="11" ht="14.25" customHeight="1">
      <c r="A11" t="inlineStr">
        <is>
          <t>F-Series</t>
        </is>
      </c>
      <c r="C11" s="51" t="n">
        <v>67</v>
      </c>
      <c r="D11" s="51" t="n">
        <v>92</v>
      </c>
      <c r="E11" s="51" t="n">
        <v>89</v>
      </c>
      <c r="F11" s="126" t="n">
        <v>86</v>
      </c>
      <c r="G11" s="126" t="n">
        <v>83</v>
      </c>
      <c r="H11" s="126" t="n">
        <v>81</v>
      </c>
      <c r="I11" s="126" t="n">
        <v>79</v>
      </c>
    </row>
    <row r="12" ht="14.25" customHeight="1">
      <c r="A12" t="inlineStr">
        <is>
          <t>LCV / D-Max</t>
        </is>
      </c>
      <c r="C12" s="51" t="n">
        <v>1135</v>
      </c>
      <c r="D12" s="51" t="n">
        <v>1338</v>
      </c>
      <c r="E12" s="51" t="n">
        <v>1728</v>
      </c>
      <c r="F12" s="126" t="n">
        <v>2106</v>
      </c>
      <c r="G12" s="126" t="n">
        <v>2473</v>
      </c>
      <c r="H12" s="126" t="n">
        <v>2829</v>
      </c>
      <c r="I12" s="126" t="n">
        <v>3174</v>
      </c>
    </row>
    <row r="13" ht="14.25" customHeight="1">
      <c r="A13" s="9" t="inlineStr">
        <is>
          <t>TTL</t>
        </is>
      </c>
      <c r="C13" s="13">
        <f>SUM(C9:C12)</f>
        <v/>
      </c>
      <c r="D13" s="13">
        <f>SUM(D9:D12)</f>
        <v/>
      </c>
      <c r="E13" s="13">
        <f>SUM(E9:E12)</f>
        <v/>
      </c>
      <c r="F13" s="13">
        <f>SUM(F9:F12)</f>
        <v/>
      </c>
      <c r="G13" s="13">
        <f>SUM(G9:G12)</f>
        <v/>
      </c>
      <c r="H13" s="13">
        <f>SUM(H9:H12)</f>
        <v/>
      </c>
      <c r="I13" s="13">
        <f>SUM(I9:I12)</f>
        <v/>
      </c>
    </row>
    <row r="14" ht="14.25" customHeight="1">
      <c r="A14" s="2" t="inlineStr">
        <is>
          <t>Source: UIO v19 rows 26/27/28/29 — CY2024 / CY2025E / CY2026F mapped to FY25 / FY26 / FY27 (UIO shifted one column right).</t>
        </is>
      </c>
    </row>
    <row r="16" ht="14.25" customHeight="1">
      <c r="A16" s="31" t="inlineStr">
        <is>
          <t>Max spend per unit (EUR, ISZE-net)</t>
        </is>
      </c>
      <c r="C16" s="52" t="inlineStr">
        <is>
          <t>base</t>
        </is>
      </c>
      <c r="D16" s="52" t="inlineStr">
        <is>
          <t>FY27 (+5%)</t>
        </is>
      </c>
      <c r="E16" s="52" t="inlineStr">
        <is>
          <t>FY28</t>
        </is>
      </c>
      <c r="F16" s="52" t="inlineStr">
        <is>
          <t>FY29</t>
        </is>
      </c>
      <c r="G16" s="52" t="inlineStr">
        <is>
          <t>FY30</t>
        </is>
      </c>
      <c r="H16" s="52" t="inlineStr">
        <is>
          <t>FY31</t>
        </is>
      </c>
    </row>
    <row r="17" ht="14.25" customHeight="1">
      <c r="A17" t="inlineStr">
        <is>
          <t>LD  · v9 rate</t>
        </is>
      </c>
      <c r="C17" s="135" t="n">
        <v>739</v>
      </c>
      <c r="D17" s="130">
        <f>C17*1.05</f>
        <v/>
      </c>
      <c r="E17" s="131">
        <f>D17*(1+'Dashboard (2)'!$T$1)</f>
        <v/>
      </c>
      <c r="F17" s="131">
        <f>E17*(1+'Dashboard (2)'!$T$1)</f>
        <v/>
      </c>
      <c r="G17" s="131">
        <f>F17*(1+'Dashboard (2)'!$T$1)</f>
        <v/>
      </c>
      <c r="H17" s="131">
        <f>G17*(1+'Dashboard (2)'!$T$1)</f>
        <v/>
      </c>
    </row>
    <row r="18" ht="14.25" customHeight="1">
      <c r="A18" t="inlineStr">
        <is>
          <t>MD  · v9 rate</t>
        </is>
      </c>
      <c r="C18" s="135" t="n">
        <v>887</v>
      </c>
      <c r="D18" s="130">
        <f>C18*1.05</f>
        <v/>
      </c>
      <c r="E18" s="131">
        <f>D18*(1+'Dashboard (2)'!$T$1)</f>
        <v/>
      </c>
      <c r="F18" s="131">
        <f>E18*(1+'Dashboard (2)'!$T$1)</f>
        <v/>
      </c>
      <c r="G18" s="131">
        <f>F18*(1+'Dashboard (2)'!$T$1)</f>
        <v/>
      </c>
      <c r="H18" s="131">
        <f>G18*(1+'Dashboard (2)'!$T$1)</f>
        <v/>
      </c>
    </row>
    <row r="19" ht="14.25" customHeight="1">
      <c r="A19" t="inlineStr">
        <is>
          <t>F-Series  · v9 rate</t>
        </is>
      </c>
      <c r="C19" s="135" t="n">
        <v>887</v>
      </c>
      <c r="D19" s="130">
        <f>C19*1.05</f>
        <v/>
      </c>
      <c r="E19" s="131">
        <f>D19*(1+'Dashboard (2)'!$T$1)</f>
        <v/>
      </c>
      <c r="F19" s="131">
        <f>E19*(1+'Dashboard (2)'!$T$1)</f>
        <v/>
      </c>
      <c r="G19" s="131">
        <f>F19*(1+'Dashboard (2)'!$T$1)</f>
        <v/>
      </c>
      <c r="H19" s="131">
        <f>G19*(1+'Dashboard (2)'!$T$1)</f>
        <v/>
      </c>
    </row>
    <row r="20" ht="14.25" customHeight="1">
      <c r="A20" t="inlineStr">
        <is>
          <t>LCV / D-Max  · EUR 250 ISZE-net base</t>
        </is>
      </c>
      <c r="C20" s="136" t="n">
        <v>250</v>
      </c>
      <c r="D20" s="130">
        <f>C20*1.05</f>
        <v/>
      </c>
      <c r="E20" s="131">
        <f>D20*(1+'Dashboard (2)'!$T$1)</f>
        <v/>
      </c>
      <c r="F20" s="131">
        <f>E20*(1+'Dashboard (2)'!$T$1)</f>
        <v/>
      </c>
      <c r="G20" s="131">
        <f>F20*(1+'Dashboard (2)'!$T$1)</f>
        <v/>
      </c>
      <c r="H20" s="131">
        <f>G20*(1+'Dashboard (2)'!$T$1)</f>
        <v/>
      </c>
    </row>
    <row r="21" ht="14.25" customHeight="1">
      <c r="A21" s="2" t="inlineStr">
        <is>
          <t>CV rates held at v9 (739 / 887) +5% FY27, per Jerome. LCV: EUR 250 base +5% (262.50). FY28-FY31 = previous year x (1 + price input).</t>
        </is>
      </c>
    </row>
    <row r="23" ht="14.25" customHeight="1">
      <c r="A23" s="31" t="inlineStr">
        <is>
          <t>ISZE -&gt; IRELAND wholesale (ISZE-net EUR)  &lt;&lt;  EXTENDED TARGET IS SET HERE</t>
        </is>
      </c>
    </row>
    <row r="24" ht="26.25" customHeight="1">
      <c r="C24" s="4" t="inlineStr">
        <is>
          <t>FY25 (Apr'24-Mar'25)</t>
        </is>
      </c>
      <c r="D24" s="4" t="inlineStr">
        <is>
          <t>FY26 (Apr'25-Mar'26)</t>
        </is>
      </c>
      <c r="E24" s="4" t="inlineStr">
        <is>
          <t>FY27 (Apr'26-Mar'27)</t>
        </is>
      </c>
      <c r="F24" s="4" t="inlineStr">
        <is>
          <t>FY28</t>
        </is>
      </c>
      <c r="G24" s="4" t="inlineStr">
        <is>
          <t>FY29</t>
        </is>
      </c>
      <c r="H24" s="4" t="inlineStr">
        <is>
          <t>FY30</t>
        </is>
      </c>
      <c r="I24" s="4" t="inlineStr">
        <is>
          <t>FY31</t>
        </is>
      </c>
    </row>
    <row r="25" ht="14.25" customHeight="1">
      <c r="A25" t="inlineStr">
        <is>
          <t>Max spend / potential (= UIO x ISZE-net rate)</t>
        </is>
      </c>
      <c r="C25" s="10">
        <f>C9*$C$17+C10*$C$18+C11*$C$19+C12*$C$20</f>
        <v/>
      </c>
      <c r="D25" s="10">
        <f>D9*$C$17+D10*$C$18+D11*$C$19+D12*$C$20</f>
        <v/>
      </c>
      <c r="E25" s="10">
        <f>E9*$D$17+E10*$D$18+E11*$D$19+E12*$D$20</f>
        <v/>
      </c>
      <c r="F25" s="127">
        <f>F9*E17+F10*E18+F11*E19+F12*E20</f>
        <v/>
      </c>
      <c r="G25" s="127">
        <f>G9*F17+G10*F18+G11*F19+G12*F20</f>
        <v/>
      </c>
      <c r="H25" s="127">
        <f>H9*G17+H10*G18+H11*G19+H12*G20</f>
        <v/>
      </c>
      <c r="I25" s="127">
        <f>I9*H17+I10*H18+I11*H19+I12*H20</f>
        <v/>
      </c>
    </row>
    <row r="26" ht="14.25" customHeight="1">
      <c r="A26" t="inlineStr">
        <is>
          <t>Actual (ISZE billing) · FY27 = BP target</t>
        </is>
      </c>
      <c r="C26" s="56" t="n">
        <v>1222521.53</v>
      </c>
      <c r="D26" s="56" t="n">
        <v>1116861.54</v>
      </c>
      <c r="E26" s="56" t="n">
        <v>1267443.35</v>
      </c>
      <c r="F26" s="2" t="n"/>
    </row>
    <row r="27" ht="14.25" customHeight="1">
      <c r="A27" t="inlineStr">
        <is>
          <t>Share (GPS, ISZE level)</t>
        </is>
      </c>
      <c r="C27" s="120">
        <f>C26/C25</f>
        <v/>
      </c>
      <c r="D27" s="120">
        <f>D26/D25</f>
        <v/>
      </c>
      <c r="E27" s="120">
        <f>E26/E25</f>
        <v/>
      </c>
    </row>
    <row r="28" ht="14.25" customHeight="1">
      <c r="A28" t="inlineStr">
        <is>
          <t>Stretch (%) = global input, capped at ceiling</t>
        </is>
      </c>
      <c r="C28" s="132" t="n">
        <v>0</v>
      </c>
      <c r="D28" s="132" t="n">
        <v>0</v>
      </c>
      <c r="E28" s="132">
        <f>MAX(0,MIN('Dashboard (2)'!$N$1,'Dashboard (2)'!$Q$1-E27))</f>
        <v/>
      </c>
    </row>
    <row r="29" ht="14.25" customHeight="1">
      <c r="A29" t="inlineStr">
        <is>
          <t>Stretch amount (= max spend x stretch%)</t>
        </is>
      </c>
      <c r="C29" s="10">
        <f>C25*C28</f>
        <v/>
      </c>
      <c r="D29" s="10">
        <f>D25*D28</f>
        <v/>
      </c>
      <c r="E29" s="30">
        <f>E25*E28</f>
        <v/>
      </c>
    </row>
    <row r="30" ht="14.25" customHeight="1">
      <c r="A30" s="9" t="inlineStr">
        <is>
          <t>TTL amount (= actual + stretch)  &lt;&lt;  EXTENDED TARGET</t>
        </is>
      </c>
      <c r="C30" s="13">
        <f>C26+C29</f>
        <v/>
      </c>
      <c r="D30" s="13">
        <f>D26+D29</f>
        <v/>
      </c>
      <c r="E30" s="22">
        <f>E26+E29</f>
        <v/>
      </c>
    </row>
    <row r="31" ht="14.25" customHeight="1">
      <c r="A31" t="inlineStr">
        <is>
          <t>Share (new)</t>
        </is>
      </c>
      <c r="C31" s="117">
        <f>C30/C25</f>
        <v/>
      </c>
      <c r="D31" s="117">
        <f>D30/D25</f>
        <v/>
      </c>
      <c r="E31" s="117">
        <f>E30/E25</f>
        <v/>
      </c>
    </row>
    <row r="32" ht="14.25" customHeight="1">
      <c r="A32" s="2" t="inlineStr">
        <is>
          <t>Source: 00_derived/gps_billing_fy_ALLCUSTOMERS.csv canonical 'Ireland'.</t>
        </is>
      </c>
    </row>
    <row r="33">
      <c r="A33" s="108" t="inlineStr">
        <is>
          <t>FY28-FY31 max spend (row 25, cols F:I) feeds Dashboard (2). FY27 actual cell E26 = BP reviewed 24-04-2026.</t>
        </is>
      </c>
    </row>
    <row r="34" ht="14.25" customHeight="1">
      <c r="A34" s="58" t="inlineStr">
        <is>
          <t>IRELAND -&gt; DEALER level (DB-&gt;DLR) — MH method (35% DB margin gross-up)</t>
        </is>
      </c>
    </row>
    <row r="35" ht="26.25" customHeight="1">
      <c r="C35" s="4" t="inlineStr">
        <is>
          <t>FY25 (Apr'24-Mar'25)</t>
        </is>
      </c>
      <c r="D35" s="4" t="inlineStr">
        <is>
          <t>FY26 (Apr'25-Mar'26)</t>
        </is>
      </c>
      <c r="E35" s="4" t="inlineStr">
        <is>
          <t>FY27 (Apr'26-Mar'27)</t>
        </is>
      </c>
    </row>
    <row r="36" ht="14.25" customHeight="1">
      <c r="A36" t="inlineStr">
        <is>
          <t>Parts Sales DB-to-DLR (actual) · KPI Master File june 2026.xlsx</t>
        </is>
      </c>
      <c r="C36" s="56" t="n">
        <v>2687539</v>
      </c>
      <c r="D36" s="56" t="n">
        <v>2833637</v>
      </c>
      <c r="F36" s="2" t="inlineStr">
        <is>
          <t>FY25 12/12 mo · FY26 12/12 mo</t>
        </is>
      </c>
    </row>
    <row r="37" ht="14.25" customHeight="1">
      <c r="A37" t="inlineStr">
        <is>
          <t>DB margin % (MH assumption — same as testcase B15)</t>
        </is>
      </c>
      <c r="B37" s="133" t="n">
        <v>0.35</v>
      </c>
      <c r="C37" s="134" t="n"/>
      <c r="D37" s="134" t="n"/>
    </row>
    <row r="38" ht="14.25" customHeight="1">
      <c r="A38" t="inlineStr">
        <is>
          <t>Stretch amount at dealer (= ISZE stretch / (1 − margin))  ·  MH E29</t>
        </is>
      </c>
      <c r="E38" s="61">
        <f>-E29/(B37-1)</f>
        <v/>
      </c>
    </row>
    <row r="39" ht="14.25" customHeight="1">
      <c r="A39" s="9" t="inlineStr">
        <is>
          <t>FY27 AMOUNT TO REACH at dealer (= FY26 actual + dealer stretch)</t>
        </is>
      </c>
      <c r="E39" s="62">
        <f>IF(OR(D36="",D36="no KPI data"),"no KPI data",D36+E38)</f>
        <v/>
      </c>
    </row>
    <row r="40" ht="42" customHeight="1">
      <c r="A40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43" ht="14.25" customHeight="1">
      <c r="A43" s="31" t="inlineStr">
        <is>
          <t>GAPS / open items</t>
        </is>
      </c>
    </row>
    <row r="44" ht="22.5" customHeight="1">
      <c r="A44" s="14" t="inlineStr">
        <is>
          <t>1. CV rates on the v9 convention +5%; LCV on MH's chain. Two conventions in one tab — deliberate.</t>
        </is>
      </c>
    </row>
    <row r="45" ht="33.75" customHeight="1">
      <c r="A45" s="14" t="inlineStr">
        <is>
          <t>2. TARGET EXCEEDS 100% OF THE PARC'S MAX SPEND (104.6% after stretch). Do not quote a GPS % to this DB — discuss the amount, or agree the per-unit rate first.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GREECE — GPS Extended Target FY2027 · PETROS PETROPOULOS S.A.   [mixed CV+LCV]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GREECE UIO by segment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LD (N75/N50/N62)</t>
        </is>
      </c>
      <c r="C9" s="51" t="n">
        <v>43</v>
      </c>
      <c r="D9" s="51" t="n">
        <v>37</v>
      </c>
      <c r="E9" s="51" t="n">
        <v>56</v>
      </c>
      <c r="F9" s="126" t="n">
        <v>74</v>
      </c>
      <c r="G9" s="126" t="n">
        <v>92</v>
      </c>
      <c r="H9" s="126" t="n">
        <v>109</v>
      </c>
      <c r="I9" s="126" t="n">
        <v>126</v>
      </c>
    </row>
    <row r="10" ht="14.25" customHeight="1">
      <c r="A10" t="inlineStr">
        <is>
          <t>MD</t>
        </is>
      </c>
      <c r="C10" s="51" t="n">
        <v>0</v>
      </c>
      <c r="D10" s="51" t="n">
        <v>0</v>
      </c>
      <c r="E10" s="51" t="n">
        <v>5</v>
      </c>
      <c r="F10" s="126" t="n">
        <v>10</v>
      </c>
      <c r="G10" s="126" t="n">
        <v>15</v>
      </c>
      <c r="H10" s="126" t="n">
        <v>20</v>
      </c>
      <c r="I10" s="126" t="n">
        <v>24</v>
      </c>
    </row>
    <row r="11" ht="14.25" customHeight="1">
      <c r="A11" t="inlineStr">
        <is>
          <t>F-Series</t>
        </is>
      </c>
      <c r="C11" s="51" t="n">
        <v>0</v>
      </c>
      <c r="D11" s="51" t="n">
        <v>0</v>
      </c>
      <c r="E11" s="51" t="n">
        <v>0</v>
      </c>
      <c r="F11" s="126" t="n">
        <v>0</v>
      </c>
      <c r="G11" s="126" t="n">
        <v>0</v>
      </c>
      <c r="H11" s="126" t="n">
        <v>0</v>
      </c>
      <c r="I11" s="126" t="n">
        <v>0</v>
      </c>
    </row>
    <row r="12" ht="14.25" customHeight="1">
      <c r="A12" t="inlineStr">
        <is>
          <t>LCV / D-Max</t>
        </is>
      </c>
      <c r="C12" s="51" t="n">
        <v>3075</v>
      </c>
      <c r="D12" s="51" t="n">
        <v>3705</v>
      </c>
      <c r="E12" s="51" t="n">
        <v>4224</v>
      </c>
      <c r="F12" s="126" t="n">
        <v>4727</v>
      </c>
      <c r="G12" s="126" t="n">
        <v>5215</v>
      </c>
      <c r="H12" s="126" t="n">
        <v>5689</v>
      </c>
      <c r="I12" s="126" t="n">
        <v>6148</v>
      </c>
    </row>
    <row r="13" ht="14.25" customHeight="1">
      <c r="A13" s="9" t="inlineStr">
        <is>
          <t>TTL</t>
        </is>
      </c>
      <c r="C13" s="13">
        <f>SUM(C9:C12)</f>
        <v/>
      </c>
      <c r="D13" s="13">
        <f>SUM(D9:D12)</f>
        <v/>
      </c>
      <c r="E13" s="13">
        <f>SUM(E9:E12)</f>
        <v/>
      </c>
      <c r="F13" s="13">
        <f>SUM(F9:F12)</f>
        <v/>
      </c>
      <c r="G13" s="13">
        <f>SUM(G9:G12)</f>
        <v/>
      </c>
      <c r="H13" s="13">
        <f>SUM(H9:H12)</f>
        <v/>
      </c>
      <c r="I13" s="13">
        <f>SUM(I9:I12)</f>
        <v/>
      </c>
    </row>
    <row r="14" ht="14.25" customHeight="1">
      <c r="A14" s="2" t="inlineStr">
        <is>
          <t>Source: UIO v19 rows 79/80/-/81 — CY2024 / CY2025E / CY2026F mapped to FY25 / FY26 / FY27 (UIO shifted one column right).</t>
        </is>
      </c>
    </row>
    <row r="16" ht="14.25" customHeight="1">
      <c r="A16" s="31" t="inlineStr">
        <is>
          <t>Max spend per unit (EUR, ISZE-net)</t>
        </is>
      </c>
      <c r="C16" s="52" t="inlineStr">
        <is>
          <t>base</t>
        </is>
      </c>
      <c r="D16" s="52" t="inlineStr">
        <is>
          <t>FY27 (+5%)</t>
        </is>
      </c>
      <c r="E16" s="52" t="inlineStr">
        <is>
          <t>FY28</t>
        </is>
      </c>
      <c r="F16" s="52" t="inlineStr">
        <is>
          <t>FY29</t>
        </is>
      </c>
      <c r="G16" s="52" t="inlineStr">
        <is>
          <t>FY30</t>
        </is>
      </c>
      <c r="H16" s="52" t="inlineStr">
        <is>
          <t>FY31</t>
        </is>
      </c>
    </row>
    <row r="17" ht="14.25" customHeight="1">
      <c r="A17" t="inlineStr">
        <is>
          <t>LD  · v9 rate</t>
        </is>
      </c>
      <c r="C17" s="135" t="n">
        <v>739</v>
      </c>
      <c r="D17" s="130">
        <f>C17*1.05</f>
        <v/>
      </c>
      <c r="E17" s="131">
        <f>D17*(1+'Dashboard (2)'!$T$1)</f>
        <v/>
      </c>
      <c r="F17" s="131">
        <f>E17*(1+'Dashboard (2)'!$T$1)</f>
        <v/>
      </c>
      <c r="G17" s="131">
        <f>F17*(1+'Dashboard (2)'!$T$1)</f>
        <v/>
      </c>
      <c r="H17" s="131">
        <f>G17*(1+'Dashboard (2)'!$T$1)</f>
        <v/>
      </c>
    </row>
    <row r="18" ht="14.25" customHeight="1">
      <c r="A18" t="inlineStr">
        <is>
          <t>MD  · v9 rate</t>
        </is>
      </c>
      <c r="C18" s="135" t="n">
        <v>887</v>
      </c>
      <c r="D18" s="130">
        <f>C18*1.05</f>
        <v/>
      </c>
      <c r="E18" s="131">
        <f>D18*(1+'Dashboard (2)'!$T$1)</f>
        <v/>
      </c>
      <c r="F18" s="131">
        <f>E18*(1+'Dashboard (2)'!$T$1)</f>
        <v/>
      </c>
      <c r="G18" s="131">
        <f>F18*(1+'Dashboard (2)'!$T$1)</f>
        <v/>
      </c>
      <c r="H18" s="131">
        <f>G18*(1+'Dashboard (2)'!$T$1)</f>
        <v/>
      </c>
    </row>
    <row r="19" ht="14.25" customHeight="1">
      <c r="A19" t="inlineStr">
        <is>
          <t>F-Series  · v9 rate</t>
        </is>
      </c>
      <c r="C19" s="135" t="n">
        <v>887</v>
      </c>
      <c r="D19" s="130">
        <f>C19*1.05</f>
        <v/>
      </c>
      <c r="E19" s="131">
        <f>D19*(1+'Dashboard (2)'!$T$1)</f>
        <v/>
      </c>
      <c r="F19" s="131">
        <f>E19*(1+'Dashboard (2)'!$T$1)</f>
        <v/>
      </c>
      <c r="G19" s="131">
        <f>F19*(1+'Dashboard (2)'!$T$1)</f>
        <v/>
      </c>
      <c r="H19" s="131">
        <f>G19*(1+'Dashboard (2)'!$T$1)</f>
        <v/>
      </c>
    </row>
    <row r="20" ht="14.25" customHeight="1">
      <c r="A20" t="inlineStr">
        <is>
          <t>LCV / D-Max  · EUR 250 ISZE-net base</t>
        </is>
      </c>
      <c r="C20" s="136" t="n">
        <v>250</v>
      </c>
      <c r="D20" s="130">
        <f>C20*1.05</f>
        <v/>
      </c>
      <c r="E20" s="131">
        <f>D20*(1+'Dashboard (2)'!$T$1)</f>
        <v/>
      </c>
      <c r="F20" s="131">
        <f>E20*(1+'Dashboard (2)'!$T$1)</f>
        <v/>
      </c>
      <c r="G20" s="131">
        <f>F20*(1+'Dashboard (2)'!$T$1)</f>
        <v/>
      </c>
      <c r="H20" s="131">
        <f>G20*(1+'Dashboard (2)'!$T$1)</f>
        <v/>
      </c>
    </row>
    <row r="21" ht="14.25" customHeight="1">
      <c r="A21" s="2" t="inlineStr">
        <is>
          <t>CV rates held at v9 (739 / 887) +5% FY27, per Jerome. LCV: EUR 250 base +5% (262.50). FY28-FY31 = previous year x (1 + price input).</t>
        </is>
      </c>
    </row>
    <row r="23" ht="14.25" customHeight="1">
      <c r="A23" s="31" t="inlineStr">
        <is>
          <t>ISZE -&gt; GREECE wholesale (ISZE-net EUR)  &lt;&lt;  EXTENDED TARGET IS SET HERE</t>
        </is>
      </c>
    </row>
    <row r="24" ht="26.25" customHeight="1">
      <c r="C24" s="4" t="inlineStr">
        <is>
          <t>FY25 (Apr'24-Mar'25)</t>
        </is>
      </c>
      <c r="D24" s="4" t="inlineStr">
        <is>
          <t>FY26 (Apr'25-Mar'26)</t>
        </is>
      </c>
      <c r="E24" s="4" t="inlineStr">
        <is>
          <t>FY27 (Apr'26-Mar'27)</t>
        </is>
      </c>
      <c r="F24" s="4" t="inlineStr">
        <is>
          <t>FY28</t>
        </is>
      </c>
      <c r="G24" s="4" t="inlineStr">
        <is>
          <t>FY29</t>
        </is>
      </c>
      <c r="H24" s="4" t="inlineStr">
        <is>
          <t>FY30</t>
        </is>
      </c>
      <c r="I24" s="4" t="inlineStr">
        <is>
          <t>FY31</t>
        </is>
      </c>
    </row>
    <row r="25" ht="14.25" customHeight="1">
      <c r="A25" t="inlineStr">
        <is>
          <t>Max spend / potential (= UIO x ISZE-net rate)</t>
        </is>
      </c>
      <c r="C25" s="10">
        <f>C9*$C$17+C10*$C$18+C11*$C$19+C12*$C$20</f>
        <v/>
      </c>
      <c r="D25" s="10">
        <f>D9*$C$17+D10*$C$18+D11*$C$19+D12*$C$20</f>
        <v/>
      </c>
      <c r="E25" s="10">
        <f>E9*$D$17+E10*$D$18+E11*$D$19+E12*$D$20</f>
        <v/>
      </c>
      <c r="F25" s="127">
        <f>F9*E17+F10*E18+F11*E19+F12*E20</f>
        <v/>
      </c>
      <c r="G25" s="127">
        <f>G9*F17+G10*F18+G11*F19+G12*F20</f>
        <v/>
      </c>
      <c r="H25" s="127">
        <f>H9*G17+H10*G18+H11*G19+H12*G20</f>
        <v/>
      </c>
      <c r="I25" s="127">
        <f>I9*H17+I10*H18+I11*H19+I12*H20</f>
        <v/>
      </c>
    </row>
    <row r="26" ht="14.25" customHeight="1">
      <c r="A26" t="inlineStr">
        <is>
          <t>Actual (ISZE billing) · FY27 = BP target</t>
        </is>
      </c>
      <c r="C26" s="56" t="n">
        <v>460697.42</v>
      </c>
      <c r="D26" s="56" t="n">
        <v>460633.72</v>
      </c>
      <c r="E26" s="56" t="n">
        <v>574400</v>
      </c>
      <c r="F26" s="2" t="n"/>
    </row>
    <row r="27" ht="14.25" customHeight="1">
      <c r="A27" t="inlineStr">
        <is>
          <t>Share (GPS, ISZE level)</t>
        </is>
      </c>
      <c r="C27" s="120">
        <f>C26/C25</f>
        <v/>
      </c>
      <c r="D27" s="120">
        <f>D26/D25</f>
        <v/>
      </c>
      <c r="E27" s="120">
        <f>E26/E25</f>
        <v/>
      </c>
    </row>
    <row r="28" ht="14.25" customHeight="1">
      <c r="A28" t="inlineStr">
        <is>
          <t>Stretch (%) = global input, capped at ceiling</t>
        </is>
      </c>
      <c r="C28" s="132" t="n">
        <v>0</v>
      </c>
      <c r="D28" s="132" t="n">
        <v>0</v>
      </c>
      <c r="E28" s="132">
        <f>MAX(0,MIN('Dashboard (2)'!$N$1,'Dashboard (2)'!$Q$1-E27))</f>
        <v/>
      </c>
    </row>
    <row r="29" ht="14.25" customHeight="1">
      <c r="A29" t="inlineStr">
        <is>
          <t>Stretch amount (= max spend x stretch%)</t>
        </is>
      </c>
      <c r="C29" s="10">
        <f>C25*C28</f>
        <v/>
      </c>
      <c r="D29" s="10">
        <f>D25*D28</f>
        <v/>
      </c>
      <c r="E29" s="30">
        <f>E25*E28</f>
        <v/>
      </c>
    </row>
    <row r="30" ht="14.25" customHeight="1">
      <c r="A30" s="9" t="inlineStr">
        <is>
          <t>TTL amount (= actual + stretch)  &lt;&lt;  EXTENDED TARGET</t>
        </is>
      </c>
      <c r="C30" s="13">
        <f>C26+C29</f>
        <v/>
      </c>
      <c r="D30" s="13">
        <f>D26+D29</f>
        <v/>
      </c>
      <c r="E30" s="22">
        <f>E26+E29</f>
        <v/>
      </c>
    </row>
    <row r="31" ht="14.25" customHeight="1">
      <c r="A31" t="inlineStr">
        <is>
          <t>Share (new)</t>
        </is>
      </c>
      <c r="C31" s="117">
        <f>C30/C25</f>
        <v/>
      </c>
      <c r="D31" s="117">
        <f>D30/D25</f>
        <v/>
      </c>
      <c r="E31" s="117">
        <f>E30/E25</f>
        <v/>
      </c>
    </row>
    <row r="32" ht="14.25" customHeight="1">
      <c r="A32" s="2" t="inlineStr">
        <is>
          <t>Source: 00_derived/gps_billing_fy_ALLCUSTOMERS.csv canonical 'RSA'.</t>
        </is>
      </c>
    </row>
    <row r="33">
      <c r="A33" s="108" t="inlineStr">
        <is>
          <t>FY28-FY31 max spend (row 25, cols F:I) feeds Dashboard (2). FY27 actual cell E26 = BP reviewed 24-04-2026.</t>
        </is>
      </c>
    </row>
    <row r="34" ht="14.25" customHeight="1">
      <c r="A34" s="58" t="inlineStr">
        <is>
          <t>GREECE -&gt; DEALER level (DB-&gt;DLR) — MH method (35% DB margin gross-up)</t>
        </is>
      </c>
    </row>
    <row r="35" ht="26.25" customHeight="1">
      <c r="C35" s="4" t="inlineStr">
        <is>
          <t>FY25 (Apr'24-Mar'25)</t>
        </is>
      </c>
      <c r="D35" s="4" t="inlineStr">
        <is>
          <t>FY26 (Apr'25-Mar'26)</t>
        </is>
      </c>
      <c r="E35" s="4" t="inlineStr">
        <is>
          <t>FY27 (Apr'26-Mar'27)</t>
        </is>
      </c>
    </row>
    <row r="36" ht="14.25" customHeight="1">
      <c r="A36" t="inlineStr">
        <is>
          <t>Parts Sales DB-to-DLR (actual) · KPI Master File june 2026.xlsx</t>
        </is>
      </c>
      <c r="C36" s="56" t="n">
        <v>515115</v>
      </c>
      <c r="D36" s="56" t="n"/>
      <c r="F36" s="64" t="inlineStr">
        <is>
          <t>FY25 8/12 mo · FY26 0/12 mo</t>
        </is>
      </c>
    </row>
    <row r="37" ht="14.25" customHeight="1">
      <c r="A37" t="inlineStr">
        <is>
          <t>DB margin % (MH assumption — same as testcase B15)</t>
        </is>
      </c>
      <c r="B37" s="133" t="n">
        <v>0.35</v>
      </c>
      <c r="C37" s="134" t="n"/>
      <c r="D37" s="134" t="n"/>
    </row>
    <row r="38" ht="14.25" customHeight="1">
      <c r="A38" t="inlineStr">
        <is>
          <t>Stretch amount at dealer (= ISZE stretch / (1 − margin))  ·  MH E29</t>
        </is>
      </c>
      <c r="E38" s="61">
        <f>-E29/(B37-1)</f>
        <v/>
      </c>
    </row>
    <row r="39" ht="14.25" customHeight="1">
      <c r="A39" s="9" t="inlineStr">
        <is>
          <t>FY27 AMOUNT TO REACH at dealer (= FY26 actual + dealer stretch)</t>
        </is>
      </c>
      <c r="E39" s="62">
        <f>IF(OR(D36="",D36="no KPI data"),"no KPI data",D36+E38)</f>
        <v/>
      </c>
    </row>
    <row r="40" ht="42" customHeight="1">
      <c r="A40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43" ht="14.25" customHeight="1">
      <c r="A43" s="31" t="inlineStr">
        <is>
          <t>GAPS / open items</t>
        </is>
      </c>
    </row>
    <row r="44" ht="22.5" customHeight="1">
      <c r="A44" s="14" t="inlineStr">
        <is>
          <t>1. CV rates on the v9 convention +5%; LCV on MH's chain. Two conventions in one tab — deliberate.</t>
        </is>
      </c>
    </row>
    <row r="45" ht="33.75" customHeight="1">
      <c r="A45" s="14" t="inlineStr">
        <is>
          <t>2. Billing = payer 66, which the billing file labels 'RSA'. It is GREECE (Jerome, 17-07-2026), not Norway. Cross-check: 460,634 less ~23k warranty = 437,642 = V4's 35.69% ex-warranty. Label bug is live at source.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CYPRUS — GPS Extended Target FY2027 · LOUTSIOS A &amp; SONS LTD   [mixed CV+LCV]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CYPRUS UIO by segment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LD (N75/N50/N62)</t>
        </is>
      </c>
      <c r="C9" s="51" t="n">
        <v>213</v>
      </c>
      <c r="D9" s="51" t="n">
        <v>203</v>
      </c>
      <c r="E9" s="51" t="n">
        <v>227</v>
      </c>
      <c r="F9" s="126" t="n">
        <v>250</v>
      </c>
      <c r="G9" s="126" t="n">
        <v>272</v>
      </c>
      <c r="H9" s="126" t="n">
        <v>294</v>
      </c>
      <c r="I9" s="126" t="n">
        <v>315</v>
      </c>
    </row>
    <row r="10" ht="14.25" customHeight="1">
      <c r="A10" t="inlineStr">
        <is>
          <t>MD</t>
        </is>
      </c>
      <c r="C10" s="51" t="n">
        <v>0</v>
      </c>
      <c r="D10" s="51" t="n">
        <v>0</v>
      </c>
      <c r="E10" s="51" t="n">
        <v>5</v>
      </c>
      <c r="F10" s="126" t="n">
        <v>10</v>
      </c>
      <c r="G10" s="126" t="n">
        <v>15</v>
      </c>
      <c r="H10" s="126" t="n">
        <v>20</v>
      </c>
      <c r="I10" s="126" t="n">
        <v>24</v>
      </c>
    </row>
    <row r="11" ht="14.25" customHeight="1">
      <c r="A11" t="inlineStr">
        <is>
          <t>F-Series</t>
        </is>
      </c>
      <c r="C11" s="51" t="n">
        <v>0</v>
      </c>
      <c r="D11" s="51" t="n">
        <v>0</v>
      </c>
      <c r="E11" s="51" t="n">
        <v>0</v>
      </c>
      <c r="F11" s="126" t="n">
        <v>0</v>
      </c>
      <c r="G11" s="126" t="n">
        <v>0</v>
      </c>
      <c r="H11" s="126" t="n">
        <v>0</v>
      </c>
      <c r="I11" s="126" t="n">
        <v>0</v>
      </c>
    </row>
    <row r="12" ht="14.25" customHeight="1">
      <c r="A12" t="inlineStr">
        <is>
          <t>LCV / D-Max</t>
        </is>
      </c>
      <c r="C12" s="51" t="n">
        <v>1859</v>
      </c>
      <c r="D12" s="51" t="n">
        <v>2105</v>
      </c>
      <c r="E12" s="51" t="n">
        <v>2402</v>
      </c>
      <c r="F12" s="126" t="n">
        <v>2730</v>
      </c>
      <c r="G12" s="126" t="n">
        <v>3008</v>
      </c>
      <c r="H12" s="126" t="n">
        <v>3278</v>
      </c>
      <c r="I12" s="126" t="n">
        <v>3540</v>
      </c>
    </row>
    <row r="13" ht="14.25" customHeight="1">
      <c r="A13" s="9" t="inlineStr">
        <is>
          <t>TTL</t>
        </is>
      </c>
      <c r="C13" s="13">
        <f>SUM(C9:C12)</f>
        <v/>
      </c>
      <c r="D13" s="13">
        <f>SUM(D9:D12)</f>
        <v/>
      </c>
      <c r="E13" s="13">
        <f>SUM(E9:E12)</f>
        <v/>
      </c>
      <c r="F13" s="13">
        <f>SUM(F9:F12)</f>
        <v/>
      </c>
      <c r="G13" s="13">
        <f>SUM(G9:G12)</f>
        <v/>
      </c>
      <c r="H13" s="13">
        <f>SUM(H9:H12)</f>
        <v/>
      </c>
      <c r="I13" s="13">
        <f>SUM(I9:I12)</f>
        <v/>
      </c>
    </row>
    <row r="14" ht="14.25" customHeight="1">
      <c r="A14" s="2" t="inlineStr">
        <is>
          <t>Source: UIO v19 rows 88/89/-/90 — CY2024 / CY2025E / CY2026F mapped to FY25 / FY26 / FY27 (UIO shifted one column right).</t>
        </is>
      </c>
    </row>
    <row r="16" ht="14.25" customHeight="1">
      <c r="A16" s="31" t="inlineStr">
        <is>
          <t>Max spend per unit (EUR, ISZE-net)</t>
        </is>
      </c>
      <c r="C16" s="52" t="inlineStr">
        <is>
          <t>base</t>
        </is>
      </c>
      <c r="D16" s="52" t="inlineStr">
        <is>
          <t>FY27 (+5%)</t>
        </is>
      </c>
      <c r="E16" s="52" t="inlineStr">
        <is>
          <t>FY28</t>
        </is>
      </c>
      <c r="F16" s="52" t="inlineStr">
        <is>
          <t>FY29</t>
        </is>
      </c>
      <c r="G16" s="52" t="inlineStr">
        <is>
          <t>FY30</t>
        </is>
      </c>
      <c r="H16" s="52" t="inlineStr">
        <is>
          <t>FY31</t>
        </is>
      </c>
    </row>
    <row r="17" ht="14.25" customHeight="1">
      <c r="A17" t="inlineStr">
        <is>
          <t>LD  · v9 rate</t>
        </is>
      </c>
      <c r="C17" s="135" t="n">
        <v>739</v>
      </c>
      <c r="D17" s="130">
        <f>C17*1.05</f>
        <v/>
      </c>
      <c r="E17" s="131">
        <f>D17*(1+'Dashboard (2)'!$T$1)</f>
        <v/>
      </c>
      <c r="F17" s="131">
        <f>E17*(1+'Dashboard (2)'!$T$1)</f>
        <v/>
      </c>
      <c r="G17" s="131">
        <f>F17*(1+'Dashboard (2)'!$T$1)</f>
        <v/>
      </c>
      <c r="H17" s="131">
        <f>G17*(1+'Dashboard (2)'!$T$1)</f>
        <v/>
      </c>
    </row>
    <row r="18" ht="14.25" customHeight="1">
      <c r="A18" t="inlineStr">
        <is>
          <t>MD  · v9 rate</t>
        </is>
      </c>
      <c r="C18" s="135" t="n">
        <v>887</v>
      </c>
      <c r="D18" s="130">
        <f>C18*1.05</f>
        <v/>
      </c>
      <c r="E18" s="131">
        <f>D18*(1+'Dashboard (2)'!$T$1)</f>
        <v/>
      </c>
      <c r="F18" s="131">
        <f>E18*(1+'Dashboard (2)'!$T$1)</f>
        <v/>
      </c>
      <c r="G18" s="131">
        <f>F18*(1+'Dashboard (2)'!$T$1)</f>
        <v/>
      </c>
      <c r="H18" s="131">
        <f>G18*(1+'Dashboard (2)'!$T$1)</f>
        <v/>
      </c>
    </row>
    <row r="19" ht="14.25" customHeight="1">
      <c r="A19" t="inlineStr">
        <is>
          <t>F-Series  · v9 rate</t>
        </is>
      </c>
      <c r="C19" s="135" t="n">
        <v>887</v>
      </c>
      <c r="D19" s="130">
        <f>C19*1.05</f>
        <v/>
      </c>
      <c r="E19" s="131">
        <f>D19*(1+'Dashboard (2)'!$T$1)</f>
        <v/>
      </c>
      <c r="F19" s="131">
        <f>E19*(1+'Dashboard (2)'!$T$1)</f>
        <v/>
      </c>
      <c r="G19" s="131">
        <f>F19*(1+'Dashboard (2)'!$T$1)</f>
        <v/>
      </c>
      <c r="H19" s="131">
        <f>G19*(1+'Dashboard (2)'!$T$1)</f>
        <v/>
      </c>
    </row>
    <row r="20" ht="14.25" customHeight="1">
      <c r="A20" t="inlineStr">
        <is>
          <t>LCV / D-Max  · EUR 250 ISZE-net base</t>
        </is>
      </c>
      <c r="C20" s="136" t="n">
        <v>250</v>
      </c>
      <c r="D20" s="130">
        <f>C20*1.05</f>
        <v/>
      </c>
      <c r="E20" s="131">
        <f>D20*(1+'Dashboard (2)'!$T$1)</f>
        <v/>
      </c>
      <c r="F20" s="131">
        <f>E20*(1+'Dashboard (2)'!$T$1)</f>
        <v/>
      </c>
      <c r="G20" s="131">
        <f>F20*(1+'Dashboard (2)'!$T$1)</f>
        <v/>
      </c>
      <c r="H20" s="131">
        <f>G20*(1+'Dashboard (2)'!$T$1)</f>
        <v/>
      </c>
    </row>
    <row r="21" ht="14.25" customHeight="1">
      <c r="A21" s="2" t="inlineStr">
        <is>
          <t>CV rates held at v9 (739 / 887) +5% FY27, per Jerome. LCV: EUR 250 base +5% (262.50). FY28-FY31 = previous year x (1 + price input).</t>
        </is>
      </c>
    </row>
    <row r="23" ht="14.25" customHeight="1">
      <c r="A23" s="31" t="inlineStr">
        <is>
          <t>ISZE -&gt; CYPRUS wholesale (ISZE-net EUR)  &lt;&lt;  EXTENDED TARGET IS SET HERE</t>
        </is>
      </c>
    </row>
    <row r="24" ht="26.25" customHeight="1">
      <c r="C24" s="4" t="inlineStr">
        <is>
          <t>FY25 (Apr'24-Mar'25)</t>
        </is>
      </c>
      <c r="D24" s="4" t="inlineStr">
        <is>
          <t>FY26 (Apr'25-Mar'26)</t>
        </is>
      </c>
      <c r="E24" s="4" t="inlineStr">
        <is>
          <t>FY27 (Apr'26-Mar'27)</t>
        </is>
      </c>
      <c r="F24" s="4" t="inlineStr">
        <is>
          <t>FY28</t>
        </is>
      </c>
      <c r="G24" s="4" t="inlineStr">
        <is>
          <t>FY29</t>
        </is>
      </c>
      <c r="H24" s="4" t="inlineStr">
        <is>
          <t>FY30</t>
        </is>
      </c>
      <c r="I24" s="4" t="inlineStr">
        <is>
          <t>FY31</t>
        </is>
      </c>
    </row>
    <row r="25" ht="14.25" customHeight="1">
      <c r="A25" t="inlineStr">
        <is>
          <t>Max spend / potential (= UIO x ISZE-net rate)</t>
        </is>
      </c>
      <c r="C25" s="10">
        <f>C9*$C$17+C10*$C$18+C11*$C$19+C12*$C$20</f>
        <v/>
      </c>
      <c r="D25" s="10">
        <f>D9*$C$17+D10*$C$18+D11*$C$19+D12*$C$20</f>
        <v/>
      </c>
      <c r="E25" s="10">
        <f>E9*$D$17+E10*$D$18+E11*$D$19+E12*$D$20</f>
        <v/>
      </c>
      <c r="F25" s="127">
        <f>F9*E17+F10*E18+F11*E19+F12*E20</f>
        <v/>
      </c>
      <c r="G25" s="127">
        <f>G9*F17+G10*F18+G11*F19+G12*F20</f>
        <v/>
      </c>
      <c r="H25" s="127">
        <f>H9*G17+H10*G18+H11*G19+H12*G20</f>
        <v/>
      </c>
      <c r="I25" s="127">
        <f>I9*H17+I10*H18+I11*H19+I12*H20</f>
        <v/>
      </c>
    </row>
    <row r="26" ht="14.25" customHeight="1">
      <c r="A26" t="inlineStr">
        <is>
          <t>Actual (ISZE billing) · FY27 = BP target</t>
        </is>
      </c>
      <c r="C26" s="56" t="n">
        <v>395930.56</v>
      </c>
      <c r="D26" s="56" t="n">
        <v>401055.88</v>
      </c>
      <c r="E26" s="56" t="n">
        <v>539600</v>
      </c>
      <c r="F26" s="2" t="n"/>
    </row>
    <row r="27" ht="14.25" customHeight="1">
      <c r="A27" t="inlineStr">
        <is>
          <t>Share (GPS, ISZE level)</t>
        </is>
      </c>
      <c r="C27" s="120">
        <f>C26/C25</f>
        <v/>
      </c>
      <c r="D27" s="120">
        <f>D26/D25</f>
        <v/>
      </c>
      <c r="E27" s="120">
        <f>E26/E25</f>
        <v/>
      </c>
    </row>
    <row r="28" ht="14.25" customHeight="1">
      <c r="A28" t="inlineStr">
        <is>
          <t>Stretch (%) = global input, capped at ceiling</t>
        </is>
      </c>
      <c r="C28" s="132" t="n">
        <v>0</v>
      </c>
      <c r="D28" s="132" t="n">
        <v>0</v>
      </c>
      <c r="E28" s="132">
        <f>MAX(0,MIN('Dashboard (2)'!$N$1,'Dashboard (2)'!$Q$1-E27))</f>
        <v/>
      </c>
    </row>
    <row r="29" ht="14.25" customHeight="1">
      <c r="A29" t="inlineStr">
        <is>
          <t>Stretch amount (= max spend x stretch%)</t>
        </is>
      </c>
      <c r="C29" s="10">
        <f>C25*C28</f>
        <v/>
      </c>
      <c r="D29" s="10">
        <f>D25*D28</f>
        <v/>
      </c>
      <c r="E29" s="30">
        <f>E25*E28</f>
        <v/>
      </c>
    </row>
    <row r="30" ht="14.25" customHeight="1">
      <c r="A30" s="9" t="inlineStr">
        <is>
          <t>TTL amount (= actual + stretch)  &lt;&lt;  EXTENDED TARGET</t>
        </is>
      </c>
      <c r="C30" s="13">
        <f>C26+C29</f>
        <v/>
      </c>
      <c r="D30" s="13">
        <f>D26+D29</f>
        <v/>
      </c>
      <c r="E30" s="22">
        <f>E26+E29</f>
        <v/>
      </c>
    </row>
    <row r="31" ht="14.25" customHeight="1">
      <c r="A31" t="inlineStr">
        <is>
          <t>Share (new)</t>
        </is>
      </c>
      <c r="C31" s="117">
        <f>C30/C25</f>
        <v/>
      </c>
      <c r="D31" s="117">
        <f>D30/D25</f>
        <v/>
      </c>
      <c r="E31" s="117">
        <f>E30/E25</f>
        <v/>
      </c>
    </row>
    <row r="32" ht="14.25" customHeight="1">
      <c r="A32" s="2" t="inlineStr">
        <is>
          <t>Source: 00_derived/gps_billing_fy_ALLCUSTOMERS.csv canonical 'Loutsios'.</t>
        </is>
      </c>
    </row>
    <row r="33">
      <c r="A33" s="108" t="inlineStr">
        <is>
          <t>FY28-FY31 max spend (row 25, cols F:I) feeds Dashboard (2). FY27 actual cell E26 = BP reviewed 24-04-2026.</t>
        </is>
      </c>
    </row>
    <row r="34" ht="14.25" customHeight="1">
      <c r="A34" s="58" t="inlineStr">
        <is>
          <t>CYPRUS -&gt; DEALER level (DB-&gt;DLR) — MH method (35% DB margin gross-up)</t>
        </is>
      </c>
    </row>
    <row r="35" ht="26.25" customHeight="1">
      <c r="C35" s="4" t="inlineStr">
        <is>
          <t>FY25 (Apr'24-Mar'25)</t>
        </is>
      </c>
      <c r="D35" s="4" t="inlineStr">
        <is>
          <t>FY26 (Apr'25-Mar'26)</t>
        </is>
      </c>
      <c r="E35" s="4" t="inlineStr">
        <is>
          <t>FY27 (Apr'26-Mar'27)</t>
        </is>
      </c>
    </row>
    <row r="36" ht="14.25" customHeight="1">
      <c r="A36" t="inlineStr">
        <is>
          <t>Parts Sales DB-to-DLR (actual) · KPI Master File june 2026.xlsx</t>
        </is>
      </c>
      <c r="C36" s="56" t="n"/>
      <c r="D36" s="56" t="n"/>
      <c r="F36" s="64" t="inlineStr">
        <is>
          <t>FY25 0/12 mo · FY26 0/12 mo</t>
        </is>
      </c>
    </row>
    <row r="37" ht="14.25" customHeight="1">
      <c r="A37" t="inlineStr">
        <is>
          <t>DB margin % (MH assumption — same as testcase B15)</t>
        </is>
      </c>
      <c r="B37" s="133" t="n">
        <v>0.35</v>
      </c>
      <c r="C37" s="134" t="n"/>
      <c r="D37" s="134" t="n"/>
    </row>
    <row r="38" ht="14.25" customHeight="1">
      <c r="A38" t="inlineStr">
        <is>
          <t>Stretch amount at dealer (= ISZE stretch / (1 − margin))  ·  MH E29</t>
        </is>
      </c>
      <c r="E38" s="61">
        <f>-E29/(B37-1)</f>
        <v/>
      </c>
    </row>
    <row r="39" ht="14.25" customHeight="1">
      <c r="A39" s="9" t="inlineStr">
        <is>
          <t>FY27 AMOUNT TO REACH at dealer (= FY26 actual + dealer stretch)</t>
        </is>
      </c>
      <c r="E39" s="62">
        <f>IF(OR(D36="",D36="no KPI data"),"no KPI data",D36+E38)</f>
        <v/>
      </c>
    </row>
    <row r="40" ht="42" customHeight="1">
      <c r="A40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43" ht="14.25" customHeight="1">
      <c r="A43" s="31" t="inlineStr">
        <is>
          <t>GAPS / open items</t>
        </is>
      </c>
    </row>
    <row r="44" ht="22.5" customHeight="1">
      <c r="A44" s="14" t="inlineStr">
        <is>
          <t>1. CV rates on the v9 convention +5%; LCV on MH's chain. Two conventions in one tab — deliberate.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54" customWidth="1" min="1" max="1"/>
    <col width="13" customWidth="1" min="2" max="2"/>
    <col width="15" customWidth="1" min="3" max="5"/>
    <col width="14" customWidth="1" min="6" max="6"/>
    <col width="3" customWidth="1" min="7" max="7"/>
    <col width="12" customWidth="1" min="8" max="8"/>
    <col width="30" customWidth="1" min="9" max="9"/>
    <col width="8" customWidth="1" min="10" max="10"/>
  </cols>
  <sheetData>
    <row r="1" ht="15.75" customHeight="1">
      <c r="A1" s="1" t="inlineStr">
        <is>
          <t>MALTA — GPS Extended Target FY2027 · GASANZAMMIT MOTORS LTD   [mixed CV+LCV]</t>
        </is>
      </c>
    </row>
    <row r="2" ht="14.25" customHeight="1">
      <c r="A2" s="2" t="inlineStr">
        <is>
          <t>ISZE-&gt;DB level only. Blue = adjustable. Dealer-level (DB-&gt;DLR) block removed: the KPI dealer figure is 2.2-3.7x ISZE billing, which cannot be a 35% margin on the same goods.</t>
        </is>
      </c>
    </row>
    <row r="3" ht="14.25" customHeight="1">
      <c r="F3" s="9" t="inlineStr">
        <is>
          <t>Colours</t>
        </is>
      </c>
    </row>
    <row r="4" ht="14.25" customHeight="1">
      <c r="F4" s="48" t="inlineStr">
        <is>
          <t>Firm / actual</t>
        </is>
      </c>
    </row>
    <row r="5" ht="14.25" customHeight="1">
      <c r="F5" s="49" t="inlineStr">
        <is>
          <t>Stretch</t>
        </is>
      </c>
    </row>
    <row r="6" ht="14.25" customHeight="1">
      <c r="I6" s="2" t="inlineStr">
        <is>
          <t>In-house FX: EUR@181, GBP@210, EUR/GBP1.16</t>
        </is>
      </c>
      <c r="J6" s="50" t="n">
        <v>1.16</v>
      </c>
    </row>
    <row r="7" ht="14.25" customHeight="1">
      <c r="A7" s="31" t="inlineStr">
        <is>
          <t>MALTA UIO by segment</t>
        </is>
      </c>
    </row>
    <row r="8" ht="26.25" customHeight="1">
      <c r="C8" s="4" t="inlineStr">
        <is>
          <t>FY25 (Apr'24-Mar'25)</t>
        </is>
      </c>
      <c r="D8" s="4" t="inlineStr">
        <is>
          <t>FY26 (Apr'25-Mar'26)</t>
        </is>
      </c>
      <c r="E8" s="4" t="inlineStr">
        <is>
          <t>FY27 (Apr'26-Mar'27)</t>
        </is>
      </c>
      <c r="F8" s="4" t="inlineStr">
        <is>
          <t>FY28 (CY2027F)</t>
        </is>
      </c>
      <c r="G8" s="4" t="inlineStr">
        <is>
          <t>FY29 (CY2028F)</t>
        </is>
      </c>
      <c r="H8" s="4" t="inlineStr">
        <is>
          <t>FY30 (CY2029F)</t>
        </is>
      </c>
      <c r="I8" s="4" t="inlineStr">
        <is>
          <t>FY31 (CY2030F)</t>
        </is>
      </c>
    </row>
    <row r="9" ht="14.25" customHeight="1">
      <c r="A9" t="inlineStr">
        <is>
          <t>LD (N75/N50/N62)</t>
        </is>
      </c>
      <c r="C9" s="51" t="n">
        <v>261</v>
      </c>
      <c r="D9" s="51" t="n">
        <v>243</v>
      </c>
      <c r="E9" s="51" t="n">
        <v>260</v>
      </c>
      <c r="F9" s="126" t="n">
        <v>276</v>
      </c>
      <c r="G9" s="126" t="n">
        <v>292</v>
      </c>
      <c r="H9" s="126" t="n">
        <v>307</v>
      </c>
      <c r="I9" s="126" t="n">
        <v>322</v>
      </c>
    </row>
    <row r="10" ht="14.25" customHeight="1">
      <c r="A10" t="inlineStr">
        <is>
          <t>MD</t>
        </is>
      </c>
      <c r="C10" s="51" t="n">
        <v>0</v>
      </c>
      <c r="D10" s="51" t="n">
        <v>0</v>
      </c>
      <c r="E10" s="51" t="n">
        <v>0</v>
      </c>
      <c r="F10" s="126" t="n">
        <v>0</v>
      </c>
      <c r="G10" s="126" t="n">
        <v>0</v>
      </c>
      <c r="H10" s="126" t="n">
        <v>0</v>
      </c>
      <c r="I10" s="126" t="n">
        <v>0</v>
      </c>
    </row>
    <row r="11" ht="14.25" customHeight="1">
      <c r="A11" t="inlineStr">
        <is>
          <t>F-Series</t>
        </is>
      </c>
      <c r="C11" s="51" t="n">
        <v>0</v>
      </c>
      <c r="D11" s="51" t="n">
        <v>0</v>
      </c>
      <c r="E11" s="51" t="n">
        <v>0</v>
      </c>
      <c r="F11" s="126" t="n">
        <v>0</v>
      </c>
      <c r="G11" s="126" t="n">
        <v>0</v>
      </c>
      <c r="H11" s="126" t="n">
        <v>0</v>
      </c>
      <c r="I11" s="126" t="n">
        <v>0</v>
      </c>
    </row>
    <row r="12" ht="14.25" customHeight="1">
      <c r="A12" t="inlineStr">
        <is>
          <t>LCV / D-Max</t>
        </is>
      </c>
      <c r="C12" s="51" t="n">
        <v>793</v>
      </c>
      <c r="D12" s="51" t="n">
        <v>797</v>
      </c>
      <c r="E12" s="51" t="n">
        <v>848</v>
      </c>
      <c r="F12" s="126" t="n">
        <v>948</v>
      </c>
      <c r="G12" s="126" t="n">
        <v>1025</v>
      </c>
      <c r="H12" s="126" t="n">
        <v>1099</v>
      </c>
      <c r="I12" s="126" t="n">
        <v>1171</v>
      </c>
    </row>
    <row r="13" ht="14.25" customHeight="1">
      <c r="A13" s="9" t="inlineStr">
        <is>
          <t>TTL</t>
        </is>
      </c>
      <c r="C13" s="13">
        <f>SUM(C9:C12)</f>
        <v/>
      </c>
      <c r="D13" s="13">
        <f>SUM(D9:D12)</f>
        <v/>
      </c>
      <c r="E13" s="13">
        <f>SUM(E9:E12)</f>
        <v/>
      </c>
      <c r="F13" s="13">
        <f>SUM(F9:F12)</f>
        <v/>
      </c>
      <c r="G13" s="13">
        <f>SUM(G9:G12)</f>
        <v/>
      </c>
      <c r="H13" s="13">
        <f>SUM(H9:H12)</f>
        <v/>
      </c>
      <c r="I13" s="13">
        <f>SUM(I9:I12)</f>
        <v/>
      </c>
    </row>
    <row r="14" ht="14.25" customHeight="1">
      <c r="A14" s="2" t="inlineStr">
        <is>
          <t>Source: UIO v19 rows 61/62/-/63 — CY2024 / CY2025E / CY2026F mapped to FY25 / FY26 / FY27 (UIO shifted one column right).</t>
        </is>
      </c>
    </row>
    <row r="16" ht="14.25" customHeight="1">
      <c r="A16" s="31" t="inlineStr">
        <is>
          <t>Max spend per unit (EUR, ISZE-net)</t>
        </is>
      </c>
      <c r="C16" s="52" t="inlineStr">
        <is>
          <t>base</t>
        </is>
      </c>
      <c r="D16" s="52" t="inlineStr">
        <is>
          <t>FY27 (+5%)</t>
        </is>
      </c>
      <c r="E16" s="52" t="inlineStr">
        <is>
          <t>FY28</t>
        </is>
      </c>
      <c r="F16" s="52" t="inlineStr">
        <is>
          <t>FY29</t>
        </is>
      </c>
      <c r="G16" s="52" t="inlineStr">
        <is>
          <t>FY30</t>
        </is>
      </c>
      <c r="H16" s="52" t="inlineStr">
        <is>
          <t>FY31</t>
        </is>
      </c>
    </row>
    <row r="17" ht="14.25" customHeight="1">
      <c r="A17" t="inlineStr">
        <is>
          <t>LD  · v9 rate</t>
        </is>
      </c>
      <c r="C17" s="135" t="n">
        <v>739</v>
      </c>
      <c r="D17" s="130">
        <f>C17*1.05</f>
        <v/>
      </c>
      <c r="E17" s="131">
        <f>D17*(1+'Dashboard (2)'!$T$1)</f>
        <v/>
      </c>
      <c r="F17" s="131">
        <f>E17*(1+'Dashboard (2)'!$T$1)</f>
        <v/>
      </c>
      <c r="G17" s="131">
        <f>F17*(1+'Dashboard (2)'!$T$1)</f>
        <v/>
      </c>
      <c r="H17" s="131">
        <f>G17*(1+'Dashboard (2)'!$T$1)</f>
        <v/>
      </c>
    </row>
    <row r="18" ht="14.25" customHeight="1">
      <c r="A18" t="inlineStr">
        <is>
          <t>MD  · v9 rate</t>
        </is>
      </c>
      <c r="C18" s="135" t="n">
        <v>887</v>
      </c>
      <c r="D18" s="130">
        <f>C18*1.05</f>
        <v/>
      </c>
      <c r="E18" s="131">
        <f>D18*(1+'Dashboard (2)'!$T$1)</f>
        <v/>
      </c>
      <c r="F18" s="131">
        <f>E18*(1+'Dashboard (2)'!$T$1)</f>
        <v/>
      </c>
      <c r="G18" s="131">
        <f>F18*(1+'Dashboard (2)'!$T$1)</f>
        <v/>
      </c>
      <c r="H18" s="131">
        <f>G18*(1+'Dashboard (2)'!$T$1)</f>
        <v/>
      </c>
    </row>
    <row r="19" ht="14.25" customHeight="1">
      <c r="A19" t="inlineStr">
        <is>
          <t>F-Series  · v9 rate</t>
        </is>
      </c>
      <c r="C19" s="135" t="n">
        <v>887</v>
      </c>
      <c r="D19" s="130">
        <f>C19*1.05</f>
        <v/>
      </c>
      <c r="E19" s="131">
        <f>D19*(1+'Dashboard (2)'!$T$1)</f>
        <v/>
      </c>
      <c r="F19" s="131">
        <f>E19*(1+'Dashboard (2)'!$T$1)</f>
        <v/>
      </c>
      <c r="G19" s="131">
        <f>F19*(1+'Dashboard (2)'!$T$1)</f>
        <v/>
      </c>
      <c r="H19" s="131">
        <f>G19*(1+'Dashboard (2)'!$T$1)</f>
        <v/>
      </c>
    </row>
    <row r="20" ht="14.25" customHeight="1">
      <c r="A20" t="inlineStr">
        <is>
          <t>LCV / D-Max  · EUR 250 ISZE-net base</t>
        </is>
      </c>
      <c r="C20" s="136" t="n">
        <v>250</v>
      </c>
      <c r="D20" s="130">
        <f>C20*1.05</f>
        <v/>
      </c>
      <c r="E20" s="131">
        <f>D20*(1+'Dashboard (2)'!$T$1)</f>
        <v/>
      </c>
      <c r="F20" s="131">
        <f>E20*(1+'Dashboard (2)'!$T$1)</f>
        <v/>
      </c>
      <c r="G20" s="131">
        <f>F20*(1+'Dashboard (2)'!$T$1)</f>
        <v/>
      </c>
      <c r="H20" s="131">
        <f>G20*(1+'Dashboard (2)'!$T$1)</f>
        <v/>
      </c>
    </row>
    <row r="21" ht="14.25" customHeight="1">
      <c r="A21" s="2" t="inlineStr">
        <is>
          <t>CV rates held at v9 (739 / 887) +5% FY27, per Jerome. LCV: EUR 250 base +5% (262.50). FY28-FY31 = previous year x (1 + price input).</t>
        </is>
      </c>
    </row>
    <row r="23" ht="14.25" customHeight="1">
      <c r="A23" s="31" t="inlineStr">
        <is>
          <t>ISZE -&gt; MALTA wholesale (ISZE-net EUR)  &lt;&lt;  EXTENDED TARGET IS SET HERE</t>
        </is>
      </c>
    </row>
    <row r="24" ht="26.25" customHeight="1">
      <c r="C24" s="4" t="inlineStr">
        <is>
          <t>FY25 (Apr'24-Mar'25)</t>
        </is>
      </c>
      <c r="D24" s="4" t="inlineStr">
        <is>
          <t>FY26 (Apr'25-Mar'26)</t>
        </is>
      </c>
      <c r="E24" s="4" t="inlineStr">
        <is>
          <t>FY27 (Apr'26-Mar'27)</t>
        </is>
      </c>
      <c r="F24" s="4" t="inlineStr">
        <is>
          <t>FY28</t>
        </is>
      </c>
      <c r="G24" s="4" t="inlineStr">
        <is>
          <t>FY29</t>
        </is>
      </c>
      <c r="H24" s="4" t="inlineStr">
        <is>
          <t>FY30</t>
        </is>
      </c>
      <c r="I24" s="4" t="inlineStr">
        <is>
          <t>FY31</t>
        </is>
      </c>
    </row>
    <row r="25" ht="14.25" customHeight="1">
      <c r="A25" t="inlineStr">
        <is>
          <t>Max spend / potential (= UIO x ISZE-net rate)</t>
        </is>
      </c>
      <c r="C25" s="10">
        <f>C9*$C$17+C10*$C$18+C11*$C$19+C12*$C$20</f>
        <v/>
      </c>
      <c r="D25" s="10">
        <f>D9*$C$17+D10*$C$18+D11*$C$19+D12*$C$20</f>
        <v/>
      </c>
      <c r="E25" s="10">
        <f>E9*$D$17+E10*$D$18+E11*$D$19+E12*$D$20</f>
        <v/>
      </c>
      <c r="F25" s="127">
        <f>F9*E17+F10*E18+F11*E19+F12*E20</f>
        <v/>
      </c>
      <c r="G25" s="127">
        <f>G9*F17+G10*F18+G11*F19+G12*F20</f>
        <v/>
      </c>
      <c r="H25" s="127">
        <f>H9*G17+H10*G18+H11*G19+H12*G20</f>
        <v/>
      </c>
      <c r="I25" s="127">
        <f>I9*H17+I10*H18+I11*H19+I12*H20</f>
        <v/>
      </c>
    </row>
    <row r="26" ht="14.25" customHeight="1">
      <c r="A26" t="inlineStr">
        <is>
          <t>Actual (ISZE billing) · FY27 = BP target</t>
        </is>
      </c>
      <c r="C26" s="56" t="n">
        <v>208360.36</v>
      </c>
      <c r="D26" s="56" t="n">
        <v>197021.69</v>
      </c>
      <c r="E26" s="56" t="n">
        <v>233100</v>
      </c>
      <c r="F26" s="2" t="n"/>
    </row>
    <row r="27" ht="14.25" customHeight="1">
      <c r="A27" t="inlineStr">
        <is>
          <t>Share (GPS, ISZE level)</t>
        </is>
      </c>
      <c r="C27" s="120">
        <f>C26/C25</f>
        <v/>
      </c>
      <c r="D27" s="120">
        <f>D26/D25</f>
        <v/>
      </c>
      <c r="E27" s="120">
        <f>E26/E25</f>
        <v/>
      </c>
    </row>
    <row r="28" ht="14.25" customHeight="1">
      <c r="A28" t="inlineStr">
        <is>
          <t>Stretch (%) = global input, capped at ceiling</t>
        </is>
      </c>
      <c r="C28" s="132" t="n">
        <v>0</v>
      </c>
      <c r="D28" s="132" t="n">
        <v>0</v>
      </c>
      <c r="E28" s="132">
        <f>MAX(0,MIN('Dashboard (2)'!$N$1,'Dashboard (2)'!$Q$1-E27))</f>
        <v/>
      </c>
    </row>
    <row r="29" ht="14.25" customHeight="1">
      <c r="A29" t="inlineStr">
        <is>
          <t>Stretch amount (= max spend x stretch%)</t>
        </is>
      </c>
      <c r="C29" s="10">
        <f>C25*C28</f>
        <v/>
      </c>
      <c r="D29" s="10">
        <f>D25*D28</f>
        <v/>
      </c>
      <c r="E29" s="30">
        <f>E25*E28</f>
        <v/>
      </c>
    </row>
    <row r="30" ht="14.25" customHeight="1">
      <c r="A30" s="9" t="inlineStr">
        <is>
          <t>TTL amount (= actual + stretch)  &lt;&lt;  EXTENDED TARGET</t>
        </is>
      </c>
      <c r="C30" s="13">
        <f>C26+C29</f>
        <v/>
      </c>
      <c r="D30" s="13">
        <f>D26+D29</f>
        <v/>
      </c>
      <c r="E30" s="22">
        <f>E26+E29</f>
        <v/>
      </c>
    </row>
    <row r="31" ht="14.25" customHeight="1">
      <c r="A31" t="inlineStr">
        <is>
          <t>Share (new)</t>
        </is>
      </c>
      <c r="C31" s="117">
        <f>C30/C25</f>
        <v/>
      </c>
      <c r="D31" s="117">
        <f>D30/D25</f>
        <v/>
      </c>
      <c r="E31" s="117">
        <f>E30/E25</f>
        <v/>
      </c>
    </row>
    <row r="32" ht="14.25" customHeight="1">
      <c r="A32" s="2" t="inlineStr">
        <is>
          <t>Source: 00_derived/gps_billing_fy_ALLCUSTOMERS.csv canonical 'GasanZammit'.</t>
        </is>
      </c>
    </row>
    <row r="33">
      <c r="A33" s="108" t="inlineStr">
        <is>
          <t>FY28-FY31 max spend (row 25, cols F:I) feeds Dashboard (2). FY27 actual cell E26 = BP reviewed 24-04-2026.</t>
        </is>
      </c>
    </row>
    <row r="34" ht="14.25" customHeight="1">
      <c r="A34" s="58" t="inlineStr">
        <is>
          <t>MALTA -&gt; DEALER level (DB-&gt;DLR) — MH method (35% DB margin gross-up)</t>
        </is>
      </c>
    </row>
    <row r="35" ht="26.25" customHeight="1">
      <c r="C35" s="4" t="inlineStr">
        <is>
          <t>FY25 (Apr'24-Mar'25)</t>
        </is>
      </c>
      <c r="D35" s="4" t="inlineStr">
        <is>
          <t>FY26 (Apr'25-Mar'26)</t>
        </is>
      </c>
      <c r="E35" s="4" t="inlineStr">
        <is>
          <t>FY27 (Apr'26-Mar'27)</t>
        </is>
      </c>
    </row>
    <row r="36" ht="14.25" customHeight="1">
      <c r="A36" t="inlineStr">
        <is>
          <t>Parts Sales DB-to-DLR (actual) · KPI Master File june 2026.xlsx</t>
        </is>
      </c>
      <c r="C36" s="56" t="n">
        <v>555482</v>
      </c>
      <c r="D36" s="56" t="n">
        <v>553873</v>
      </c>
      <c r="F36" s="2" t="inlineStr">
        <is>
          <t>FY25 12/12 mo · FY26 12/12 mo</t>
        </is>
      </c>
    </row>
    <row r="37" ht="14.25" customHeight="1">
      <c r="A37" t="inlineStr">
        <is>
          <t>DB margin % (MH assumption — same as testcase B15)</t>
        </is>
      </c>
      <c r="B37" s="133" t="n">
        <v>0.35</v>
      </c>
      <c r="C37" s="134" t="n"/>
      <c r="D37" s="134" t="n"/>
    </row>
    <row r="38" ht="14.25" customHeight="1">
      <c r="A38" t="inlineStr">
        <is>
          <t>Stretch amount at dealer (= ISZE stretch / (1 − margin))  ·  MH E29</t>
        </is>
      </c>
      <c r="E38" s="61">
        <f>-E29/(B37-1)</f>
        <v/>
      </c>
    </row>
    <row r="39" ht="14.25" customHeight="1">
      <c r="A39" s="9" t="inlineStr">
        <is>
          <t>FY27 AMOUNT TO REACH at dealer (= FY26 actual + dealer stretch)</t>
        </is>
      </c>
      <c r="E39" s="62">
        <f>IF(OR(D36="",D36="no KPI data"),"no KPI data",D36+E38)</f>
        <v/>
      </c>
    </row>
    <row r="40" ht="42" customHeight="1">
      <c r="A40" s="63" t="inlineStr">
        <is>
      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      </is>
      </c>
    </row>
    <row r="43" ht="14.25" customHeight="1">
      <c r="A43" s="31" t="inlineStr">
        <is>
          <t>GAPS / open items</t>
        </is>
      </c>
    </row>
    <row r="44" ht="22.5" customHeight="1">
      <c r="A44" s="14" t="inlineStr">
        <is>
          <t>1. CV rates on the v9 convention +5%; LCV on MH's chain. Two conventions in one tab — deliberate.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6" customWidth="1" min="1" max="1"/>
    <col width="15" customWidth="1" min="2" max="19"/>
  </cols>
  <sheetData>
    <row r="1" ht="15.75" customHeight="1">
      <c r="A1" s="1" t="inlineStr">
        <is>
          <t>ORIGINAL waterfall — verbatim replica of 'FY2027 ISZE VP+IE Business Plan Waterfall 20263006.xlsx' sheet VP</t>
        </is>
      </c>
    </row>
    <row r="2" ht="14.25" customHeight="1">
      <c r="A2" s="2" t="inlineStr">
        <is>
          <t>Nothing added, nothing changed. Reference copy — the source file is untouched.</t>
        </is>
      </c>
    </row>
    <row r="7" ht="14.25" customHeight="1">
      <c r="P7" s="56" t="n">
        <v>952037.422457297</v>
      </c>
      <c r="S7" t="inlineStr">
        <is>
          <t>check:</t>
        </is>
      </c>
    </row>
    <row r="8" ht="14.25" customHeight="1">
      <c r="O8" s="56" t="n">
        <v>210000</v>
      </c>
      <c r="P8" t="inlineStr">
        <is>
          <t>remaining stretch</t>
        </is>
      </c>
      <c r="Q8" s="56" t="n">
        <v>-260000</v>
      </c>
      <c r="S8" s="56" t="n">
        <v>35284444.2378</v>
      </c>
    </row>
    <row r="9" ht="14.25" customHeight="1">
      <c r="O9" t="inlineStr">
        <is>
          <t>MOS ISA+RSA</t>
        </is>
      </c>
      <c r="R9" s="56" t="n">
        <v>-350000</v>
      </c>
    </row>
    <row r="10" ht="14.25" customHeight="1">
      <c r="N10" s="56" t="n">
        <v>378908</v>
      </c>
      <c r="Q10" t="inlineStr">
        <is>
          <t>Shell oil decrease</t>
        </is>
      </c>
      <c r="S10" s="56" t="n">
        <v>35284444.2378</v>
      </c>
    </row>
    <row r="11" ht="14.25" customHeight="1">
      <c r="K11" s="56" t="n">
        <v>93000</v>
      </c>
      <c r="N11" t="inlineStr">
        <is>
          <t>SPA</t>
        </is>
      </c>
      <c r="R11" t="inlineStr">
        <is>
          <t>negative impact on volume from price increase</t>
        </is>
      </c>
    </row>
    <row r="12" ht="14.25" customHeight="1">
      <c r="M12" s="56" t="n">
        <v>55000</v>
      </c>
    </row>
    <row r="13" ht="14.25" customHeight="1">
      <c r="J13" s="56" t="n">
        <v>280000</v>
      </c>
      <c r="K13" t="inlineStr">
        <is>
          <t>local DPD</t>
        </is>
      </c>
      <c r="M13" t="inlineStr">
        <is>
          <t>Overstock campaign</t>
        </is>
      </c>
      <c r="N13" t="inlineStr">
        <is>
          <t># Original: 1,015k</t>
        </is>
      </c>
    </row>
    <row r="14" ht="14.25" customHeight="1">
      <c r="H14" s="56" t="n">
        <v>46000</v>
      </c>
      <c r="I14" s="56" t="n">
        <v>11940</v>
      </c>
      <c r="J14" t="inlineStr">
        <is>
          <t>local brake</t>
        </is>
      </c>
      <c r="M14" t="inlineStr">
        <is>
          <t>All DB's 55K€</t>
        </is>
      </c>
      <c r="N14" t="inlineStr">
        <is>
          <t>-&gt; IUK 71,575</t>
        </is>
      </c>
    </row>
    <row r="15" ht="14.25" customHeight="1">
      <c r="G15" s="56" t="n">
        <v>75000</v>
      </c>
      <c r="H15" t="inlineStr">
        <is>
          <t>Genuine Share</t>
        </is>
      </c>
      <c r="I15" t="inlineStr">
        <is>
          <t>PMS</t>
        </is>
      </c>
      <c r="N15" t="inlineStr">
        <is>
          <t>-&gt; UTI 307333</t>
        </is>
      </c>
    </row>
    <row r="16" ht="14.25" customHeight="1">
      <c r="F16" s="56" t="n">
        <v>60000</v>
      </c>
      <c r="G16" t="inlineStr">
        <is>
          <t>L/B</t>
        </is>
      </c>
      <c r="H16" t="inlineStr">
        <is>
          <t># Original: 46,000</t>
        </is>
      </c>
      <c r="I16" t="inlineStr">
        <is>
          <t># Original: 11,940</t>
        </is>
      </c>
      <c r="N16" t="inlineStr">
        <is>
          <t>-&gt;</t>
        </is>
      </c>
    </row>
    <row r="17" ht="14.25" customHeight="1">
      <c r="E17" s="56" t="n">
        <v>96664.1975427</v>
      </c>
      <c r="F17" t="inlineStr">
        <is>
          <t>Cab</t>
        </is>
      </c>
      <c r="H17" t="inlineStr">
        <is>
          <t>-&gt; ITUK 376,074</t>
        </is>
      </c>
      <c r="I17" t="inlineStr">
        <is>
          <t>-&gt; ITUK 8,000</t>
        </is>
      </c>
      <c r="N17" t="inlineStr">
        <is>
          <t>-&gt;</t>
        </is>
      </c>
    </row>
    <row r="18" ht="14.25" customHeight="1">
      <c r="D18" s="56" t="n">
        <v>691851.847800002</v>
      </c>
      <c r="E18" t="inlineStr">
        <is>
          <t>UIO up</t>
        </is>
      </c>
      <c r="H18" t="inlineStr">
        <is>
          <t>-&gt; Ireland</t>
        </is>
      </c>
      <c r="I18" t="inlineStr">
        <is>
          <t>-&gt; Portugal</t>
        </is>
      </c>
    </row>
    <row r="19" ht="14.25" customHeight="1">
      <c r="C19" s="56" t="n">
        <v>32944042.77</v>
      </c>
      <c r="D19" t="inlineStr">
        <is>
          <t>Price up 2%</t>
        </is>
      </c>
      <c r="H19" t="inlineStr">
        <is>
          <t>-&gt; Portugal</t>
        </is>
      </c>
      <c r="I19" t="inlineStr">
        <is>
          <t>-&gt; Ireland</t>
        </is>
      </c>
    </row>
    <row r="20" ht="14.25" customHeight="1">
      <c r="H20" t="inlineStr">
        <is>
          <t xml:space="preserve">-&gt; </t>
        </is>
      </c>
      <c r="I20" t="inlineStr">
        <is>
          <t>-&gt; IUK</t>
        </is>
      </c>
    </row>
    <row r="21" ht="14.25" customHeight="1">
      <c r="H21" t="inlineStr">
        <is>
          <t xml:space="preserve">-&gt; </t>
        </is>
      </c>
      <c r="I21" t="inlineStr">
        <is>
          <t xml:space="preserve">-&gt; </t>
        </is>
      </c>
    </row>
    <row r="22" ht="14.25" customHeight="1">
      <c r="H22" t="inlineStr">
        <is>
          <t xml:space="preserve">-&gt; </t>
        </is>
      </c>
      <c r="I22" t="inlineStr">
        <is>
          <t xml:space="preserve">-&gt; </t>
        </is>
      </c>
    </row>
    <row r="28" ht="14.25" customHeight="1">
      <c r="C28" t="inlineStr">
        <is>
          <t>FY2026 Actual</t>
        </is>
      </c>
      <c r="S28" t="inlineStr">
        <is>
          <t>FY2027 Plan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65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135" customWidth="1" min="1" max="1"/>
  </cols>
  <sheetData>
    <row r="1" ht="15.75" customHeight="1">
      <c r="A1" s="1" t="inlineStr">
        <is>
          <t>Method &amp; Assumptions</t>
        </is>
      </c>
    </row>
    <row r="2" ht="14.25" customHeight="1">
      <c r="A2" s="2" t="n"/>
    </row>
    <row r="3" ht="14.25" customHeight="1">
      <c r="A3" s="2" t="inlineStr">
        <is>
          <t>LOGIC (per MH's tab, confirmed by Jerome 17-07-2026)</t>
        </is>
      </c>
    </row>
    <row r="4" ht="14.25" customHeight="1">
      <c r="A4" s="2" t="inlineStr">
        <is>
          <t>1. UIO shifted one column right: FY25 &lt;- CY2024, FY26 &lt;- CY2025E, FY27 &lt;- CY2026F. Detail rows, NOT the summary table (which is itself off by one).</t>
        </is>
      </c>
    </row>
    <row r="5" ht="14.25" customHeight="1">
      <c r="A5" s="2" t="inlineStr">
        <is>
          <t>2. Spend per unit, LCV: 291.2 x EUR/GBP 1.16 = 337.792 -&gt; x0.65 = 219.5648 ISZE-net (FY26 base). FY27 = x1.05. FY28-31 = +3%/yr.</t>
        </is>
      </c>
    </row>
    <row r="6" ht="14.25" customHeight="1">
      <c r="A6" s="2" t="inlineStr">
        <is>
          <t>3. Spend per unit, CV: v9 rates 296 / 739 / 887 held, +5% for FY27 = 310.80 / 775.95 / 931.35 (Jerome).</t>
        </is>
      </c>
    </row>
    <row r="7" ht="14.25" customHeight="1">
      <c r="A7" s="2" t="inlineStr">
        <is>
          <t>4. Max spend = UIO x rate. Stretch = max spend x stretch%. EXTENDED TARGET = BP FY27 + stretch. Default stretch 1.8%.</t>
        </is>
      </c>
    </row>
    <row r="8" ht="14.25" customHeight="1">
      <c r="A8" s="2" t="inlineStr">
        <is>
          <t>5. ISZE-&gt;DB level ONLY. The dealer-level extrapolation was removed — see WATCH on the Dashboard.</t>
        </is>
      </c>
    </row>
    <row r="9" ht="14.25" customHeight="1">
      <c r="A9" s="2" t="n"/>
    </row>
    <row r="10" ht="14.25" customHeight="1">
      <c r="A10" s="31" t="inlineStr">
        <is>
          <t>SOURCES</t>
        </is>
      </c>
    </row>
    <row r="11" ht="14.25" customHeight="1">
      <c r="A11" s="2" t="inlineStr">
        <is>
          <t>UIO          01_data\ISUZU_UIO_Overview_2026_v19.xlsx · '1.UIO Overview' detail rows (md5-identical to 06_uio\_CURRENT)</t>
        </is>
      </c>
    </row>
    <row r="12" ht="14.25" customHeight="1">
      <c r="A12" s="2" t="inlineStr">
        <is>
          <t>BP FY27      01_data\11_planning\budget_per_DB_reviewed_24042026.xlsx via 91_build\bp_fy27_reviewed.json</t>
        </is>
      </c>
    </row>
    <row r="13" ht="14.25" customHeight="1">
      <c r="A13" s="2" t="inlineStr">
        <is>
          <t>ISZE billing 01_data\00_derived\gps_billing_fy_ALLCUSTOMERS.csv (net_gps, GPS-audited, FY-aligned, lubricants INCLUDED)</t>
        </is>
      </c>
    </row>
    <row r="14" ht="14.25" customHeight="1">
      <c r="A14" s="2" t="inlineStr">
        <is>
          <t>Mapping      03_analytics\Isuzu\prism\data\distributor_master_mapping.csv</t>
        </is>
      </c>
    </row>
    <row r="15" ht="14.25" customHeight="1">
      <c r="A15" s="2" t="inlineStr">
        <is>
          <t>Waterfall    01_data\FY2027 ISZE VP+IE Business Plan Waterfall 20263006.xlsx · sheet VP (replicated, NOT modified)</t>
        </is>
      </c>
    </row>
    <row r="16" ht="14.25" customHeight="1">
      <c r="A16" s="2" t="inlineStr">
        <is>
          <t>ITUK / UTI   01_data\ISZE_GPS_Kickback_Stretch_Proposal_FY27 _V4.xlsx · 'Proposal FY27' col G (as presented)</t>
        </is>
      </c>
    </row>
    <row r="17" ht="14.25" customHeight="1">
      <c r="A17" s="2" t="n"/>
    </row>
    <row r="18" ht="14.25" customHeight="1">
      <c r="A18" s="2" t="inlineStr">
        <is>
          <t>KNOWN CONVENTION CONFLICT (carried, not fixed, per Jerome)</t>
        </is>
      </c>
    </row>
    <row r="19" ht="14.25" customHeight="1">
      <c r="A19" s="2" t="inlineStr">
        <is>
          <t>MH's LCV chain applies FX and the margin twice: 291.2 already = GBP400 x 0.65 x 1.12, then x1.16 x0.65 again -&gt; 219.5648.</t>
        </is>
      </c>
    </row>
    <row r="20" ht="14.25" customHeight="1">
      <c r="A20" s="2" t="inlineStr">
        <is>
          <t>Cell B16 in MH's own tab (= 291.2/0.65 = 448.00 = GBP400 x 1.12) implies ISZE-net of 291.2, not 219.5648 — 24.6% apart.</t>
        </is>
      </c>
    </row>
    <row r="21" ht="14.25" customHeight="1">
      <c r="A21" s="2" t="inlineStr">
        <is>
          <t>The same GBP400 under the v9 CV convention gives 296. LCV and CV sit on different conventions throughout this file.</t>
        </is>
      </c>
    </row>
    <row r="22" ht="14.25" customHeight="1">
      <c r="A22" s="2" t="n"/>
    </row>
    <row r="23" ht="14.25" customHeight="1">
      <c r="A23" s="2" t="inlineStr">
        <is>
          <t>Built 17-07-2026. Source workbooks unchanged.</t>
        </is>
      </c>
    </row>
    <row r="26" ht="14.25" customHeight="1">
      <c r="A26" s="65" t="inlineStr">
        <is>
          <t>SALES TO DEALER (DB→DLR) TARGET — added 22-07-2026, revised same day (Jerome)</t>
        </is>
      </c>
    </row>
    <row r="27" ht="14.25" customHeight="1">
      <c r="A27" s="15" t="inlineStr">
        <is>
          <t>Separate track from ISZE-&gt;DB GPS above (cols A:J). Reference ISZE-&gt;DB billing actuals sit in cols L:M — also NOT part of the GPS calc,</t>
        </is>
      </c>
    </row>
    <row r="28">
      <c r="A28" s="15" t="inlineStr">
        <is>
          <t>parked there purely for comparison against the DB-&gt;DLR figures in O:U. See Dashboard row 3 banners for the visual split.</t>
        </is>
      </c>
    </row>
    <row r="29" ht="14.25" customHeight="1">
      <c r="A29" s="15" t="n"/>
    </row>
    <row r="30" ht="14.25" customHeight="1">
      <c r="A30" s="65" t="inlineStr">
        <is>
          <t>SOURCES</t>
        </is>
      </c>
    </row>
    <row r="31" ht="14.25" customHeight="1">
      <c r="A31" s="15" t="inlineStr">
        <is>
          <t>KPI DB→DLR    KPI_Master_File_june_2026.xlsx · 'Parts Handling' tab · 'Parts Sales DB to DLR in €' block (row 82), monthly Apr'24-Jun'26</t>
        </is>
      </c>
    </row>
    <row r="32" ht="14.25" customHeight="1">
      <c r="A32" s="15" t="inlineStr">
        <is>
          <t>ISZE billing   EXPORT.XLSX · tabs 01042024_31032025 (FY2025) / 01042025_31032026 (FY2026) · annual totals per SAP payer, reference only</t>
        </is>
      </c>
    </row>
    <row r="33" ht="14.25" customHeight="1">
      <c r="A33" s="15" t="inlineStr">
        <is>
          <t>UIO            ISUZU_UIO_Overview_2026_v19.xlsx · '1.UIO Overview' detail rows, same FY25&lt;-CY2024/FY26&lt;-CY2025E/FY27&lt;-CY2026F shift as above</t>
        </is>
      </c>
    </row>
    <row r="34">
      <c r="A34" s="15" t="inlineStr">
        <is>
          <t>Price FY27     +2.0% (Jerome, 22-07-2026) — 'Price up 2%' bar, Waterfall VP (original) tab, cell D19. NOT the +5% LCV/CV rate used for the</t>
        </is>
      </c>
    </row>
    <row r="35" ht="14.25" customHeight="1">
      <c r="A35" s="15" t="inlineStr">
        <is>
          <t xml:space="preserve">               ISZE-&gt;DB max-spend build above (LOGIC point 2-3) — the two price assumptions are different and deliberately not reconciled.</t>
        </is>
      </c>
    </row>
    <row r="36" ht="14.25" customHeight="1">
      <c r="A36" s="15" t="n"/>
    </row>
    <row r="37" ht="14.25" customHeight="1">
      <c r="A37" s="65" t="inlineStr">
        <is>
          <t>METHOD</t>
        </is>
      </c>
    </row>
    <row r="38" ht="14.25" customHeight="1">
      <c r="A38" s="15" t="inlineStr">
        <is>
          <t>1. FY25/FY26 actual = sum of KPI monthly DB-&gt;DLR figures for that FY; where months are missing (N/D), annualized as (sum available / count) x 12.</t>
        </is>
      </c>
    </row>
    <row r="39" ht="14.25" customHeight="1">
      <c r="A39" s="15" t="inlineStr">
        <is>
          <t>2. UIO growth FY26-&gt;FY27 pulled per DB's country + segment (LCV/CV/mixed, matching each DB's own tab segment).</t>
        </is>
      </c>
    </row>
    <row r="40" ht="14.25" customHeight="1">
      <c r="A40" s="15" t="inlineStr">
        <is>
          <t>3. Historical residual = (FY26 actual / FY25 actual) / (1 + UIO growth FY25-&gt;FY26) - 1. Raw residuals ranged -21% to +62% -- too noisy off</t>
        </is>
      </c>
    </row>
    <row r="41" ht="14.25" customHeight="1">
      <c r="A41" s="15" t="inlineStr">
        <is>
          <t xml:space="preserve">   one year of partial-coverage monthly data to use directly (Jerome, 22-07-2026: 'keep the spread... between 0.5% &amp; 4%').</t>
        </is>
      </c>
    </row>
    <row r="42" ht="14.25" customHeight="1">
      <c r="A42" s="15" t="inlineStr">
        <is>
          <t>4. Residuals bounded: DBs ranked by raw residual, then mapped evenly across 0.5%-4%. Preserves relative ordering, discards the noisy magnitude.</t>
        </is>
      </c>
    </row>
    <row r="43">
      <c r="A43" s="15" t="inlineStr">
        <is>
          <t>5. FY27 target = FY26 actual x (1 + UIO growth FY26-&gt;FY27) x (1 + 2% price) x (1 + bounded residual).</t>
        </is>
      </c>
    </row>
    <row r="44" ht="14.25" customHeight="1">
      <c r="A44" s="15" t="n"/>
    </row>
    <row r="45" ht="14.25" customHeight="1">
      <c r="A45" s="65" t="inlineStr">
        <is>
          <t>SKIPPED FOR NOW (Jerome, 22-07-2026) — usable data existed, deliberately excluded from this round</t>
        </is>
      </c>
    </row>
    <row r="46" ht="14.25" customHeight="1">
      <c r="A46" s="15" t="inlineStr">
        <is>
          <t>ITUK, UTI — both already sit on the separate V4/as-presented basis for the GPS numbers above (col J note); kept out of this exercise too.</t>
        </is>
      </c>
    </row>
    <row r="47" ht="14.25" customHeight="1">
      <c r="A47" s="15" t="n"/>
    </row>
    <row r="48">
      <c r="A48" s="65" t="inlineStr">
        <is>
          <t>EXCLUDED (insufficient KPI DB→DLR data) — flagged on Dashboard, no target set</t>
        </is>
      </c>
    </row>
    <row r="49" ht="14.25" customHeight="1">
      <c r="A49" s="15" t="inlineStr">
        <is>
          <t>UMI ('Internal only' throughout) · HUNGARY (no row in KPI block) · GERMANY (ISD stale since Mar'25) · GREECE (Petros Petropoulos stale</t>
        </is>
      </c>
    </row>
    <row r="50">
      <c r="A50" t="inlineStr">
        <is>
          <t>since Jun'25) · FINLAND (stale since Oct'25) · CYPRUS (real distributor Loutsios &amp; Sons has zero KPI data; KPI's 'MIDI' row is Italy's</t>
        </is>
      </c>
    </row>
    <row r="51">
      <c r="A51" t="inlineStr">
        <is>
          <t>distributor, not Cyprus's — confirmed against UIO file's Distributor column, ~55x too large vs Cyprus's own BP FY27 scale).</t>
        </is>
      </c>
    </row>
    <row r="53">
      <c r="A53" t="inlineStr">
        <is>
          <t>Built 22-07-2026, revised same day (2% price, ITUK/UTI skipped, block layout clarified).</t>
        </is>
      </c>
    </row>
    <row r="55">
      <c r="A55" t="inlineStr"/>
    </row>
    <row r="56">
      <c r="A56" s="105" t="inlineStr">
        <is>
          <t>VERSION 3.3 — 23-10-2026 (Jerome's answers in the Claude session)</t>
        </is>
      </c>
    </row>
    <row r="57">
      <c r="A57" t="inlineStr">
        <is>
          <t>1. LCV rate: EUR 250 ISZE-net FY26 base (fleet-study rate) -&gt; x1.05 FY27 = 262.50 -&gt; x(1+price) FY28-FY31. MH's 291.2 x 1.16 x 0.65 = 219.56 chain retired (FX and margin applied twice).</t>
        </is>
      </c>
    </row>
    <row r="58">
      <c r="A58" t="inlineStr">
        <is>
          <t>2. UIO: V19 detail rows kept, one-column shift (FY = CY-1). FY28..FY31 &lt;- CY2027F..CY2030F (01_data/00_derived/uio_by_market_type_year.csv). Corrected CY2026 file (30-07, ~9% lower LCV) NOT applied — V20 not adopted.</t>
        </is>
      </c>
    </row>
    <row r="59">
      <c r="A59" t="inlineStr">
        <is>
          <t>3. Ceiling per distributor (input Q1 on Dashboard (2), 100%): stretch = MAX(0, MIN(stretch input, ceiling - GPS share)). Share already at/above the ceiling is held flat. FY28-31: share = previous share + FY28-31 stretch input (N2, 1.0%), capped the same way.</t>
        </is>
      </c>
    </row>
    <row r="60">
      <c r="A60" t="inlineStr">
        <is>
          <t xml:space="preserve">   Why two inputs: FY27 at 1.0% gives EUR 923K stretch, EUR 29K short of the EUR 952K the waterfall needs, so FY27 stays 1.8%. FY28-31 at 1.8% puts the 18 + outside customers EUR 3.3-4.2M a year above the network plan and drives Iceland to 99.8% / Ireland to the ceiling; 1.0% stays above plan every year (FY31 +0.9M); 0.8% gives FY31 +0.2M only.</t>
        </is>
      </c>
    </row>
    <row r="61">
      <c r="A61" t="inlineStr">
        <is>
          <t>4. ITUK / UTI: FY27 kept as presented (V4 basis). FY28-31 extended with the same share rule on their own fleet rows.</t>
        </is>
      </c>
    </row>
    <row r="62">
      <c r="A62" t="inlineStr">
        <is>
          <t>5. FY25 / FY26 ISZE actuals refreshed from 00_derived/gps_billing_fy_ALLCUSTOMERS.csv (net_gps). Greece = payer 66 ('RSA' label).</t>
        </is>
      </c>
    </row>
    <row r="63">
      <c r="A63" t="inlineStr">
        <is>
          <t>6. Dashboard (2): links to the old Sept workbook made internal; Malta LCV row used the F-Series rate (887) — fixed; Greece and Cyprus medium-duty vehicles were left out of the potential — added; FY2028-FY2031 filled; network BP comparison rows 45-47.</t>
        </is>
      </c>
    </row>
    <row r="64">
      <c r="A64" t="inlineStr">
        <is>
          <t>7. Network BP FY28-FY31 = PL plan row 186: 37.53M / 41.53M / 46.39M / 52.10M. Customers outside the 18 (EUR 2.06M) held flat.</t>
        </is>
      </c>
    </row>
    <row r="65">
      <c r="A65" t="inlineStr">
        <is>
          <t>8. Dealer level (販社) only kept for ITUK, as before (dealer block dropped 17-07-2026).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2026-07-17T12:24:24Z</dcterms:created>
  <dcterms:modified xmlns:dcterms="http://purl.org/dc/terms/" xmlns:xsi="http://www.w3.org/2001/XMLSchema-instance" xsi:type="dcterms:W3CDTF">2026-10-23T00:29:39Z</dcterms:modified>
  <cp:lastModifiedBy>Masumi Hayakawa</cp:lastModifiedBy>
  <cp:revision>0</cp:revision>
</cp:coreProperties>
</file>