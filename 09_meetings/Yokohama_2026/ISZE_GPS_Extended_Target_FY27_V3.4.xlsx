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Dashboard (2)" sheetId="1" state="visible" r:id="rId3"/>
    <sheet name="Inputs" sheetId="2" state="visible" r:id="rId4"/>
    <sheet name="Checks" sheetId="3" state="visible" r:id="rId5"/>
    <sheet name="UIO V19" sheetId="4" state="visible" r:id="rId6"/>
    <sheet name="UIO V20" sheetId="5" state="visible" r:id="rId7"/>
    <sheet name="Dashboard" sheetId="6" state="visible" r:id="rId8"/>
    <sheet name="Waterfall VP" sheetId="7" state="visible" r:id="rId9"/>
    <sheet name="IUK" sheetId="8" state="visible" r:id="rId10"/>
    <sheet name="UMI" sheetId="9" state="visible" r:id="rId11"/>
    <sheet name="NORWAY" sheetId="10" state="visible" r:id="rId12"/>
    <sheet name="SWEDEN" sheetId="11" state="visible" r:id="rId13"/>
    <sheet name="HUNGARY" sheetId="12" state="visible" r:id="rId14"/>
    <sheet name="FINLAND" sheetId="13" state="visible" r:id="rId15"/>
    <sheet name="ROMANIA" sheetId="14" state="visible" r:id="rId16"/>
    <sheet name="DENMARK" sheetId="15" state="visible" r:id="rId17"/>
    <sheet name="ICELAND" sheetId="16" state="visible" r:id="rId18"/>
    <sheet name="GERMANY" sheetId="17" state="visible" r:id="rId19"/>
    <sheet name="BELGIUM" sheetId="18" state="visible" r:id="rId20"/>
    <sheet name="PORTUGAL" sheetId="19" state="visible" r:id="rId21"/>
    <sheet name="IRELAND" sheetId="20" state="visible" r:id="rId22"/>
    <sheet name="GREECE" sheetId="21" state="visible" r:id="rId23"/>
    <sheet name="CYPRUS" sheetId="22" state="visible" r:id="rId24"/>
    <sheet name="MALTA" sheetId="23" state="visible" r:id="rId25"/>
    <sheet name="Waterfall VP (original)" sheetId="24" state="visible" r:id="rId26"/>
    <sheet name="Method" sheetId="25" state="visible" r:id="rId27"/>
  </sheets>
  <definedNames>
    <definedName function="false" hidden="true" localSheetId="5" name="_xlnm._FilterDatabase" vbProcedure="false">Dashboard!$A$4:$W$4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<sst xmlns="http://schemas.openxmlformats.org/spreadsheetml/2006/main" count="2138" uniqueCount="519">
  <si>
    <t xml:space="preserve">ISZE — FY2027 GPS Extended Target</t>
  </si>
  <si>
    <t xml:space="preserve">GPS stretch FY27 (pt)</t>
  </si>
  <si>
    <t xml:space="preserve">Cap at 100%? YES/NO</t>
  </si>
  <si>
    <t xml:space="preserve">NO</t>
  </si>
  <si>
    <t xml:space="preserve">Price FY28-31 / yr</t>
  </si>
  <si>
    <t xml:space="preserve">Blue / yellow = input. Q1 = NO: the same stretch for every distributor. Q1 = YES: stretch capped so no GPS share passes 100%.</t>
  </si>
  <si>
    <t xml:space="preserve">ISZE to distributor level. Stretch inputs on Dashboard (2) row 1. Every number on this sheet is live.</t>
  </si>
  <si>
    <t xml:space="preserve">GPS stretch FY28-31 / yr (pt)</t>
  </si>
  <si>
    <t xml:space="preserve">FY27 stretch must stay &gt;= ~1.1% to cover the EUR 952K the waterfall needs (Dashboard C25).</t>
  </si>
  <si>
    <r>
      <rPr>
        <sz val="11"/>
        <color theme="1"/>
        <rFont val="Meiryo"/>
        <family val="2"/>
        <charset val="1"/>
      </rPr>
      <t xml:space="preserve">2025</t>
    </r>
    <r>
      <rPr>
        <sz val="11"/>
        <color theme="1"/>
        <rFont val="WenQuanYi Zen Hei"/>
        <family val="2"/>
      </rPr>
      <t xml:space="preserve">年度</t>
    </r>
  </si>
  <si>
    <t xml:space="preserve">FY2026</t>
  </si>
  <si>
    <r>
      <rPr>
        <i val="true"/>
        <sz val="9"/>
        <color rgb="FFFFFFFF"/>
        <rFont val="WenQuanYi Zen Hei"/>
        <family val="2"/>
      </rPr>
      <t xml:space="preserve">販社 </t>
    </r>
    <r>
      <rPr>
        <i val="true"/>
        <sz val="9"/>
        <color rgb="FFFFFFFF"/>
        <rFont val="Cambria"/>
        <family val="0"/>
        <charset val="1"/>
      </rPr>
      <t xml:space="preserve">= distributor sales to its dealers. Amounts only: KPI sales-to-dealer run 2.2-3.7x ISZE billing, so a share would read above 100%.</t>
    </r>
  </si>
  <si>
    <r>
      <rPr>
        <sz val="11"/>
        <color theme="1"/>
        <rFont val="Meiryo"/>
        <family val="2"/>
        <charset val="1"/>
      </rPr>
      <t xml:space="preserve">2026</t>
    </r>
    <r>
      <rPr>
        <sz val="11"/>
        <color theme="1"/>
        <rFont val="WenQuanYi Zen Hei"/>
        <family val="2"/>
      </rPr>
      <t xml:space="preserve">年度</t>
    </r>
  </si>
  <si>
    <t xml:space="preserve">FY2027</t>
  </si>
  <si>
    <r>
      <rPr>
        <sz val="11"/>
        <color theme="1"/>
        <rFont val="Meiryo"/>
        <family val="2"/>
        <charset val="1"/>
      </rPr>
      <t xml:space="preserve">2027</t>
    </r>
    <r>
      <rPr>
        <sz val="11"/>
        <color theme="1"/>
        <rFont val="WenQuanYi Zen Hei"/>
        <family val="2"/>
      </rPr>
      <t xml:space="preserve">年度</t>
    </r>
  </si>
  <si>
    <t xml:space="preserve">FY2028</t>
  </si>
  <si>
    <r>
      <rPr>
        <sz val="11"/>
        <color theme="1"/>
        <rFont val="Meiryo"/>
        <family val="2"/>
        <charset val="1"/>
      </rPr>
      <t xml:space="preserve">2028</t>
    </r>
    <r>
      <rPr>
        <sz val="11"/>
        <color theme="1"/>
        <rFont val="WenQuanYi Zen Hei"/>
        <family val="2"/>
      </rPr>
      <t xml:space="preserve">年度</t>
    </r>
  </si>
  <si>
    <t xml:space="preserve">FY2029</t>
  </si>
  <si>
    <r>
      <rPr>
        <sz val="11"/>
        <color theme="1"/>
        <rFont val="Meiryo"/>
        <family val="2"/>
        <charset val="1"/>
      </rPr>
      <t xml:space="preserve">2029</t>
    </r>
    <r>
      <rPr>
        <sz val="11"/>
        <color theme="1"/>
        <rFont val="WenQuanYi Zen Hei"/>
        <family val="2"/>
      </rPr>
      <t xml:space="preserve">年度</t>
    </r>
  </si>
  <si>
    <t xml:space="preserve">FY2030</t>
  </si>
  <si>
    <r>
      <rPr>
        <sz val="11"/>
        <color theme="1"/>
        <rFont val="Meiryo"/>
        <family val="2"/>
        <charset val="1"/>
      </rPr>
      <t xml:space="preserve">2030</t>
    </r>
    <r>
      <rPr>
        <sz val="11"/>
        <color theme="1"/>
        <rFont val="WenQuanYi Zen Hei"/>
        <family val="2"/>
      </rPr>
      <t xml:space="preserve">年度</t>
    </r>
  </si>
  <si>
    <t xml:space="preserve">FY2031</t>
  </si>
  <si>
    <t xml:space="preserve">DB</t>
  </si>
  <si>
    <t xml:space="preserve">Segment</t>
  </si>
  <si>
    <t xml:space="preserve">BP FY27</t>
  </si>
  <si>
    <t xml:space="preserve">Max spend</t>
  </si>
  <si>
    <t xml:space="preserve">GPS %</t>
  </si>
  <si>
    <t xml:space="preserve">Stretch%</t>
  </si>
  <si>
    <t xml:space="preserve">Stretch EUR</t>
  </si>
  <si>
    <t xml:space="preserve">New GPS</t>
  </si>
  <si>
    <t xml:space="preserve">EXT TARGET</t>
  </si>
  <si>
    <t xml:space="preserve">Note</t>
  </si>
  <si>
    <r>
      <rPr>
        <sz val="11"/>
        <color rgb="FFFFFFFF"/>
        <rFont val="Meiryo"/>
        <family val="2"/>
        <charset val="1"/>
      </rPr>
      <t xml:space="preserve">ISZE</t>
    </r>
    <r>
      <rPr>
        <sz val="11"/>
        <color rgb="FFFFFFFF"/>
        <rFont val="WenQuanYi Zen Hei"/>
        <family val="2"/>
      </rPr>
      <t xml:space="preserve">台当たり単価</t>
    </r>
  </si>
  <si>
    <t xml:space="preserve">UIO</t>
  </si>
  <si>
    <r>
      <rPr>
        <sz val="11"/>
        <color theme="0"/>
        <rFont val="Meiryo"/>
        <family val="2"/>
        <charset val="1"/>
      </rPr>
      <t xml:space="preserve">ISZE</t>
    </r>
    <r>
      <rPr>
        <sz val="11"/>
        <color theme="0"/>
        <rFont val="WenQuanYi Zen Hei"/>
        <family val="2"/>
      </rPr>
      <t xml:space="preserve">部品販売
ポテンシャル</t>
    </r>
  </si>
  <si>
    <r>
      <rPr>
        <sz val="11"/>
        <color theme="0"/>
        <rFont val="Meiryo"/>
        <family val="2"/>
        <charset val="1"/>
      </rPr>
      <t xml:space="preserve">ISZE</t>
    </r>
    <r>
      <rPr>
        <sz val="11"/>
        <color theme="0"/>
        <rFont val="WenQuanYi Zen Hei"/>
        <family val="2"/>
      </rPr>
      <t xml:space="preserve">部品売上実績</t>
    </r>
  </si>
  <si>
    <r>
      <rPr>
        <sz val="11"/>
        <color theme="0"/>
        <rFont val="Meiryo"/>
        <family val="2"/>
        <charset val="1"/>
      </rPr>
      <t xml:space="preserve">ISZE</t>
    </r>
    <r>
      <rPr>
        <sz val="11"/>
        <color theme="0"/>
        <rFont val="WenQuanYi Zen Hei"/>
        <family val="2"/>
      </rPr>
      <t xml:space="preserve">部品カバー率
</t>
    </r>
    <r>
      <rPr>
        <sz val="11"/>
        <color theme="0"/>
        <rFont val="Meiryo"/>
        <family val="2"/>
        <charset val="1"/>
      </rPr>
      <t xml:space="preserve">(</t>
    </r>
    <r>
      <rPr>
        <sz val="11"/>
        <color theme="0"/>
        <rFont val="WenQuanYi Zen Hei"/>
        <family val="2"/>
      </rPr>
      <t xml:space="preserve">実績</t>
    </r>
    <r>
      <rPr>
        <sz val="11"/>
        <color theme="0"/>
        <rFont val="Meiryo"/>
        <family val="2"/>
        <charset val="1"/>
      </rPr>
      <t xml:space="preserve">)</t>
    </r>
  </si>
  <si>
    <t xml:space="preserve">販社台当たり単価</t>
  </si>
  <si>
    <t xml:space="preserve">販社部品販売ポテンシャル</t>
  </si>
  <si>
    <r>
      <rPr>
        <sz val="11"/>
        <color theme="0"/>
        <rFont val="WenQuanYi Zen Hei"/>
        <family val="2"/>
      </rPr>
      <t xml:space="preserve">販社部品販売
</t>
    </r>
    <r>
      <rPr>
        <sz val="11"/>
        <color theme="0"/>
        <rFont val="Meiryo"/>
        <family val="2"/>
        <charset val="1"/>
      </rPr>
      <t xml:space="preserve">(</t>
    </r>
    <r>
      <rPr>
        <sz val="11"/>
        <color theme="0"/>
        <rFont val="WenQuanYi Zen Hei"/>
        <family val="2"/>
      </rPr>
      <t xml:space="preserve">実績</t>
    </r>
    <r>
      <rPr>
        <sz val="11"/>
        <color theme="0"/>
        <rFont val="Meiryo"/>
        <family val="2"/>
        <charset val="1"/>
      </rPr>
      <t xml:space="preserve">)</t>
    </r>
  </si>
  <si>
    <r>
      <rPr>
        <sz val="11"/>
        <color theme="0"/>
        <rFont val="WenQuanYi Zen Hei"/>
        <family val="2"/>
      </rPr>
      <t xml:space="preserve">販社部品カバー率
</t>
    </r>
    <r>
      <rPr>
        <sz val="11"/>
        <color theme="0"/>
        <rFont val="Meiryo"/>
        <family val="2"/>
        <charset val="1"/>
      </rPr>
      <t xml:space="preserve">(</t>
    </r>
    <r>
      <rPr>
        <sz val="11"/>
        <color theme="0"/>
        <rFont val="WenQuanYi Zen Hei"/>
        <family val="2"/>
      </rPr>
      <t xml:space="preserve">実績</t>
    </r>
    <r>
      <rPr>
        <sz val="11"/>
        <color theme="0"/>
        <rFont val="Meiryo"/>
        <family val="2"/>
        <charset val="1"/>
      </rPr>
      <t xml:space="preserve">)</t>
    </r>
  </si>
  <si>
    <r>
      <rPr>
        <sz val="11"/>
        <color theme="0"/>
        <rFont val="Meiryo"/>
        <family val="2"/>
        <charset val="1"/>
      </rPr>
      <t xml:space="preserve">ISZE </t>
    </r>
    <r>
      <rPr>
        <sz val="11"/>
        <color theme="0"/>
        <rFont val="WenQuanYi Zen Hei"/>
        <family val="2"/>
      </rPr>
      <t xml:space="preserve">部品販売
ポテンシャル</t>
    </r>
  </si>
  <si>
    <r>
      <rPr>
        <sz val="11"/>
        <color theme="0"/>
        <rFont val="Meiryo"/>
        <family val="2"/>
        <charset val="1"/>
      </rPr>
      <t xml:space="preserve">ISZE </t>
    </r>
    <r>
      <rPr>
        <sz val="11"/>
        <color theme="0"/>
        <rFont val="WenQuanYi Zen Hei"/>
        <family val="2"/>
      </rPr>
      <t xml:space="preserve">部品カバー率
</t>
    </r>
    <r>
      <rPr>
        <sz val="11"/>
        <color theme="0"/>
        <rFont val="Meiryo"/>
        <family val="2"/>
        <charset val="1"/>
      </rPr>
      <t xml:space="preserve">(</t>
    </r>
    <r>
      <rPr>
        <sz val="11"/>
        <color theme="0"/>
        <rFont val="WenQuanYi Zen Hei"/>
        <family val="2"/>
      </rPr>
      <t xml:space="preserve">目標</t>
    </r>
    <r>
      <rPr>
        <sz val="11"/>
        <color theme="0"/>
        <rFont val="Meiryo"/>
        <family val="2"/>
        <charset val="1"/>
      </rPr>
      <t xml:space="preserve">)</t>
    </r>
  </si>
  <si>
    <r>
      <rPr>
        <sz val="11"/>
        <color theme="0"/>
        <rFont val="Meiryo"/>
        <family val="2"/>
        <charset val="1"/>
      </rPr>
      <t xml:space="preserve">ISZE</t>
    </r>
    <r>
      <rPr>
        <sz val="11"/>
        <color theme="0"/>
        <rFont val="WenQuanYi Zen Hei"/>
        <family val="2"/>
      </rPr>
      <t xml:space="preserve">部品売上目標</t>
    </r>
  </si>
  <si>
    <t xml:space="preserve">販社部品販売目標</t>
  </si>
  <si>
    <r>
      <rPr>
        <sz val="11"/>
        <color theme="0"/>
        <rFont val="WenQuanYi Zen Hei"/>
        <family val="2"/>
      </rPr>
      <t xml:space="preserve">販社部品カバー率</t>
    </r>
    <r>
      <rPr>
        <sz val="11"/>
        <color theme="0"/>
        <rFont val="Meiryo"/>
        <family val="2"/>
        <charset val="1"/>
      </rPr>
      <t xml:space="preserve">(</t>
    </r>
    <r>
      <rPr>
        <sz val="11"/>
        <color theme="0"/>
        <rFont val="WenQuanYi Zen Hei"/>
        <family val="2"/>
      </rPr>
      <t xml:space="preserve">目標</t>
    </r>
    <r>
      <rPr>
        <sz val="11"/>
        <color theme="0"/>
        <rFont val="Meiryo"/>
        <family val="2"/>
        <charset val="1"/>
      </rPr>
      <t xml:space="preserve">)</t>
    </r>
  </si>
  <si>
    <t xml:space="preserve">ISZE Parts Sales per Unit</t>
  </si>
  <si>
    <t xml:space="preserve">ISZE Parts Sles Potential</t>
  </si>
  <si>
    <t xml:space="preserve">ISZE Parts Sales Actual</t>
  </si>
  <si>
    <t xml:space="preserve">ISZE Share Actual</t>
  </si>
  <si>
    <t xml:space="preserve">Distributor's Parts Sales per Unit</t>
  </si>
  <si>
    <t xml:space="preserve">Distributor's Parts Sales Potential</t>
  </si>
  <si>
    <t xml:space="preserve">Distributor Parts Sales Actual</t>
  </si>
  <si>
    <t xml:space="preserve">Dist Parts Share Actual</t>
  </si>
  <si>
    <t xml:space="preserve">ISZE Target Share</t>
  </si>
  <si>
    <t xml:space="preserve">ISZE Parts Sales Target</t>
  </si>
  <si>
    <t xml:space="preserve">Distributor Parts Sales Target</t>
  </si>
  <si>
    <t xml:space="preserve">Distributor Parts Share target</t>
  </si>
  <si>
    <t xml:space="preserve">ITUK</t>
  </si>
  <si>
    <t xml:space="preserve">presented</t>
  </si>
  <si>
    <t xml:space="preserve">Max spend on IML data (2026 vehicles, +5%); target as presented in July</t>
  </si>
  <si>
    <t xml:space="preserve">N35</t>
  </si>
  <si>
    <t xml:space="preserve">N75</t>
  </si>
  <si>
    <t xml:space="preserve">F</t>
  </si>
  <si>
    <t xml:space="preserve">UTI</t>
  </si>
  <si>
    <t xml:space="preserve">CV</t>
  </si>
  <si>
    <t xml:space="preserve">n/a</t>
  </si>
  <si>
    <t xml:space="preserve">IUK</t>
  </si>
  <si>
    <t xml:space="preserve">LCV</t>
  </si>
  <si>
    <t xml:space="preserve">UMI</t>
  </si>
  <si>
    <t xml:space="preserve">NORWAY</t>
  </si>
  <si>
    <t xml:space="preserve">SWEDEN</t>
  </si>
  <si>
    <t xml:space="preserve">HUNGARY</t>
  </si>
  <si>
    <t xml:space="preserve">FINLAND</t>
  </si>
  <si>
    <t xml:space="preserve">ROMANIA</t>
  </si>
  <si>
    <t xml:space="preserve">DENMARK</t>
  </si>
  <si>
    <t xml:space="preserve">ICELAND</t>
  </si>
  <si>
    <t xml:space="preserve">GERMANY</t>
  </si>
  <si>
    <t xml:space="preserve">mixed</t>
  </si>
  <si>
    <t xml:space="preserve">CV LD</t>
  </si>
  <si>
    <t xml:space="preserve">CV MD</t>
  </si>
  <si>
    <t xml:space="preserve">BELGIUM</t>
  </si>
  <si>
    <t xml:space="preserve">PORTUGAL</t>
  </si>
  <si>
    <t xml:space="preserve">CV N</t>
  </si>
  <si>
    <t xml:space="preserve">CV F</t>
  </si>
  <si>
    <t xml:space="preserve">IRELAND</t>
  </si>
  <si>
    <t xml:space="preserve">GREECE</t>
  </si>
  <si>
    <t xml:space="preserve">CV N+MD</t>
  </si>
  <si>
    <t xml:space="preserve">CYPRUS</t>
  </si>
  <si>
    <t xml:space="preserve">MALTA</t>
  </si>
  <si>
    <t xml:space="preserve">TOTAL</t>
  </si>
  <si>
    <t xml:space="preserve">TOTAL 18</t>
  </si>
  <si>
    <t xml:space="preserve">+ outside 18 (CIS/MIDI/KIMA/IMG, flat)</t>
  </si>
  <si>
    <t xml:space="preserve">Remaining stretch BEFORE GPS</t>
  </si>
  <si>
    <t xml:space="preserve">Network BP (PL plan row 186)</t>
  </si>
  <si>
    <t xml:space="preserve">GPS contribution (18 DBs)</t>
  </si>
  <si>
    <t xml:space="preserve">Gap: target - BP (+ = above plan)</t>
  </si>
  <si>
    <t xml:space="preserve">Remaining stretch AFTER GPS</t>
  </si>
  <si>
    <t xml:space="preserve">negative = over-covered = buffer</t>
  </si>
  <si>
    <t xml:space="preserve">Dealer totals (row 44) add only the distributors with KPI sales-to-dealer data.</t>
  </si>
  <si>
    <t xml:space="preserve">WATCH</t>
  </si>
  <si>
    <r>
      <rPr>
        <i val="true"/>
        <sz val="11"/>
        <color rgb="FF808080"/>
        <rFont val="Meiryo"/>
        <family val="2"/>
        <charset val="1"/>
      </rPr>
      <t xml:space="preserve">• Dealer level (</t>
    </r>
    <r>
      <rPr>
        <i val="true"/>
        <sz val="11"/>
        <color rgb="FF808080"/>
        <rFont val="WenQuanYi Zen Hei"/>
        <family val="2"/>
      </rPr>
      <t xml:space="preserve">販社</t>
    </r>
    <r>
      <rPr>
        <i val="true"/>
        <sz val="11"/>
        <color rgb="FF808080"/>
        <rFont val="Meiryo"/>
        <family val="2"/>
        <charset val="1"/>
      </rPr>
      <t xml:space="preserve">): amounts only. The distributors' reported sales to dealers run 2.2 to 3.7 times ISZE billing, so a share would read above 100% for five distributors. FY2027 dealer target = FY2026 sales to dealers + ISZE stretch / 0.65; FY2028-FY2031 move with the ISZE target.</t>
    </r>
  </si>
  <si>
    <t xml:space="preserve">• ITUK and UTI: targets and stretch as presented in July; maximum spend on IML data (2026 vehicles, +5%).</t>
  </si>
  <si>
    <t xml:space="preserve">• The same stretch for every distributor. Finland (104.9% on budget) and Ireland (100.2% after stretch) read above 100%: quote the amount, not the %. Ireland's fleet is national registration data.</t>
  </si>
  <si>
    <t xml:space="preserve">• Belgium: Isuzu Benelux also serves NL, PL and LU; only Belgian vehicles are counted.</t>
  </si>
  <si>
    <t xml:space="preserve">• Fleet: UIO V19 for all years. Sheets 'UIO V19' and 'UIO V20' explain the difference with the UIO V20 spec and its effect on FY2028-FY2031.</t>
  </si>
  <si>
    <t xml:space="preserve">• Blue numbers are inputs. Every other number is a formula; constants sit on the Inputs sheet or the distributor tabs.</t>
  </si>
  <si>
    <t xml:space="preserve">Inputs — every constant the formulas use. Blue/yellow = edit here; everything else follows.</t>
  </si>
  <si>
    <t xml:space="preserve">ISZE-net parts spend per vehicle per year, FY2026 base (EUR)</t>
  </si>
  <si>
    <t xml:space="preserve">LCV / D-Max</t>
  </si>
  <si>
    <t xml:space="preserve">pick-up rate per vehicle</t>
  </si>
  <si>
    <t xml:space="preserve">CV LD (N75/N50/N62)</t>
  </si>
  <si>
    <t xml:space="preserve">truck rates, unchanged</t>
  </si>
  <si>
    <t xml:space="preserve">CV F-Series</t>
  </si>
  <si>
    <t xml:space="preserve">Price increase FY2027</t>
  </si>
  <si>
    <t xml:space="preserve">Price increase FY2028-31 / yr</t>
  </si>
  <si>
    <t xml:space="preserve">set on Dashboard (2) T1</t>
  </si>
  <si>
    <t xml:space="preserve">Dealer price step FY27 (ITUK row as presented)</t>
  </si>
  <si>
    <t xml:space="preserve">Dealer-level spend per vehicle (GBP, ITUK convention)</t>
  </si>
  <si>
    <t xml:space="preserve">EUR</t>
  </si>
  <si>
    <t xml:space="preserve">LCV / N35</t>
  </si>
  <si>
    <t xml:space="preserve">CV LD / N75</t>
  </si>
  <si>
    <t xml:space="preserve">CV MD / F-Series</t>
  </si>
  <si>
    <t xml:space="preserve">GBP to EUR (as in the ITUK row)</t>
  </si>
  <si>
    <t xml:space="preserve">Distributor margin (dealer level = ISZE / (1 - margin))</t>
  </si>
  <si>
    <t xml:space="preserve">Fiscal year</t>
  </si>
  <si>
    <t xml:space="preserve">Network BP, PL plan row 186 (EUR)</t>
  </si>
  <si>
    <t xml:space="preserve">Sum of BP FY27, 18 distributors</t>
  </si>
  <si>
    <t xml:space="preserve">Customers outside the 18 (CIS, MIDI, KIMA, IMG), held flat</t>
  </si>
  <si>
    <t xml:space="preserve">Fleet year used (fiscal year = calendar year + 1)</t>
  </si>
  <si>
    <t xml:space="preserve">CY2025</t>
  </si>
  <si>
    <t xml:space="preserve">CY2026</t>
  </si>
  <si>
    <t xml:space="preserve">CY2027</t>
  </si>
  <si>
    <t xml:space="preserve">CY2028</t>
  </si>
  <si>
    <t xml:space="preserve">CY2029</t>
  </si>
  <si>
    <t xml:space="preserve">CY2030</t>
  </si>
  <si>
    <t xml:space="preserve">Fleet for ITUK and UTI (UIO V19)</t>
  </si>
  <si>
    <t xml:space="preserve">ITUK LD (N35 + N75)</t>
  </si>
  <si>
    <t xml:space="preserve">ITUK F-Series</t>
  </si>
  <si>
    <t xml:space="preserve">UTI LD</t>
  </si>
  <si>
    <t xml:space="preserve">UTI MD</t>
  </si>
  <si>
    <t xml:space="preserve">Other inputs: fleet and FY2025 / FY2026 billing on each distributor tab, stretch / cap / price on Dashboard (2) row 1-2, ITUK and UTI FY2027 figures as presented in July.</t>
  </si>
  <si>
    <t xml:space="preserve">ITUK sales to dealers FY26 (GBP, as presented)</t>
  </si>
  <si>
    <t xml:space="preserve">x GBP-&gt;EUR B16 = Dashboard (2) S9</t>
  </si>
  <si>
    <t xml:space="preserve">Cap stretch at the share ceiling? (switch on Dashboard (2) Q1)</t>
  </si>
  <si>
    <t xml:space="preserve">Default NO: the same stretch for every distributor; above 100% we quote the amount, not the %.</t>
  </si>
  <si>
    <t xml:space="preserve">Share ceiling when the cap is on</t>
  </si>
  <si>
    <t xml:space="preserve">Effective ceiling used by the formulas (no cap = 999%)</t>
  </si>
  <si>
    <t xml:space="preserve">UIO V19: share of the fleet leaving the road each year from 2026 (explanation on sheet 'UIO V19')</t>
  </si>
  <si>
    <t xml:space="preserve">Live checks — every row must read OK. Recalculate (F9) after changing an input.</t>
  </si>
  <si>
    <t xml:space="preserve">Overall</t>
  </si>
  <si>
    <t xml:space="preserve">#</t>
  </si>
  <si>
    <t xml:space="preserve">Check</t>
  </si>
  <si>
    <t xml:space="preserve">Value A</t>
  </si>
  <si>
    <t xml:space="preserve">Value B</t>
  </si>
  <si>
    <t xml:space="preserve">Difference</t>
  </si>
  <si>
    <t xml:space="preserve">Status</t>
  </si>
  <si>
    <t xml:space="preserve">Waterfall closes to the FY27 plan</t>
  </si>
  <si>
    <t xml:space="preserve">Waterfall GPS step = stretch total on Dashboard</t>
  </si>
  <si>
    <t xml:space="preserve">Waterfall: required 952K minus GPS step = Q4</t>
  </si>
  <si>
    <t xml:space="preserve">BP 18 distributors + outside 18 = network plan FY27</t>
  </si>
  <si>
    <t xml:space="preserve">Japanese view FY27 target total = Dashboard extended target total</t>
  </si>
  <si>
    <t xml:space="preserve">Japanese view FY27 potential (16) = Dashboard max spend (16)</t>
  </si>
  <si>
    <t xml:space="preserve">Stretch total FY27 = sum over the 16 tabs + ITUK + UTI</t>
  </si>
  <si>
    <t xml:space="preserve">ITUK max spend: Dashboard = Dashboard (2) (IML data)</t>
  </si>
  <si>
    <t xml:space="preserve">UTI max spend: Dashboard = Dashboard (2) (IML data)</t>
  </si>
  <si>
    <t xml:space="preserve">Gap row FY31 = target + outside - BP</t>
  </si>
  <si>
    <t xml:space="preserve">Error cells on Dashboard (2) (must be 0)</t>
  </si>
  <si>
    <t xml:space="preserve">Error cells on Dashboard (must be 0)</t>
  </si>
  <si>
    <t xml:space="preserve">IUK: tab extended target = Dashboard = Japanese view</t>
  </si>
  <si>
    <t xml:space="preserve">IUK: share after stretch within ceiling (or no stretch)</t>
  </si>
  <si>
    <t xml:space="preserve">IUK: FY31 share within ceiling (or held flat)</t>
  </si>
  <si>
    <t xml:space="preserve">UMI: tab extended target = Dashboard = Japanese view</t>
  </si>
  <si>
    <t xml:space="preserve">UMI: share after stretch within ceiling (or no stretch)</t>
  </si>
  <si>
    <t xml:space="preserve">UMI: FY31 share within ceiling (or held flat)</t>
  </si>
  <si>
    <t xml:space="preserve">NORWAY: tab extended target = Dashboard = Japanese view</t>
  </si>
  <si>
    <t xml:space="preserve">NORWAY: share after stretch within ceiling (or no stretch)</t>
  </si>
  <si>
    <t xml:space="preserve">NORWAY: FY31 share within ceiling (or held flat)</t>
  </si>
  <si>
    <t xml:space="preserve">SWEDEN: tab extended target = Dashboard = Japanese view</t>
  </si>
  <si>
    <t xml:space="preserve">SWEDEN: share after stretch within ceiling (or no stretch)</t>
  </si>
  <si>
    <t xml:space="preserve">SWEDEN: FY31 share within ceiling (or held flat)</t>
  </si>
  <si>
    <t xml:space="preserve">HUNGARY: tab extended target = Dashboard = Japanese view</t>
  </si>
  <si>
    <t xml:space="preserve">HUNGARY: share after stretch within ceiling (or no stretch)</t>
  </si>
  <si>
    <t xml:space="preserve">HUNGARY: FY31 share within ceiling (or held flat)</t>
  </si>
  <si>
    <t xml:space="preserve">FINLAND: tab extended target = Dashboard = Japanese view</t>
  </si>
  <si>
    <t xml:space="preserve">FINLAND: share after stretch within ceiling (or no stretch)</t>
  </si>
  <si>
    <t xml:space="preserve">FINLAND: FY31 share within ceiling (or held flat)</t>
  </si>
  <si>
    <t xml:space="preserve">ROMANIA: tab extended target = Dashboard = Japanese view</t>
  </si>
  <si>
    <t xml:space="preserve">ROMANIA: share after stretch within ceiling (or no stretch)</t>
  </si>
  <si>
    <t xml:space="preserve">ROMANIA: FY31 share within ceiling (or held flat)</t>
  </si>
  <si>
    <t xml:space="preserve">DENMARK: tab extended target = Dashboard = Japanese view</t>
  </si>
  <si>
    <t xml:space="preserve">DENMARK: share after stretch within ceiling (or no stretch)</t>
  </si>
  <si>
    <t xml:space="preserve">DENMARK: FY31 share within ceiling (or held flat)</t>
  </si>
  <si>
    <t xml:space="preserve">ICELAND: tab extended target = Dashboard = Japanese view</t>
  </si>
  <si>
    <t xml:space="preserve">ICELAND: share after stretch within ceiling (or no stretch)</t>
  </si>
  <si>
    <t xml:space="preserve">ICELAND: FY31 share within ceiling (or held flat)</t>
  </si>
  <si>
    <t xml:space="preserve">GERMANY: tab extended target = Dashboard = Japanese view</t>
  </si>
  <si>
    <t xml:space="preserve">GERMANY: share after stretch within ceiling (or no stretch)</t>
  </si>
  <si>
    <t xml:space="preserve">GERMANY: FY31 share within ceiling (or held flat)</t>
  </si>
  <si>
    <t xml:space="preserve">BELGIUM: tab extended target = Dashboard = Japanese view</t>
  </si>
  <si>
    <t xml:space="preserve">BELGIUM: share after stretch within ceiling (or no stretch)</t>
  </si>
  <si>
    <t xml:space="preserve">BELGIUM: FY31 share within ceiling (or held flat)</t>
  </si>
  <si>
    <t xml:space="preserve">PORTUGAL: tab extended target = Dashboard = Japanese view</t>
  </si>
  <si>
    <t xml:space="preserve">PORTUGAL: share after stretch within ceiling (or no stretch)</t>
  </si>
  <si>
    <t xml:space="preserve">PORTUGAL: FY31 share within ceiling (or held flat)</t>
  </si>
  <si>
    <t xml:space="preserve">IRELAND: tab extended target = Dashboard = Japanese view</t>
  </si>
  <si>
    <t xml:space="preserve">IRELAND: share after stretch within ceiling (or no stretch)</t>
  </si>
  <si>
    <t xml:space="preserve">IRELAND: FY31 share within ceiling (or held flat)</t>
  </si>
  <si>
    <t xml:space="preserve">GREECE: tab extended target = Dashboard = Japanese view</t>
  </si>
  <si>
    <t xml:space="preserve">GREECE: share after stretch within ceiling (or no stretch)</t>
  </si>
  <si>
    <t xml:space="preserve">GREECE: FY31 share within ceiling (or held flat)</t>
  </si>
  <si>
    <t xml:space="preserve">CYPRUS: tab extended target = Dashboard = Japanese view</t>
  </si>
  <si>
    <t xml:space="preserve">CYPRUS: share after stretch within ceiling (or no stretch)</t>
  </si>
  <si>
    <t xml:space="preserve">CYPRUS: FY31 share within ceiling (or held flat)</t>
  </si>
  <si>
    <t xml:space="preserve">MALTA: tab extended target = Dashboard = Japanese view</t>
  </si>
  <si>
    <t xml:space="preserve">MALTA: share after stretch within ceiling (or no stretch)</t>
  </si>
  <si>
    <t xml:space="preserve">MALTA: FY31 share within ceiling (or held flat)</t>
  </si>
  <si>
    <t xml:space="preserve">i</t>
  </si>
  <si>
    <t xml:space="preserve">INFO: distributors above 100% GPS share after the FY27 stretch (quote amount only)</t>
  </si>
  <si>
    <t xml:space="preserve">INFO</t>
  </si>
  <si>
    <t xml:space="preserve">UIO V19 sheet: total potential FY31 = Dashboard (2) total</t>
  </si>
  <si>
    <t xml:space="preserve">UIO V19 sheet: total target FY31 = Dashboard (2) total</t>
  </si>
  <si>
    <t xml:space="preserve">UIO V20 sheet: FY27 target unchanged against the model</t>
  </si>
  <si>
    <t xml:space="preserve">UIO V20 sheet: ITUK and UTI potential FY31 unchanged</t>
  </si>
  <si>
    <t xml:space="preserve">ITUK and UTI maximum spend use IML data on both dashboards (2026 vehicles, +5%); targets as presented in July.</t>
  </si>
  <si>
    <t xml:space="preserve">UIO V19: vehicles in use in this model</t>
  </si>
  <si>
    <t xml:space="preserve">What this sheet shows</t>
  </si>
  <si>
    <t xml:space="preserve">The vehicles in use per distributor and segment that every other sheet in this file uses. Fiscal year = calendar year + 1: FY2027 uses the fleet of calendar 2026, FY2031 the fleet of calendar 2030.</t>
  </si>
  <si>
    <t xml:space="preserve">How UIO V19 builds the fleet</t>
  </si>
  <si>
    <t xml:space="preserve">Up to 2025: registrations of each year, with an age curve for how many vehicles are still on the road. On that curve a pick-up stays on the road about 8 years on average and a truck about 10 years.</t>
  </si>
  <si>
    <t xml:space="preserve">From 2026: the forecast of new pick-up and truck sales is added each year, and only 3% of the fleet leaves the road each year. 3% a year means a vehicle stays on the road about 33 years, so the fleet keeps growing.</t>
  </si>
  <si>
    <t xml:space="preserve">Result: the fleet of these 18 distributors grows about 26% from FY2026 to FY2031, and the parts potential grows with it.</t>
  </si>
  <si>
    <t xml:space="preserve">Vehicles in use, UIO V19</t>
  </si>
  <si>
    <t xml:space="preserve">Distributor</t>
  </si>
  <si>
    <t xml:space="preserve">FY26 (CY2025)</t>
  </si>
  <si>
    <t xml:space="preserve">FY27 (CY2026)</t>
  </si>
  <si>
    <t xml:space="preserve">FY28 (CY2027)</t>
  </si>
  <si>
    <t xml:space="preserve">FY29 (CY2028)</t>
  </si>
  <si>
    <t xml:space="preserve">FY30 (CY2029)</t>
  </si>
  <si>
    <t xml:space="preserve">FY31 (CY2030)</t>
  </si>
  <si>
    <t xml:space="preserve">Change FY26 to FY31</t>
  </si>
  <si>
    <t xml:space="preserve">Light truck (N35 + N75)</t>
  </si>
  <si>
    <t xml:space="preserve">F-Series</t>
  </si>
  <si>
    <t xml:space="preserve">Light truck</t>
  </si>
  <si>
    <t xml:space="preserve">Medium truck</t>
  </si>
  <si>
    <t xml:space="preserve">Pick-up (D-Max)</t>
  </si>
  <si>
    <t xml:space="preserve">Total</t>
  </si>
  <si>
    <t xml:space="preserve">of which pick-ups</t>
  </si>
  <si>
    <t xml:space="preserve">of which trucks</t>
  </si>
  <si>
    <t xml:space="preserve">New pick-ups and pick-ups leaving the road per year (16 distributors and UMI, UIO V19)</t>
  </si>
  <si>
    <t xml:space="preserve">Pick-ups in use</t>
  </si>
  <si>
    <t xml:space="preserve">Pick-ups leaving the road (3% a year)</t>
  </si>
  <si>
    <t xml:space="preserve">New pick-ups in the forecast</t>
  </si>
  <si>
    <t xml:space="preserve">New pick-ups = change in pick-ups in use + pick-ups leaving the road. The UIO V20 spec uses the same new pick-ups.</t>
  </si>
  <si>
    <t xml:space="preserve">Price index (FY2026 = 1)</t>
  </si>
  <si>
    <t xml:space="preserve">Parts potential (ISZE maximum spend, EUR)</t>
  </si>
  <si>
    <t xml:space="preserve">GPS share (target)</t>
  </si>
  <si>
    <t xml:space="preserve">ISZE parts sales target (EUR)</t>
  </si>
  <si>
    <t xml:space="preserve">Total 18 distributors</t>
  </si>
  <si>
    <t xml:space="preserve">Customers outside the 18 (held flat)</t>
  </si>
  <si>
    <t xml:space="preserve">Total ISZE</t>
  </si>
  <si>
    <t xml:space="preserve">Network plan</t>
  </si>
  <si>
    <t xml:space="preserve">Above (+) / below (-) plan</t>
  </si>
  <si>
    <t xml:space="preserve">GPS share, 18 distributors</t>
  </si>
  <si>
    <t xml:space="preserve">UIO V20 spec: the same fleet with the age curve also applied after 2025</t>
  </si>
  <si>
    <t xml:space="preserve">What is different in the UIO V20 spec</t>
  </si>
  <si>
    <t xml:space="preserve">Everything up to 2025 is the same as UIO V19, and the forecast of new pick-up and truck sales is the same. Only one thing changes: from 2026 vehicles leave the road on the same age curve as before 2026 (pick-up about 8 years, truck about 10 years) instead of 3% a year.</t>
  </si>
  <si>
    <t xml:space="preserve">Effect: each year about 10,000 new pick-ups are added for these distributors, while about 13,000 to 15,000 older pick-ups leave the road. The pick-up fleet therefore goes down instead of up.</t>
  </si>
  <si>
    <t xml:space="preserve">Medium trucks that UIO V19 shows from 2026 for Ireland, Portugal, Greece and Cyprus are planned vehicles, not registered vehicles; the UIO V20 spec leaves them out. ITUK and UTI are the same in both versions.</t>
  </si>
  <si>
    <t xml:space="preserve">Our reading: UIO V19 keeps vehicles too long (about 33 years); the UIO V20 curve takes pick-ups off the road early (almost all gone by year 12 to 13). The real fleet is most likely between the two. The UIO V20 spec is not yet approved, so this file uses UIO V19; this sheet shows what changes if UIO V20 is adopted.</t>
  </si>
  <si>
    <t xml:space="preserve">Targets on this sheet: FY2027 stays the same amount (budget + stretch). From FY2028 the same rule as the model: GPS share + the yearly stretch, applied to the smaller UIO V20 potential.</t>
  </si>
  <si>
    <t xml:space="preserve">Vehicles in use, UIO V20 spec</t>
  </si>
  <si>
    <t xml:space="preserve">Difference with UIO V19</t>
  </si>
  <si>
    <t xml:space="preserve">Vehicles UIO V20 - UIO V19</t>
  </si>
  <si>
    <t xml:space="preserve">in %</t>
  </si>
  <si>
    <t xml:space="preserve">Summary: UIO V19 (this model) against the UIO V20 spec</t>
  </si>
  <si>
    <t xml:space="preserve">Vehicles, UIO V19</t>
  </si>
  <si>
    <t xml:space="preserve">Vehicles, UIO V20</t>
  </si>
  <si>
    <t xml:space="preserve">Potential, UIO V19</t>
  </si>
  <si>
    <t xml:space="preserve">Potential, UIO V20</t>
  </si>
  <si>
    <t xml:space="preserve">Total ISZE target, UIO V19</t>
  </si>
  <si>
    <t xml:space="preserve">Total ISZE target, UIO V20</t>
  </si>
  <si>
    <t xml:space="preserve">Against plan, UIO V19</t>
  </si>
  <si>
    <t xml:space="preserve">Against plan, UIO V20</t>
  </si>
  <si>
    <t xml:space="preserve">ISZE to distributor (billing and GPS %)</t>
  </si>
  <si>
    <t xml:space="preserve">ISZE billing (reference)</t>
  </si>
  <si>
    <t xml:space="preserve">Distributor sales to dealers (distributor KPI)</t>
  </si>
  <si>
    <t xml:space="preserve">ISZE billing FY25 (EUR)</t>
  </si>
  <si>
    <t xml:space="preserve">ISZE billing FY26 (EUR)</t>
  </si>
  <si>
    <t xml:space="preserve">Sales to dealers FY25 (EUR)</t>
  </si>
  <si>
    <t xml:space="preserve">Sales to dealers FY26 (EUR)</t>
  </si>
  <si>
    <t xml:space="preserve">Data coverage</t>
  </si>
  <si>
    <t xml:space="preserve">Not used (ITUK / UTI as presented)</t>
  </si>
  <si>
    <t xml:space="preserve">full 12/12 monthly coverage both FY25 and FY26</t>
  </si>
  <si>
    <t xml:space="preserve">Insufficient data</t>
  </si>
  <si>
    <t xml:space="preserve">Insufficient data — KPI marks UMI sales to dealers "Internal only", no figures.</t>
  </si>
  <si>
    <t xml:space="preserve">FY26 annualized from 11/12 months</t>
  </si>
  <si>
    <t xml:space="preserve">Insufficient data — no Hungary/AutoWallis row in the distributor KPI block.</t>
  </si>
  <si>
    <t xml:space="preserve">Above 100% at BP: quote the amount, not the %</t>
  </si>
  <si>
    <t xml:space="preserve">Insufficient data — distributor KPI (IMF/Nordic Auto.) stopped reporting Oct'25, 9 months stale.</t>
  </si>
  <si>
    <t xml:space="preserve">Insufficient data — distributor KPI (ISD) stopped reporting Mar'25, 15+ months stale.</t>
  </si>
  <si>
    <t xml:space="preserve">Belgian vehicles only (IBX also serves NL/PL/LU)</t>
  </si>
  <si>
    <t xml:space="preserve">FY25 annualized from 10/12 months</t>
  </si>
  <si>
    <t xml:space="preserve">FY25 annualized from 7/12 months</t>
  </si>
  <si>
    <t xml:space="preserve">Above 100% after stretch: quote the amount, not the %</t>
  </si>
  <si>
    <t xml:space="preserve">Insufficient data — Petros Petropoulos stale since Jun'25 (12+ months).</t>
  </si>
  <si>
    <t xml:space="preserve">Insufficient data — Cyprus's real distributor (Loutsios &amp; Sons) has zero KPI data. KPI's 'MIDI' row is Italy's, not Cyprus's — excluded.</t>
  </si>
  <si>
    <r>
      <rPr>
        <i val="true"/>
        <sz val="8"/>
        <color rgb="FF808080"/>
        <rFont val="Calibri"/>
        <family val="2"/>
        <charset val="1"/>
      </rPr>
      <t xml:space="preserve">• Dealer level (</t>
    </r>
    <r>
      <rPr>
        <i val="true"/>
        <sz val="8"/>
        <color rgb="FF808080"/>
        <rFont val="WenQuanYi Zen Hei"/>
        <family val="2"/>
      </rPr>
      <t xml:space="preserve">販社</t>
    </r>
    <r>
      <rPr>
        <i val="true"/>
        <sz val="8"/>
        <color rgb="FF808080"/>
        <rFont val="Calibri"/>
        <family val="2"/>
        <charset val="1"/>
      </rPr>
      <t xml:space="preserve">): amounts only. The distributors' reported sales to dealers run 2.2 to 3.7 times ISZE billing, so a share would read above 100% for five distributors. FY2027 dealer target = FY2026 sales to dealers + ISZE stretch / 0.65; FY2028-FY2031 move with the ISZE target.</t>
    </r>
  </si>
  <si>
    <t xml:space="preserve">check:</t>
  </si>
  <si>
    <t xml:space="preserve">GPS extended target</t>
  </si>
  <si>
    <t xml:space="preserve">remaining stretch / SURPLUS if negative</t>
  </si>
  <si>
    <t xml:space="preserve">MOS ISA+RSA</t>
  </si>
  <si>
    <t xml:space="preserve">Shell oil decrease</t>
  </si>
  <si>
    <t xml:space="preserve">SPA</t>
  </si>
  <si>
    <t xml:space="preserve">negative impact on volume from price increase</t>
  </si>
  <si>
    <t xml:space="preserve">SURPLUS vs FY2027 Plan  (GPS exceeds the gap)</t>
  </si>
  <si>
    <t xml:space="preserve">local DPD</t>
  </si>
  <si>
    <t xml:space="preserve">Overstock campaign</t>
  </si>
  <si>
    <t xml:space="preserve"># Original: 1,015k</t>
  </si>
  <si>
    <t xml:space="preserve">The remaining stretch is negative because the GPS stretch is larger than the gap: that amount is the surplus above the plan.</t>
  </si>
  <si>
    <t xml:space="preserve">local brake</t>
  </si>
  <si>
    <t xml:space="preserve">All DB's 55K€</t>
  </si>
  <si>
    <t xml:space="preserve">-&gt; IUK 71,575</t>
  </si>
  <si>
    <t xml:space="preserve">Genuine Share</t>
  </si>
  <si>
    <t xml:space="preserve">PMS</t>
  </si>
  <si>
    <t xml:space="preserve">-&gt; UTI 307333</t>
  </si>
  <si>
    <t xml:space="preserve">GPS extended target — per customer</t>
  </si>
  <si>
    <t xml:space="preserve">L/B</t>
  </si>
  <si>
    <t xml:space="preserve"># Original: 46,000</t>
  </si>
  <si>
    <t xml:space="preserve"># Original: 11,940</t>
  </si>
  <si>
    <t xml:space="preserve">-&gt;</t>
  </si>
  <si>
    <t xml:space="preserve">-&gt; ITUK  (as presented in July)</t>
  </si>
  <si>
    <t xml:space="preserve">Cab</t>
  </si>
  <si>
    <t xml:space="preserve">-&gt; ITUK 376,074</t>
  </si>
  <si>
    <t xml:space="preserve">-&gt; ITUK 8,000</t>
  </si>
  <si>
    <t xml:space="preserve">-&gt; UTI  (as presented in July)</t>
  </si>
  <si>
    <t xml:space="preserve">UIO up</t>
  </si>
  <si>
    <t xml:space="preserve">-&gt; Ireland</t>
  </si>
  <si>
    <t xml:space="preserve">-&gt; Portugal</t>
  </si>
  <si>
    <t xml:space="preserve">-&gt; IUK</t>
  </si>
  <si>
    <t xml:space="preserve">Price up 2%</t>
  </si>
  <si>
    <t xml:space="preserve">-&gt; UMI</t>
  </si>
  <si>
    <t xml:space="preserve">-&gt; </t>
  </si>
  <si>
    <t xml:space="preserve">-&gt; NORWAY</t>
  </si>
  <si>
    <t xml:space="preserve">-&gt; SWEDEN</t>
  </si>
  <si>
    <t xml:space="preserve">-&gt; HUNGARY</t>
  </si>
  <si>
    <t xml:space="preserve">-&gt; FINLAND</t>
  </si>
  <si>
    <t xml:space="preserve">-&gt; ROMANIA</t>
  </si>
  <si>
    <t xml:space="preserve">-&gt; DENMARK</t>
  </si>
  <si>
    <t xml:space="preserve">-&gt; ICELAND</t>
  </si>
  <si>
    <t xml:space="preserve">-&gt; GERMANY</t>
  </si>
  <si>
    <t xml:space="preserve">FY2026 Actual</t>
  </si>
  <si>
    <t xml:space="preserve">FY2027 Plan</t>
  </si>
  <si>
    <t xml:space="preserve">-&gt; BELGIUM</t>
  </si>
  <si>
    <t xml:space="preserve">-&gt; PORTUGAL</t>
  </si>
  <si>
    <t xml:space="preserve">-&gt; IRELAND</t>
  </si>
  <si>
    <t xml:space="preserve">-&gt; GREECE</t>
  </si>
  <si>
    <t xml:space="preserve">-&gt; CYPRUS</t>
  </si>
  <si>
    <t xml:space="preserve">-&gt; MALTA</t>
  </si>
  <si>
    <t xml:space="preserve">GPS total</t>
  </si>
  <si>
    <t xml:space="preserve">IUK — GPS Extended Target FY2027 · I.M. PARTS &amp; SERVICE Limited   [LCV only]</t>
  </si>
  <si>
    <t xml:space="preserve">ISZE to distributor target is set here. Blue = input. FY2028-FY2031 in columns F:I. The dealer block at the bottom uses the IML method (ISZE stretch / (1 - distributor margin)) and is an amount only, never a share.</t>
  </si>
  <si>
    <t xml:space="preserve">Colours</t>
  </si>
  <si>
    <t xml:space="preserve">Firm / actual</t>
  </si>
  <si>
    <t xml:space="preserve">Stretch</t>
  </si>
  <si>
    <t xml:space="preserve">IUK UIO (LCV)</t>
  </si>
  <si>
    <t xml:space="preserve">FY25 (Apr'24-Mar'25)</t>
  </si>
  <si>
    <t xml:space="preserve">FY26 (Apr'25-Mar'26)</t>
  </si>
  <si>
    <t xml:space="preserve">FY27 (Apr'26-Mar'27)</t>
  </si>
  <si>
    <t xml:space="preserve">FY28 (CY2027F)</t>
  </si>
  <si>
    <t xml:space="preserve">FY29 (CY2028F)</t>
  </si>
  <si>
    <t xml:space="preserve">FY30 (CY2029F)</t>
  </si>
  <si>
    <t xml:space="preserve">FY31 (CY2030F)</t>
  </si>
  <si>
    <t xml:space="preserve">TTL</t>
  </si>
  <si>
    <t xml:space="preserve">Source: UIO V19. Fiscal year = calendar year + 1 (FY2027 uses the fleet of calendar 2026). Compare with the UIO V20 spec on sheet 'UIO V20'.</t>
  </si>
  <si>
    <t xml:space="preserve">Parts spend per vehicle (EUR)</t>
  </si>
  <si>
    <t xml:space="preserve">FY26 base</t>
  </si>
  <si>
    <t xml:space="preserve">FY26</t>
  </si>
  <si>
    <t xml:space="preserve">FY27 (+5%)</t>
  </si>
  <si>
    <t xml:space="preserve">FY28 (+price)</t>
  </si>
  <si>
    <t xml:space="preserve">FY29 (+price)</t>
  </si>
  <si>
    <t xml:space="preserve">FY30 (+price)</t>
  </si>
  <si>
    <t xml:space="preserve">FY31 (+price)</t>
  </si>
  <si>
    <t xml:space="preserve">ISZE net EUR per pick-up</t>
  </si>
  <si>
    <t xml:space="preserve">Pick-up rate EUR 250 per vehicle (FY2026, ISZE net), +5% in FY2027 = EUR 262.50, then + yearly price input (Dashboard (2) T1). Replaces the earlier EUR 219.56.</t>
  </si>
  <si>
    <t xml:space="preserve">ISZE -&gt; IUK wholesale (ISZE-net EUR)  &lt;&lt;  EXTENDED TARGET IS SET HERE</t>
  </si>
  <si>
    <t xml:space="preserve">FY28</t>
  </si>
  <si>
    <t xml:space="preserve">FY29</t>
  </si>
  <si>
    <t xml:space="preserve">FY30</t>
  </si>
  <si>
    <t xml:space="preserve">FY31</t>
  </si>
  <si>
    <t xml:space="preserve">Max spend / potential (= UIO x ISZE-net rate)</t>
  </si>
  <si>
    <t xml:space="preserve">Actual (ISZE billing) · FY27 = BP target</t>
  </si>
  <si>
    <t xml:space="preserve">Share (GPS, ISZE level)</t>
  </si>
  <si>
    <t xml:space="preserve">Stretch (%) = global input, capped at ceiling</t>
  </si>
  <si>
    <t xml:space="preserve">Stretch amount (= max spend x stretch%)</t>
  </si>
  <si>
    <t xml:space="preserve">TTL amount (= actual + stretch)  &lt;&lt;  EXTENDED TARGET</t>
  </si>
  <si>
    <t xml:space="preserve">Share (new)</t>
  </si>
  <si>
    <t xml:space="preserve">Source: ISZE billing to the distributor, GPS basis, lubricants included. FY2027 = budget reviewed April 2026.</t>
  </si>
  <si>
    <t xml:space="preserve">FY28-FY31 max spend (row 19, cols F:I) feeds Dashboard (2). FY27 actual cell E20 = BP reviewed 24-04-2026.</t>
  </si>
  <si>
    <t xml:space="preserve">IUK to dealer level</t>
  </si>
  <si>
    <t xml:space="preserve">Sales to dealers (actual, distributor KPI June 2026)</t>
  </si>
  <si>
    <t xml:space="preserve">FY25 12/12 mo · FY26 12/12 mo</t>
  </si>
  <si>
    <t xml:space="preserve">Distributor margin %</t>
  </si>
  <si>
    <t xml:space="preserve">Stretch at dealer level (= ISZE stretch / (1 - margin))</t>
  </si>
  <si>
    <t xml:space="preserve">FY27 AMOUNT TO REACH at dealer (= FY26 actual + dealer stretch)</t>
  </si>
  <si>
    <t xml:space="preserve">Dealer level: the ISZE stretch is converted to dealer prices by dividing by (1 - 35% distributor margin). FY2027 amount = FY2026 sales to dealers + that stretch. Amount only, never a share: the distributors' reported sales to dealers run 2.2 to 3.7 times ISZE billing.</t>
  </si>
  <si>
    <t xml:space="preserve">Notes</t>
  </si>
  <si>
    <t xml:space="preserve">1. Pick-up rate EUR 250 per vehicle (FY2026, ISZE net), +5% in FY2027 = EUR 262.50. Replaces the earlier EUR 219.56.</t>
  </si>
  <si>
    <t xml:space="preserve">UMI — GPS Extended Target FY2027 · UNIVERSAL MOTORS ISRAEL LTD   [LCV only]</t>
  </si>
  <si>
    <t xml:space="preserve">UMI UIO (LCV)</t>
  </si>
  <si>
    <t xml:space="preserve">ISZE -&gt; UMI wholesale (ISZE-net EUR)  &lt;&lt;  EXTENDED TARGET IS SET HERE</t>
  </si>
  <si>
    <t xml:space="preserve">UMI to dealer level</t>
  </si>
  <si>
    <t xml:space="preserve">FY25 0/12 mo · FY26 0/12 mo</t>
  </si>
  <si>
    <t xml:space="preserve">2. UMI reports no sales to dealers, so the dealer target shows 'no KPI data'.</t>
  </si>
  <si>
    <t xml:space="preserve">NORWAY — GPS Extended Target FY2027 · RUTEBILEIERNES STANDARDISERING AS   [LCV only]</t>
  </si>
  <si>
    <t xml:space="preserve">NORWAY UIO (LCV)</t>
  </si>
  <si>
    <t xml:space="preserve">ISZE -&gt; NORWAY wholesale (ISZE-net EUR)  &lt;&lt;  EXTENDED TARGET IS SET HERE</t>
  </si>
  <si>
    <t xml:space="preserve">NORWAY to dealer level</t>
  </si>
  <si>
    <t xml:space="preserve">FY25 12/12 mo · FY26 11/12 mo</t>
  </si>
  <si>
    <t xml:space="preserve">SWEDEN — GPS Extended Target FY2027 · ISUZU SVERIGE AB   [LCV only]</t>
  </si>
  <si>
    <t xml:space="preserve">SWEDEN UIO (LCV)</t>
  </si>
  <si>
    <t xml:space="preserve">ISZE -&gt; SWEDEN wholesale (ISZE-net EUR)  &lt;&lt;  EXTENDED TARGET IS SET HERE</t>
  </si>
  <si>
    <t xml:space="preserve">SWEDEN to dealer level</t>
  </si>
  <si>
    <t xml:space="preserve">HUNGARY — GPS Extended Target FY2027 · AW Distribution Kft.   [LCV only]</t>
  </si>
  <si>
    <t xml:space="preserve">HUNGARY UIO (LCV)</t>
  </si>
  <si>
    <t xml:space="preserve">ISZE -&gt; HUNGARY wholesale (ISZE-net EUR)  &lt;&lt;  EXTENDED TARGET IS SET HERE</t>
  </si>
  <si>
    <t xml:space="preserve">HUNGARY to dealer level</t>
  </si>
  <si>
    <t xml:space="preserve">FINLAND — GPS Extended Target FY2027 · Nordic Automotive trading oy.   [LCV only]</t>
  </si>
  <si>
    <t xml:space="preserve">FINLAND UIO (LCV)</t>
  </si>
  <si>
    <t xml:space="preserve">ISZE -&gt; FINLAND wholesale (ISZE-net EUR)  &lt;&lt;  EXTENDED TARGET IS SET HERE</t>
  </si>
  <si>
    <t xml:space="preserve">FINLAND to dealer level</t>
  </si>
  <si>
    <t xml:space="preserve">FY25 12/12 mo · FY26 6/12 mo</t>
  </si>
  <si>
    <t xml:space="preserve">2. GPS share is above 100% on budget (104.9%); the stretch applies as for every distributor. Discuss the amount with the distributor, not the %.</t>
  </si>
  <si>
    <t xml:space="preserve">ROMANIA — GPS Extended Target FY2027 · Isuzu Rom Auto   [LCV only]</t>
  </si>
  <si>
    <t xml:space="preserve">ROMANIA UIO (LCV)</t>
  </si>
  <si>
    <t xml:space="preserve">ISZE -&gt; ROMANIA wholesale (ISZE-net EUR)  &lt;&lt;  EXTENDED TARGET IS SET HERE</t>
  </si>
  <si>
    <t xml:space="preserve">ROMANIA to dealer level</t>
  </si>
  <si>
    <t xml:space="preserve">DENMARK — GPS Extended Target FY2027 · ISUZU DANMARK A/S   [LCV only]</t>
  </si>
  <si>
    <t xml:space="preserve">DENMARK UIO (LCV)</t>
  </si>
  <si>
    <t xml:space="preserve">ISZE -&gt; DENMARK wholesale (ISZE-net EUR)  &lt;&lt;  EXTENDED TARGET IS SET HERE</t>
  </si>
  <si>
    <t xml:space="preserve">DENMARK to dealer level</t>
  </si>
  <si>
    <t xml:space="preserve">ICELAND — GPS Extended Target FY2027 · BL. EHF.   [LCV only]</t>
  </si>
  <si>
    <t xml:space="preserve">ICELAND UIO (LCV)</t>
  </si>
  <si>
    <t xml:space="preserve">ISZE -&gt; ICELAND wholesale (ISZE-net EUR)  &lt;&lt;  EXTENDED TARGET IS SET HERE</t>
  </si>
  <si>
    <t xml:space="preserve">ICELAND to dealer level</t>
  </si>
  <si>
    <t xml:space="preserve">GERMANY — GPS Extended Target FY2027 · ISUZU SALES DEUTSCHLAND GMBH   [mixed CV+LCV]</t>
  </si>
  <si>
    <t xml:space="preserve">GERMANY UIO by segment</t>
  </si>
  <si>
    <t xml:space="preserve">LD (N75/N50/N62)</t>
  </si>
  <si>
    <t xml:space="preserve">MD</t>
  </si>
  <si>
    <t xml:space="preserve">Max spend per unit (EUR, ISZE-net)</t>
  </si>
  <si>
    <t xml:space="preserve">base</t>
  </si>
  <si>
    <t xml:space="preserve">Light truck (LD) rate</t>
  </si>
  <si>
    <t xml:space="preserve">Medium truck (MD) rate</t>
  </si>
  <si>
    <t xml:space="preserve">F-Series rate</t>
  </si>
  <si>
    <t xml:space="preserve">Pick-up (D-Max) rate, EUR 250 base</t>
  </si>
  <si>
    <t xml:space="preserve">Truck rates 739 / 887 and pick-up rate EUR 250 per vehicle (FY2026, ISZE net), +5% in FY2027, then + yearly price input. All rates sit on the Inputs sheet.</t>
  </si>
  <si>
    <t xml:space="preserve">ISZE -&gt; GERMANY wholesale (ISZE-net EUR)  &lt;&lt;  EXTENDED TARGET IS SET HERE</t>
  </si>
  <si>
    <t xml:space="preserve">FY28-FY31 max spend (row 25, cols F:I) feeds Dashboard (2). FY27 actual cell E26 = BP reviewed 24-04-2026.</t>
  </si>
  <si>
    <t xml:space="preserve">GERMANY to dealer level</t>
  </si>
  <si>
    <t xml:space="preserve">FY25 11/12 mo · FY26 0/12 mo</t>
  </si>
  <si>
    <t xml:space="preserve">1. Truck rates 739 / 887 and pick-up rate EUR 250 per vehicle (FY2026, ISZE net), +5% in FY2027, then + yearly price input.</t>
  </si>
  <si>
    <t xml:space="preserve">BELGIUM — GPS Extended Target FY2027 · ISUZU BENELUX NV   [mixed CV+LCV]</t>
  </si>
  <si>
    <t xml:space="preserve">BELGIUM UIO by segment</t>
  </si>
  <si>
    <t xml:space="preserve">ISZE -&gt; BELGIUM wholesale (ISZE-net EUR)  &lt;&lt;  EXTENDED TARGET IS SET HERE</t>
  </si>
  <si>
    <t xml:space="preserve">BELGIUM to dealer level</t>
  </si>
  <si>
    <t xml:space="preserve">FY25 10/12 mo · FY26 12/12 mo</t>
  </si>
  <si>
    <t xml:space="preserve">2. Isuzu Benelux also serves the Netherlands, Poland and Luxembourg; only Belgian vehicles are counted, so the GPS share reads high.</t>
  </si>
  <si>
    <t xml:space="preserve">PORTUGAL — GPS Extended Target FY2027 · I Motors   [mixed CV+LCV]</t>
  </si>
  <si>
    <t xml:space="preserve">PORTUGAL UIO by segment</t>
  </si>
  <si>
    <t xml:space="preserve">ISZE -&gt; PORTUGAL wholesale (ISZE-net EUR)  &lt;&lt;  EXTENDED TARGET IS SET HERE</t>
  </si>
  <si>
    <t xml:space="preserve">PORTUGAL to dealer level</t>
  </si>
  <si>
    <t xml:space="preserve">FY25 7/12 mo · FY26 12/12 mo</t>
  </si>
  <si>
    <t xml:space="preserve">IRELAND — GPS Extended Target FY2027 · Isuzu Ireland   [mixed CV+LCV]</t>
  </si>
  <si>
    <t xml:space="preserve">IRELAND UIO by segment</t>
  </si>
  <si>
    <t xml:space="preserve">ISZE -&gt; IRELAND wholesale (ISZE-net EUR)  &lt;&lt;  EXTENDED TARGET IS SET HERE</t>
  </si>
  <si>
    <t xml:space="preserve">IRELAND to dealer level</t>
  </si>
  <si>
    <t xml:space="preserve">2. GPS 98.4% on budget, 100.2% after stretch. Ireland's fleet is national registration data, so Ireland buys more than the average spend per vehicle. Discuss the amount, not the %.</t>
  </si>
  <si>
    <t xml:space="preserve">GREECE — GPS Extended Target FY2027 · PETROS PETROPOULOS S.A.   [mixed CV+LCV]</t>
  </si>
  <si>
    <t xml:space="preserve">GREECE UIO by segment</t>
  </si>
  <si>
    <t xml:space="preserve">ISZE -&gt; GREECE wholesale (ISZE-net EUR)  &lt;&lt;  EXTENDED TARGET IS SET HERE</t>
  </si>
  <si>
    <t xml:space="preserve">GREECE to dealer level</t>
  </si>
  <si>
    <t xml:space="preserve">FY25 8/12 mo · FY26 0/12 mo</t>
  </si>
  <si>
    <t xml:space="preserve">CYPRUS — GPS Extended Target FY2027 · LOUTSIOS A &amp; SONS LTD   [mixed CV+LCV]</t>
  </si>
  <si>
    <t xml:space="preserve">CYPRUS UIO by segment</t>
  </si>
  <si>
    <t xml:space="preserve">ISZE -&gt; CYPRUS wholesale (ISZE-net EUR)  &lt;&lt;  EXTENDED TARGET IS SET HERE</t>
  </si>
  <si>
    <t xml:space="preserve">CYPRUS to dealer level</t>
  </si>
  <si>
    <t xml:space="preserve">MALTA — GPS Extended Target FY2027 · GASANZAMMIT MOTORS LTD   [mixed CV+LCV]</t>
  </si>
  <si>
    <t xml:space="preserve">MALTA UIO by segment</t>
  </si>
  <si>
    <t xml:space="preserve">ISZE -&gt; MALTA wholesale (ISZE-net EUR)  &lt;&lt;  EXTENDED TARGET IS SET HERE</t>
  </si>
  <si>
    <t xml:space="preserve">MALTA to dealer level</t>
  </si>
  <si>
    <t xml:space="preserve">Original FY2027 plan waterfall (reference, unchanged)</t>
  </si>
  <si>
    <t xml:space="preserve">Reference copy of the original plan waterfall. Nothing added, nothing changed.</t>
  </si>
  <si>
    <t xml:space="preserve">remaining stretch</t>
  </si>
  <si>
    <t xml:space="preserve">Method and assumptions</t>
  </si>
  <si>
    <t xml:space="preserve">1. Parts spend per vehicle (ISZE net, FY2026 base)</t>
  </si>
  <si>
    <t xml:space="preserve">Pick-up (D-Max) EUR 250. Light truck (LD) EUR 739. Medium truck and F-Series EUR 887. FY2027 +5%, FY2028 to FY2031 +3% a year.</t>
  </si>
  <si>
    <t xml:space="preserve">The pick-up rate replaces the earlier EUR 219.56.</t>
  </si>
  <si>
    <t xml:space="preserve">2. Vehicles in use</t>
  </si>
  <si>
    <t xml:space="preserve">UIO V19, detail rows per distributor and segment. Fiscal year = calendar year + 1: FY2027 uses the fleet of calendar 2026, FY2031 the fleet of calendar 2030.</t>
  </si>
  <si>
    <t xml:space="preserve">Sheets 'UIO V19' and 'UIO V20' explain the forecast after 2025 and show the effect of the UIO V20 spec.</t>
  </si>
  <si>
    <t xml:space="preserve">3. Maximum spend and GPS</t>
  </si>
  <si>
    <t xml:space="preserve">Maximum spend = vehicles in use x parts spend per vehicle. GPS % = ISZE billing (FY2027: budget) / maximum spend.</t>
  </si>
  <si>
    <t xml:space="preserve">4. FY2027 extended target</t>
  </si>
  <si>
    <t xml:space="preserve">Stretch = 1.8% of the maximum spend, the same for every distributor. Extended target = FY2027 budget + stretch.</t>
  </si>
  <si>
    <t xml:space="preserve">Total stretch EUR 1,239,483 against the EUR 952,037 the plan waterfall needs: EUR 287,446 above the plan.</t>
  </si>
  <si>
    <t xml:space="preserve">ITUK and UTI: targets and stretch as presented in July; maximum spend on IML data (2026 vehicles, +5%).</t>
  </si>
  <si>
    <t xml:space="preserve">Finland and Ireland read above 100%: we discuss the amount, not the %. Optional cap: Dashboard (2) Q1 = YES.</t>
  </si>
  <si>
    <t xml:space="preserve">5. Outlook FY2028 to FY2031</t>
  </si>
  <si>
    <t xml:space="preserve">GPS share + 1.0 point a year from the FY2027 level (input Dashboard (2) N2). Target = share x maximum spend of that year.</t>
  </si>
  <si>
    <t xml:space="preserve">FY2027 stays at 1.8%: at 1.0% the stretch would not cover the EUR 952,037.</t>
  </si>
  <si>
    <t xml:space="preserve">Customers outside the 18 (CIS, MIDI, KIMA, IMG) are held flat at their FY2027 budget, EUR 2.06M.</t>
  </si>
  <si>
    <t xml:space="preserve">Network plan: FY2027 EUR 35.28M, FY2028 37.53M, FY2029 41.53M, FY2030 46.39M, FY2031 52.10M.</t>
  </si>
  <si>
    <r>
      <rPr>
        <b val="true"/>
        <sz val="11"/>
        <rFont val="Cambria"/>
        <family val="0"/>
        <charset val="1"/>
      </rPr>
      <t xml:space="preserve">6. Dealer level (</t>
    </r>
    <r>
      <rPr>
        <b val="true"/>
        <sz val="11"/>
        <rFont val="WenQuanYi Zen Hei"/>
        <family val="2"/>
      </rPr>
      <t xml:space="preserve">販社</t>
    </r>
    <r>
      <rPr>
        <b val="true"/>
        <sz val="11"/>
        <rFont val="Cambria"/>
        <family val="0"/>
        <charset val="1"/>
      </rPr>
      <t xml:space="preserve">)</t>
    </r>
  </si>
  <si>
    <t xml:space="preserve">Dealer spend per vehicle as in the ITUK row: GBP 400 / 1,000 / 1,200 x 1.12 = EUR 448 (pick-up), 1,120 (light truck), 1,344 (medium truck, F-Series).</t>
  </si>
  <si>
    <t xml:space="preserve">FY2026 actual = distributor KPI sales to dealers. FY2027 target = FY2026 + ISZE stretch / (1 - 35% distributor margin). FY2028 to FY2031 move with the ISZE target.</t>
  </si>
  <si>
    <t xml:space="preserve">Amounts only: reported sales to dealers run 2.2 to 3.7 times ISZE billing, so a share would read above 100% for several distributors.</t>
  </si>
  <si>
    <t xml:space="preserve">7. Inputs and checks</t>
  </si>
  <si>
    <t xml:space="preserve">Every rate, price step, margin and plan figure sits on the Inputs sheet. The Checks sheet confirms that totals agree across all sheets (cell B2 must read ALL OK).</t>
  </si>
  <si>
    <t xml:space="preserve">Prepared October 2026.</t>
  </si>
</sst>
</file>

<file path=xl/styles.xml><?xml version="1.0" encoding="utf-8"?>
<styleSheet xmlns="http://schemas.openxmlformats.org/spreadsheetml/2006/main">
  <numFmts count="15">
    <numFmt numFmtId="164" formatCode="General"/>
    <numFmt numFmtId="165" formatCode="0.0%"/>
    <numFmt numFmtId="166" formatCode="@"/>
    <numFmt numFmtId="167" formatCode="#,##0"/>
    <numFmt numFmtId="168" formatCode="_(* #,##0.00_);_(* \(#,##0.00\);_(* \-??_);_(@_)"/>
    <numFmt numFmtId="169" formatCode="_-* #,##0_-;\-* #,##0_-;_-* \-??_-;_-@_-"/>
    <numFmt numFmtId="170" formatCode="#,##0.00"/>
    <numFmt numFmtId="171" formatCode="0%"/>
    <numFmt numFmtId="172" formatCode="_-* #,##0.00_-;\-* #,##0.00_-;_-* \-??_-;_-@_-"/>
    <numFmt numFmtId="173" formatCode="0.00"/>
    <numFmt numFmtId="174" formatCode="0.0000"/>
    <numFmt numFmtId="175" formatCode="_-* #,##0.00&quot; €&quot;_-;\-* #,##0.00&quot; €&quot;_-;_-* \-??&quot; €&quot;_-;_-@_-"/>
    <numFmt numFmtId="176" formatCode="_-* #,##0_-;\-* #,##0_-;_-* \-??_-;_-@_-"/>
    <numFmt numFmtId="177" formatCode="#,##0.0000"/>
    <numFmt numFmtId="178" formatCode="0.00\x"/>
  </numFmts>
  <fonts count="36">
    <font>
      <sz val="11"/>
      <color theme="1"/>
      <name val="Calibri"/>
      <family val="2"/>
      <charset val="1"/>
    </font>
    <font>
      <sz val="10"/>
      <name val="Arial"/>
      <family val="0"/>
    </font>
    <font>
      <sz val="10"/>
      <name val="Arial"/>
      <family val="0"/>
    </font>
    <font>
      <sz val="10"/>
      <name val="Arial"/>
      <family val="0"/>
    </font>
    <font>
      <sz val="11"/>
      <color theme="1"/>
      <name val="Meiryo"/>
      <family val="2"/>
      <charset val="1"/>
    </font>
    <font>
      <b val="true"/>
      <sz val="11"/>
      <color rgb="FF1F3864"/>
      <name val="Meiryo"/>
      <family val="2"/>
      <charset val="1"/>
    </font>
    <font>
      <b val="true"/>
      <sz val="11"/>
      <name val="Cambria"/>
      <family val="0"/>
      <charset val="1"/>
    </font>
    <font>
      <sz val="11"/>
      <color rgb="FF0000FF"/>
      <name val="Cambria"/>
      <family val="0"/>
      <charset val="1"/>
    </font>
    <font>
      <i val="true"/>
      <sz val="9"/>
      <color rgb="FF595959"/>
      <name val="Cambria"/>
      <family val="0"/>
      <charset val="1"/>
    </font>
    <font>
      <i val="true"/>
      <sz val="11"/>
      <color rgb="FF808080"/>
      <name val="Meiryo"/>
      <family val="2"/>
      <charset val="1"/>
    </font>
    <font>
      <sz val="11"/>
      <color theme="1"/>
      <name val="WenQuanYi Zen Hei"/>
      <family val="2"/>
    </font>
    <font>
      <i val="true"/>
      <sz val="9"/>
      <color rgb="FFFFFFFF"/>
      <name val="WenQuanYi Zen Hei"/>
      <family val="2"/>
    </font>
    <font>
      <i val="true"/>
      <sz val="9"/>
      <color rgb="FFFFFFFF"/>
      <name val="Cambria"/>
      <family val="0"/>
      <charset val="1"/>
    </font>
    <font>
      <sz val="11"/>
      <color rgb="FFFFFFFF"/>
      <name val="Meiryo"/>
      <family val="2"/>
      <charset val="1"/>
    </font>
    <font>
      <sz val="11"/>
      <color rgb="FFFFFFFF"/>
      <name val="WenQuanYi Zen Hei"/>
      <family val="2"/>
    </font>
    <font>
      <sz val="11"/>
      <color theme="0"/>
      <name val="Meiryo"/>
      <family val="2"/>
      <charset val="1"/>
    </font>
    <font>
      <sz val="11"/>
      <color theme="0"/>
      <name val="WenQuanYi Zen Hei"/>
      <family val="2"/>
    </font>
    <font>
      <b val="true"/>
      <sz val="11"/>
      <name val="Meiryo"/>
      <family val="2"/>
      <charset val="1"/>
    </font>
    <font>
      <i val="true"/>
      <sz val="9"/>
      <color rgb="FF808080"/>
      <name val="Cambria"/>
      <family val="0"/>
      <charset val="1"/>
    </font>
    <font>
      <i val="true"/>
      <sz val="11"/>
      <color rgb="FF808080"/>
      <name val="WenQuanYi Zen Hei"/>
      <family val="2"/>
    </font>
    <font>
      <b val="true"/>
      <sz val="12"/>
      <name val="Cambria"/>
      <family val="0"/>
      <charset val="1"/>
    </font>
    <font>
      <b val="true"/>
      <sz val="11"/>
      <color rgb="FFFFFFFF"/>
      <name val="Cambria"/>
      <family val="0"/>
      <charset val="1"/>
    </font>
    <font>
      <i val="true"/>
      <sz val="11"/>
      <color rgb="FF595959"/>
      <name val="Cambria"/>
      <family val="0"/>
      <charset val="1"/>
    </font>
    <font>
      <b val="true"/>
      <sz val="14"/>
      <name val="Cambria"/>
      <family val="0"/>
      <charset val="1"/>
    </font>
    <font>
      <sz val="11"/>
      <name val="Cambria"/>
      <family val="0"/>
      <charset val="1"/>
    </font>
    <font>
      <b val="true"/>
      <sz val="12"/>
      <color rgb="FF1F3864"/>
      <name val="Calibri"/>
      <family val="2"/>
      <charset val="1"/>
    </font>
    <font>
      <i val="true"/>
      <sz val="8"/>
      <color rgb="FF808080"/>
      <name val="Calibri"/>
      <family val="2"/>
      <charset val="1"/>
    </font>
    <font>
      <b val="true"/>
      <sz val="10"/>
      <color rgb="FFFFFFFF"/>
      <name val="Calibri"/>
      <family val="2"/>
      <charset val="1"/>
    </font>
    <font>
      <b val="true"/>
      <sz val="10"/>
      <name val="Calibri"/>
      <family val="2"/>
      <charset val="1"/>
    </font>
    <font>
      <i val="true"/>
      <sz val="11"/>
      <color rgb="FF808080"/>
      <name val="Cambria"/>
      <family val="0"/>
      <charset val="1"/>
    </font>
    <font>
      <i val="true"/>
      <sz val="11"/>
      <color rgb="FFC00000"/>
      <name val="Cambria"/>
      <family val="0"/>
      <charset val="1"/>
    </font>
    <font>
      <b val="true"/>
      <sz val="10"/>
      <color rgb="FF1F3864"/>
      <name val="Calibri"/>
      <family val="2"/>
      <charset val="1"/>
    </font>
    <font>
      <i val="true"/>
      <sz val="8"/>
      <color rgb="FF808080"/>
      <name val="WenQuanYi Zen Hei"/>
      <family val="2"/>
    </font>
    <font>
      <sz val="11"/>
      <color theme="1"/>
      <name val="Meiryo UI"/>
      <family val="2"/>
      <charset val="1"/>
    </font>
    <font>
      <b val="true"/>
      <sz val="11"/>
      <name val="Calibri"/>
      <family val="2"/>
      <charset val="1"/>
    </font>
    <font>
      <b val="true"/>
      <sz val="11"/>
      <name val="WenQuanYi Zen Hei"/>
      <family val="2"/>
    </font>
  </fonts>
  <fills count="20">
    <fill>
      <patternFill patternType="none"/>
    </fill>
    <fill>
      <patternFill patternType="gray125"/>
    </fill>
    <fill>
      <patternFill patternType="solid">
        <fgColor rgb="FFFFF2CC"/>
        <bgColor rgb="FFEBF1DE"/>
      </patternFill>
    </fill>
    <fill>
      <patternFill patternType="solid">
        <fgColor theme="3" tint="0.3999"/>
        <bgColor rgb="FF808080"/>
      </patternFill>
    </fill>
    <fill>
      <patternFill patternType="solid">
        <fgColor theme="3" tint="0.5999"/>
        <bgColor rgb="FF93CDDD"/>
      </patternFill>
    </fill>
    <fill>
      <patternFill patternType="solid">
        <fgColor rgb="FF1F3864"/>
        <bgColor rgb="FF333399"/>
      </patternFill>
    </fill>
    <fill>
      <patternFill patternType="solid">
        <fgColor rgb="FFFFD966"/>
        <bgColor rgb="FFFFEB9C"/>
      </patternFill>
    </fill>
    <fill>
      <patternFill patternType="solid">
        <fgColor rgb="FF92D050"/>
        <bgColor rgb="FF4FC3A1"/>
      </patternFill>
    </fill>
    <fill>
      <patternFill patternType="solid">
        <fgColor rgb="FFD9D9D9"/>
        <bgColor rgb="FFDDEBF7"/>
      </patternFill>
    </fill>
    <fill>
      <patternFill patternType="solid">
        <fgColor rgb="FF375623"/>
        <bgColor rgb="FF595959"/>
      </patternFill>
    </fill>
    <fill>
      <patternFill patternType="solid">
        <fgColor theme="0" tint="-0.05"/>
        <bgColor rgb="FFEBF1DE"/>
      </patternFill>
    </fill>
    <fill>
      <patternFill patternType="solid">
        <fgColor theme="6" tint="0.7998"/>
        <bgColor rgb="FFF2F2F2"/>
      </patternFill>
    </fill>
    <fill>
      <patternFill patternType="solid">
        <fgColor theme="8" tint="0.3997"/>
        <bgColor rgb="FF8EB4E3"/>
      </patternFill>
    </fill>
    <fill>
      <patternFill patternType="solid">
        <fgColor rgb="FFFF0000"/>
        <bgColor rgb="FFC00000"/>
      </patternFill>
    </fill>
    <fill>
      <patternFill patternType="solid">
        <fgColor theme="3" tint="0.7497"/>
        <bgColor rgb="FFD9D9D9"/>
      </patternFill>
    </fill>
    <fill>
      <patternFill patternType="solid">
        <fgColor rgb="FFFFFF00"/>
        <bgColor rgb="FFFFFF00"/>
      </patternFill>
    </fill>
    <fill>
      <patternFill patternType="solid">
        <fgColor rgb="FF4FC3A1"/>
        <bgColor rgb="FF339966"/>
      </patternFill>
    </fill>
    <fill>
      <patternFill patternType="solid">
        <fgColor rgb="FFDDEBF7"/>
        <bgColor rgb="FFEBF1DE"/>
      </patternFill>
    </fill>
    <fill>
      <patternFill patternType="solid">
        <fgColor rgb="FFFFEB9C"/>
        <bgColor rgb="FFFFF2CC"/>
      </patternFill>
    </fill>
    <fill>
      <patternFill patternType="solid">
        <fgColor rgb="FFC6EFCE"/>
        <bgColor rgb="FFDDEBF7"/>
      </patternFill>
    </fill>
  </fills>
  <borders count="7">
    <border diagonalUp="false" diagonalDown="false">
      <left/>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medium"/>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175" fontId="0" fillId="0" borderId="0" applyFont="true" applyBorder="true" applyAlignment="true" applyProtection="true">
      <alignment horizontal="general" vertical="bottom" textRotation="0" wrapText="false" indent="0" shrinkToFit="false"/>
      <protection locked="true" hidden="false"/>
    </xf>
    <xf numFmtId="42" fontId="1" fillId="0" borderId="0" applyFont="true" applyBorder="false" applyAlignment="false" applyProtection="false"/>
    <xf numFmtId="171" fontId="0" fillId="0" borderId="0" applyFont="true" applyBorder="true" applyAlignment="true" applyProtection="true">
      <alignment horizontal="general" vertical="bottom" textRotation="0" wrapText="false" indent="0" shrinkToFit="false"/>
      <protection locked="true" hidden="false"/>
    </xf>
  </cellStyleXfs>
  <cellXfs count="1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4" borderId="1" xfId="0" applyFont="true" applyBorder="true" applyAlignment="false" applyProtection="false">
      <alignment horizontal="general" vertical="bottom" textRotation="0" wrapText="false" indent="0" shrinkToFit="false"/>
      <protection locked="true" hidden="false"/>
    </xf>
    <xf numFmtId="164" fontId="4" fillId="4" borderId="2" xfId="0" applyFont="true" applyBorder="true" applyAlignment="false" applyProtection="false">
      <alignment horizontal="general" vertical="bottom" textRotation="0" wrapText="false" indent="0" shrinkToFit="false"/>
      <protection locked="true" hidden="false"/>
    </xf>
    <xf numFmtId="164" fontId="4" fillId="4" borderId="3" xfId="0" applyFont="true" applyBorder="true" applyAlignment="false" applyProtection="false">
      <alignment horizontal="general" vertical="bottom" textRotation="0" wrapText="false" indent="0" shrinkToFit="false"/>
      <protection locked="true" hidden="false"/>
    </xf>
    <xf numFmtId="164" fontId="13" fillId="5" borderId="4" xfId="0" applyFont="true" applyBorder="true" applyAlignment="true" applyProtection="false">
      <alignment horizontal="center" vertical="center" textRotation="0" wrapText="true" indent="0" shrinkToFit="false"/>
      <protection locked="true" hidden="false"/>
    </xf>
    <xf numFmtId="164" fontId="13" fillId="5" borderId="4" xfId="0" applyFont="true" applyBorder="true" applyAlignment="true" applyProtection="false">
      <alignment horizontal="left" vertical="center" textRotation="0" wrapText="false" indent="0" shrinkToFit="false"/>
      <protection locked="true" hidden="false"/>
    </xf>
    <xf numFmtId="164" fontId="15" fillId="5" borderId="4" xfId="0" applyFont="true" applyBorder="true" applyAlignment="true" applyProtection="false">
      <alignment horizontal="center" vertical="center" textRotation="0" wrapText="true" indent="0" shrinkToFit="false"/>
      <protection locked="true" hidden="false"/>
    </xf>
    <xf numFmtId="164" fontId="14" fillId="5" borderId="4" xfId="0" applyFont="true" applyBorder="true" applyAlignment="true" applyProtection="false">
      <alignment horizontal="left" vertical="center" textRotation="0" wrapText="false" indent="0" shrinkToFit="false"/>
      <protection locked="true" hidden="false"/>
    </xf>
    <xf numFmtId="164" fontId="16" fillId="5" borderId="4" xfId="0" applyFont="true" applyBorder="true" applyAlignment="true" applyProtection="false">
      <alignment horizontal="center" vertical="center" textRotation="0" wrapText="true" indent="0" shrinkToFit="false"/>
      <protection locked="true" hidden="false"/>
    </xf>
    <xf numFmtId="164" fontId="13" fillId="3" borderId="4" xfId="0" applyFont="true" applyBorder="true" applyAlignment="true" applyProtection="false">
      <alignment horizontal="left" vertical="center" textRotation="0" wrapText="false" indent="0" shrinkToFit="false"/>
      <protection locked="true" hidden="false"/>
    </xf>
    <xf numFmtId="164" fontId="13" fillId="3" borderId="4" xfId="0" applyFont="true" applyBorder="true" applyAlignment="true" applyProtection="false">
      <alignment horizontal="center" vertical="center" textRotation="0" wrapText="true" indent="0" shrinkToFit="false"/>
      <protection locked="true" hidden="false"/>
    </xf>
    <xf numFmtId="164" fontId="15" fillId="3" borderId="4" xfId="0" applyFont="true" applyBorder="true" applyAlignment="true" applyProtection="false">
      <alignment horizontal="center" vertical="center" textRotation="0" wrapText="true" indent="0" shrinkToFit="false"/>
      <protection locked="true" hidden="false"/>
    </xf>
    <xf numFmtId="164" fontId="16" fillId="3" borderId="4" xfId="0" applyFont="true" applyBorder="true" applyAlignment="true" applyProtection="false">
      <alignment horizontal="center" vertical="center" textRotation="0" wrapText="true" indent="0" shrinkToFit="false"/>
      <protection locked="true" hidden="false"/>
    </xf>
    <xf numFmtId="164" fontId="17" fillId="0" borderId="4" xfId="0" applyFont="true" applyBorder="true" applyAlignment="false" applyProtection="false">
      <alignment horizontal="general"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7" fontId="4" fillId="0" borderId="4" xfId="0" applyFont="true" applyBorder="true" applyAlignment="false" applyProtection="false">
      <alignment horizontal="general" vertical="bottom" textRotation="0" wrapText="false" indent="0" shrinkToFit="false"/>
      <protection locked="true" hidden="false"/>
    </xf>
    <xf numFmtId="165" fontId="4" fillId="0" borderId="4" xfId="0" applyFont="true" applyBorder="true" applyAlignment="false" applyProtection="false">
      <alignment horizontal="general" vertical="bottom" textRotation="0" wrapText="false" indent="0" shrinkToFit="false"/>
      <protection locked="true" hidden="false"/>
    </xf>
    <xf numFmtId="167" fontId="4" fillId="6" borderId="4" xfId="0" applyFont="true" applyBorder="true" applyAlignment="false" applyProtection="false">
      <alignment horizontal="general" vertical="bottom" textRotation="0" wrapText="false" indent="0" shrinkToFit="false"/>
      <protection locked="true" hidden="false"/>
    </xf>
    <xf numFmtId="167" fontId="17" fillId="0" borderId="4" xfId="0" applyFont="true" applyBorder="true" applyAlignment="false" applyProtection="false">
      <alignment horizontal="general" vertical="bottom" textRotation="0" wrapText="false" indent="0" shrinkToFit="false"/>
      <protection locked="true" hidden="false"/>
    </xf>
    <xf numFmtId="164" fontId="9" fillId="0" borderId="4" xfId="0" applyFont="true" applyBorder="true" applyAlignment="false" applyProtection="false">
      <alignment horizontal="general" vertical="bottom" textRotation="0" wrapText="false" indent="0" shrinkToFit="false"/>
      <protection locked="true" hidden="false"/>
    </xf>
    <xf numFmtId="169" fontId="7" fillId="0" borderId="4" xfId="15" applyFont="true" applyBorder="true" applyAlignment="false" applyProtection="false">
      <alignment horizontal="general" vertical="bottom" textRotation="0" wrapText="false" indent="0" shrinkToFit="false"/>
      <protection locked="true" hidden="false"/>
    </xf>
    <xf numFmtId="169" fontId="4" fillId="0" borderId="4" xfId="15" applyFont="true" applyBorder="true" applyAlignment="false" applyProtection="false">
      <alignment horizontal="general" vertical="bottom" textRotation="0" wrapText="false" indent="0" shrinkToFit="false"/>
      <protection locked="true" hidden="false"/>
    </xf>
    <xf numFmtId="170" fontId="4" fillId="0" borderId="4" xfId="0" applyFont="true" applyBorder="true" applyAlignment="false" applyProtection="false">
      <alignment horizontal="general" vertical="bottom" textRotation="0" wrapText="false" indent="0" shrinkToFit="false"/>
      <protection locked="true" hidden="false"/>
    </xf>
    <xf numFmtId="169" fontId="4" fillId="0" borderId="4" xfId="0" applyFont="true" applyBorder="true" applyAlignment="false" applyProtection="false">
      <alignment horizontal="general" vertical="bottom" textRotation="0" wrapText="false" indent="0" shrinkToFit="false"/>
      <protection locked="true" hidden="false"/>
    </xf>
    <xf numFmtId="171" fontId="4" fillId="0" borderId="4" xfId="19" applyFont="true" applyBorder="true" applyAlignment="false" applyProtection="false">
      <alignment horizontal="general" vertical="bottom" textRotation="0" wrapText="false" indent="0" shrinkToFit="false"/>
      <protection locked="true" hidden="false"/>
    </xf>
    <xf numFmtId="169" fontId="4" fillId="0" borderId="4" xfId="19" applyFont="true" applyBorder="true" applyAlignment="false" applyProtection="false">
      <alignment horizontal="general" vertical="bottom" textRotation="0" wrapText="false" indent="0" shrinkToFit="false"/>
      <protection locked="true" hidden="false"/>
    </xf>
    <xf numFmtId="165" fontId="4" fillId="0" borderId="4" xfId="19" applyFont="true" applyBorder="true" applyAlignment="false" applyProtection="false">
      <alignment horizontal="general" vertical="bottom" textRotation="0" wrapText="false" indent="0" shrinkToFit="false"/>
      <protection locked="true" hidden="false"/>
    </xf>
    <xf numFmtId="172" fontId="4" fillId="0" borderId="4" xfId="0" applyFont="true" applyBorder="true" applyAlignment="false" applyProtection="false">
      <alignment horizontal="general" vertical="bottom" textRotation="0" wrapText="false" indent="0" shrinkToFit="false"/>
      <protection locked="true" hidden="false"/>
    </xf>
    <xf numFmtId="167" fontId="4" fillId="0" borderId="4" xfId="19" applyFont="true" applyBorder="true" applyAlignment="false" applyProtection="false">
      <alignment horizontal="general" vertical="bottom" textRotation="0" wrapText="false" indent="0" shrinkToFit="false"/>
      <protection locked="true" hidden="false"/>
    </xf>
    <xf numFmtId="165" fontId="18" fillId="0" borderId="4" xfId="19" applyFont="true" applyBorder="true" applyAlignment="false" applyProtection="false">
      <alignment horizontal="general" vertical="bottom" textRotation="0" wrapText="false" indent="0" shrinkToFit="false"/>
      <protection locked="true" hidden="false"/>
    </xf>
    <xf numFmtId="167" fontId="4" fillId="0" borderId="4" xfId="15" applyFont="true" applyBorder="true" applyAlignment="false" applyProtection="false">
      <alignment horizontal="general" vertical="bottom" textRotation="0" wrapText="false" indent="0" shrinkToFit="false"/>
      <protection locked="true" hidden="false"/>
    </xf>
    <xf numFmtId="167" fontId="17" fillId="7" borderId="4" xfId="0" applyFont="true" applyBorder="true" applyAlignment="false" applyProtection="false">
      <alignment horizontal="general" vertical="bottom" textRotation="0" wrapText="false" indent="0" shrinkToFit="false"/>
      <protection locked="true" hidden="false"/>
    </xf>
    <xf numFmtId="165" fontId="17" fillId="0" borderId="4"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9" fontId="6" fillId="0" borderId="4" xfId="15" applyFont="true" applyBorder="true" applyAlignment="false" applyProtection="false">
      <alignment horizontal="general" vertical="bottom" textRotation="0" wrapText="false" indent="0" shrinkToFit="false"/>
      <protection locked="true" hidden="false"/>
    </xf>
    <xf numFmtId="171" fontId="6" fillId="0" borderId="4" xfId="19" applyFont="true" applyBorder="true" applyAlignment="false" applyProtection="false">
      <alignment horizontal="general" vertical="bottom" textRotation="0" wrapText="false" indent="0" shrinkToFit="false"/>
      <protection locked="true" hidden="false"/>
    </xf>
    <xf numFmtId="169" fontId="6" fillId="0" borderId="4" xfId="19" applyFont="true" applyBorder="tru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7" fontId="4" fillId="7" borderId="0" xfId="0" applyFont="true" applyBorder="false" applyAlignment="false" applyProtection="false">
      <alignment horizontal="general" vertical="bottom" textRotation="0" wrapText="false" indent="0" shrinkToFit="false"/>
      <protection locked="true" hidden="false"/>
    </xf>
    <xf numFmtId="169" fontId="6" fillId="0" borderId="4"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7" fontId="1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7" fontId="7"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xf numFmtId="173" fontId="7" fillId="2" borderId="0" xfId="0" applyFont="true" applyBorder="false" applyAlignment="false" applyProtection="false">
      <alignment horizontal="general" vertical="bottom" textRotation="0" wrapText="false" indent="0" shrinkToFit="false"/>
      <protection locked="true" hidden="false"/>
    </xf>
    <xf numFmtId="171" fontId="7" fillId="2" borderId="0" xfId="0" applyFont="true" applyBorder="false" applyAlignment="false" applyProtection="false">
      <alignment horizontal="general" vertical="bottom" textRotation="0" wrapText="false" indent="0" shrinkToFit="false"/>
      <protection locked="true" hidden="false"/>
    </xf>
    <xf numFmtId="164" fontId="21" fillId="5" borderId="0" xfId="0" applyFont="true" applyBorder="false" applyAlignment="false" applyProtection="false">
      <alignment horizontal="general" vertical="bottom"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xf numFmtId="164" fontId="21" fillId="5" borderId="0" xfId="0" applyFont="true" applyBorder="false" applyAlignment="true" applyProtection="false">
      <alignment horizontal="center" vertical="center" textRotation="0" wrapText="tru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1" fillId="5" borderId="0" xfId="0" applyFont="true" applyBorder="true" applyAlignment="true" applyProtection="false">
      <alignment horizontal="center" vertical="center" textRotation="0" wrapText="true" indent="0" shrinkToFit="false"/>
      <protection locked="true" hidden="false"/>
    </xf>
    <xf numFmtId="164" fontId="24" fillId="8" borderId="0" xfId="0" applyFont="true" applyBorder="false" applyAlignment="false" applyProtection="false">
      <alignment horizontal="general" vertical="bottom" textRotation="0" wrapText="false" indent="0" shrinkToFit="false"/>
      <protection locked="true" hidden="false"/>
    </xf>
    <xf numFmtId="164" fontId="21" fillId="5" borderId="5" xfId="0" applyFont="true" applyBorder="true" applyAlignment="true" applyProtection="false">
      <alignment horizontal="center" vertical="center" textRotation="0" wrapText="true" indent="0" shrinkToFit="false"/>
      <protection locked="true" hidden="false"/>
    </xf>
    <xf numFmtId="164" fontId="21" fillId="9" borderId="5" xfId="0" applyFont="true" applyBorder="true" applyAlignment="true" applyProtection="false">
      <alignment horizontal="center" vertical="center" textRotation="0" wrapText="true" indent="0" shrinkToFit="false"/>
      <protection locked="true" hidden="false"/>
    </xf>
    <xf numFmtId="164" fontId="27" fillId="5" borderId="0" xfId="0" applyFont="true" applyBorder="false" applyAlignment="true" applyProtection="false">
      <alignment horizontal="center" vertical="bottom" textRotation="0" wrapText="true" indent="0" shrinkToFit="false"/>
      <protection locked="true" hidden="false"/>
    </xf>
    <xf numFmtId="164" fontId="21" fillId="5" borderId="5" xfId="0" applyFont="true" applyBorder="true" applyAlignment="true" applyProtection="false">
      <alignment horizontal="general" vertical="center" textRotation="0" wrapText="true" indent="0" shrinkToFit="false"/>
      <protection locked="true" hidden="false"/>
    </xf>
    <xf numFmtId="164" fontId="21" fillId="5" borderId="0" xfId="0" applyFont="true" applyBorder="false" applyAlignment="true" applyProtection="false">
      <alignment horizontal="general" vertical="center" textRotation="0" wrapText="true" indent="0" shrinkToFit="false"/>
      <protection locked="true" hidden="false"/>
    </xf>
    <xf numFmtId="164" fontId="21" fillId="9" borderId="5" xfId="0" applyFont="true" applyBorder="true" applyAlignment="true" applyProtection="false">
      <alignment horizontal="general" vertical="center" textRotation="0" wrapText="true" indent="0" shrinkToFit="false"/>
      <protection locked="true" hidden="false"/>
    </xf>
    <xf numFmtId="164" fontId="21" fillId="9" borderId="0" xfId="0" applyFont="true" applyBorder="false" applyAlignment="true" applyProtection="false">
      <alignment horizontal="general" vertical="center"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7" fontId="0" fillId="6" borderId="0" xfId="0" applyFont="true" applyBorder="false" applyAlignment="false" applyProtection="false">
      <alignment horizontal="general" vertical="bottom" textRotation="0" wrapText="false" indent="0" shrinkToFit="false"/>
      <protection locked="true" hidden="false"/>
    </xf>
    <xf numFmtId="167" fontId="28"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top" textRotation="0" wrapText="true" indent="0" shrinkToFit="false"/>
      <protection locked="true" hidden="false"/>
    </xf>
    <xf numFmtId="175" fontId="24" fillId="0" borderId="0" xfId="17" applyFont="true" applyBorder="false" applyAlignment="false" applyProtection="false">
      <alignment horizontal="general" vertical="bottom" textRotation="0" wrapText="false" indent="0" shrinkToFit="false"/>
      <protection locked="true" hidden="false"/>
    </xf>
    <xf numFmtId="167" fontId="24" fillId="0" borderId="5" xfId="0" applyFont="true" applyBorder="true" applyAlignment="true" applyProtection="false">
      <alignment horizontal="general" vertical="bottom" textRotation="0" wrapText="true" indent="0" shrinkToFit="false"/>
      <protection locked="true" hidden="false"/>
    </xf>
    <xf numFmtId="167" fontId="24" fillId="0" borderId="0" xfId="0" applyFont="true" applyBorder="false" applyAlignment="true" applyProtection="false">
      <alignment horizontal="general" vertical="bottom" textRotation="0" wrapText="true" indent="0" shrinkToFit="false"/>
      <protection locked="true" hidden="false"/>
    </xf>
    <xf numFmtId="164" fontId="29" fillId="0" borderId="5" xfId="0" applyFont="true" applyBorder="true" applyAlignment="fals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true" indent="0" shrinkToFit="false"/>
      <protection locked="true" hidden="false"/>
    </xf>
    <xf numFmtId="164" fontId="29" fillId="0" borderId="0" xfId="0" applyFont="true" applyBorder="false" applyAlignment="true" applyProtection="false">
      <alignment horizontal="general" vertical="top" textRotation="0" wrapText="true" indent="0" shrinkToFit="false"/>
      <protection locked="true" hidden="false"/>
    </xf>
    <xf numFmtId="164" fontId="24" fillId="0" borderId="5" xfId="0" applyFont="true" applyBorder="true" applyAlignment="false" applyProtection="false">
      <alignment horizontal="general" vertical="bottom" textRotation="0" wrapText="false" indent="0" shrinkToFit="false"/>
      <protection locked="true" hidden="false"/>
    </xf>
    <xf numFmtId="167" fontId="28" fillId="7" borderId="0" xfId="0" applyFont="true" applyBorder="false" applyAlignment="false" applyProtection="false">
      <alignment horizontal="general" vertical="bottom" textRotation="0" wrapText="false" indent="0" shrinkToFit="false"/>
      <protection locked="true" hidden="false"/>
    </xf>
    <xf numFmtId="167" fontId="24" fillId="0" borderId="5" xfId="0" applyFont="true" applyBorder="true" applyAlignment="false" applyProtection="false">
      <alignment horizontal="general" vertical="bottom" textRotation="0" wrapText="false" indent="0" shrinkToFit="false"/>
      <protection locked="true" hidden="false"/>
    </xf>
    <xf numFmtId="167" fontId="24" fillId="0" borderId="0" xfId="0" applyFont="true" applyBorder="false" applyAlignment="false" applyProtection="false">
      <alignment horizontal="general" vertical="bottom" textRotation="0" wrapText="false" indent="0" shrinkToFit="false"/>
      <protection locked="true" hidden="false"/>
    </xf>
    <xf numFmtId="165" fontId="24" fillId="0" borderId="0" xfId="0" applyFont="true" applyBorder="false" applyAlignment="false" applyProtection="false">
      <alignment horizontal="general" vertical="bottom" textRotation="0" wrapText="false" indent="0" shrinkToFit="false"/>
      <protection locked="true" hidden="false"/>
    </xf>
    <xf numFmtId="164" fontId="30" fillId="0" borderId="5" xfId="0" applyFont="true" applyBorder="tru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true" indent="0" shrinkToFit="false"/>
      <protection locked="true" hidden="false"/>
    </xf>
    <xf numFmtId="164" fontId="30" fillId="0" borderId="0" xfId="0" applyFont="true" applyBorder="false" applyAlignment="true" applyProtection="false">
      <alignment horizontal="general" vertical="top" textRotation="0" wrapText="true" indent="0" shrinkToFit="false"/>
      <protection locked="true" hidden="false"/>
    </xf>
    <xf numFmtId="165" fontId="28" fillId="0" borderId="0" xfId="0" applyFont="true" applyBorder="false" applyAlignment="false" applyProtection="false">
      <alignment horizontal="general" vertical="bottom" textRotation="0" wrapText="false" indent="0" shrinkToFit="false"/>
      <protection locked="true" hidden="false"/>
    </xf>
    <xf numFmtId="167" fontId="0" fillId="7"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76" fontId="33" fillId="0" borderId="0" xfId="0" applyFont="true" applyBorder="false" applyAlignment="false" applyProtection="false">
      <alignment horizontal="general" vertical="bottom" textRotation="0" wrapText="false" indent="0" shrinkToFit="false"/>
      <protection locked="true" hidden="false"/>
    </xf>
    <xf numFmtId="164" fontId="33" fillId="10" borderId="0" xfId="0" applyFont="true" applyBorder="false" applyAlignment="false" applyProtection="false">
      <alignment horizontal="general" vertical="bottom" textRotation="0" wrapText="false" indent="0" shrinkToFit="false"/>
      <protection locked="true" hidden="false"/>
    </xf>
    <xf numFmtId="176" fontId="33" fillId="11" borderId="0" xfId="0" applyFont="true" applyBorder="false" applyAlignment="true" applyProtection="false">
      <alignment horizontal="left" vertical="top" textRotation="0" wrapText="false" indent="0" shrinkToFit="false"/>
      <protection locked="true" hidden="false"/>
    </xf>
    <xf numFmtId="164" fontId="33" fillId="12" borderId="0" xfId="0" applyFont="true" applyBorder="false" applyAlignment="true" applyProtection="false">
      <alignment horizontal="left" vertical="top" textRotation="0" wrapText="false" indent="0" shrinkToFit="false"/>
      <protection locked="true" hidden="false"/>
    </xf>
    <xf numFmtId="176" fontId="33" fillId="10" borderId="0" xfId="0" applyFont="true" applyBorder="false" applyAlignment="false" applyProtection="false">
      <alignment horizontal="general" vertical="bottom" textRotation="0" wrapText="false" indent="0" shrinkToFit="false"/>
      <protection locked="true" hidden="false"/>
    </xf>
    <xf numFmtId="164" fontId="33" fillId="13" borderId="0" xfId="0" applyFont="true" applyBorder="false" applyAlignment="true" applyProtection="false">
      <alignment horizontal="left" vertical="top" textRotation="0" wrapText="false" indent="0" shrinkToFit="false"/>
      <protection locked="true" hidden="false"/>
    </xf>
    <xf numFmtId="164" fontId="33" fillId="0" borderId="0" xfId="0" applyFont="true" applyBorder="false" applyAlignment="true" applyProtection="false">
      <alignment horizontal="left" vertical="top" textRotation="0" wrapText="true" indent="0" shrinkToFit="false"/>
      <protection locked="true" hidden="false"/>
    </xf>
    <xf numFmtId="176" fontId="33" fillId="0" borderId="0" xfId="0" applyFont="true" applyBorder="false" applyAlignment="true" applyProtection="false">
      <alignment horizontal="left" vertical="top" textRotation="0" wrapText="true" indent="0" shrinkToFit="false"/>
      <protection locked="true" hidden="false"/>
    </xf>
    <xf numFmtId="164" fontId="33" fillId="14"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left" vertical="top" textRotation="0" wrapText="false" indent="0" shrinkToFit="false"/>
      <protection locked="true" hidden="false"/>
    </xf>
    <xf numFmtId="176" fontId="33" fillId="0" borderId="0" xfId="0" applyFont="true" applyBorder="false" applyAlignment="true" applyProtection="false">
      <alignment horizontal="left" vertical="top" textRotation="0" wrapText="false" indent="0" shrinkToFit="false"/>
      <protection locked="true" hidden="false"/>
    </xf>
    <xf numFmtId="164" fontId="33" fillId="15" borderId="0" xfId="0" applyFont="true" applyBorder="false" applyAlignment="true" applyProtection="false">
      <alignment horizontal="left" vertical="top" textRotation="0" wrapText="false" indent="0" shrinkToFit="false"/>
      <protection locked="true" hidden="false"/>
    </xf>
    <xf numFmtId="164" fontId="33" fillId="14" borderId="0" xfId="0" applyFont="true" applyBorder="false" applyAlignment="true" applyProtection="false">
      <alignment horizontal="left" vertical="top" textRotation="0" wrapText="false" indent="0" shrinkToFit="false"/>
      <protection locked="true" hidden="false"/>
    </xf>
    <xf numFmtId="164" fontId="33" fillId="15" borderId="6" xfId="0" applyFont="true" applyBorder="true" applyAlignment="true" applyProtection="false">
      <alignment horizontal="left" vertical="top" textRotation="0" wrapText="false" indent="0" shrinkToFit="false"/>
      <protection locked="true" hidden="false"/>
    </xf>
    <xf numFmtId="164" fontId="33" fillId="14" borderId="6" xfId="0" applyFont="true" applyBorder="true" applyAlignment="true" applyProtection="false">
      <alignment horizontal="left" vertical="top" textRotation="0" wrapText="false" indent="0" shrinkToFit="false"/>
      <protection locked="true" hidden="false"/>
    </xf>
    <xf numFmtId="164" fontId="0" fillId="1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73" fontId="0" fillId="17" borderId="0" xfId="0" applyFont="true" applyBorder="false" applyAlignment="false" applyProtection="false">
      <alignment horizontal="general" vertical="bottom" textRotation="0" wrapText="false" indent="0" shrinkToFit="false"/>
      <protection locked="true" hidden="false"/>
    </xf>
    <xf numFmtId="167" fontId="0" fillId="17" borderId="0" xfId="0" applyFont="true" applyBorder="false" applyAlignment="false" applyProtection="false">
      <alignment horizontal="general" vertical="bottom" textRotation="0" wrapText="false" indent="0" shrinkToFit="false"/>
      <protection locked="true" hidden="false"/>
    </xf>
    <xf numFmtId="164" fontId="27" fillId="5" borderId="0" xfId="0" applyFont="true" applyBorder="false" applyAlignment="true" applyProtection="false">
      <alignment horizontal="center" vertical="bottom" textRotation="0" wrapText="false" indent="0" shrinkToFit="false"/>
      <protection locked="true" hidden="false"/>
    </xf>
    <xf numFmtId="170" fontId="7" fillId="17" borderId="0" xfId="0" applyFont="true" applyBorder="false" applyAlignment="false" applyProtection="false">
      <alignment horizontal="general" vertical="bottom" textRotation="0" wrapText="false" indent="0" shrinkToFit="false"/>
      <protection locked="true" hidden="false"/>
    </xf>
    <xf numFmtId="177" fontId="0" fillId="0" borderId="0" xfId="0" applyFont="true" applyBorder="false" applyAlignment="false" applyProtection="false">
      <alignment horizontal="general" vertical="bottom" textRotation="0" wrapText="false" indent="0" shrinkToFit="false"/>
      <protection locked="true" hidden="false"/>
    </xf>
    <xf numFmtId="170" fontId="0" fillId="7" borderId="0" xfId="0" applyFont="true" applyBorder="false" applyAlignment="false" applyProtection="false">
      <alignment horizontal="general" vertical="bottom" textRotation="0" wrapText="false" indent="0" shrinkToFit="false"/>
      <protection locked="true" hidden="false"/>
    </xf>
    <xf numFmtId="167" fontId="0" fillId="16" borderId="0" xfId="0" applyFont="true" applyBorder="false" applyAlignment="false" applyProtection="false">
      <alignment horizontal="general" vertical="bottom" textRotation="0" wrapText="false" indent="0" shrinkToFit="false"/>
      <protection locked="true" hidden="false"/>
    </xf>
    <xf numFmtId="165" fontId="0" fillId="17"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5" fontId="0" fillId="18" borderId="0" xfId="0" applyFont="true" applyBorder="false" applyAlignment="false" applyProtection="false">
      <alignment horizontal="general" vertical="bottom" textRotation="0" wrapText="false" indent="0" shrinkToFit="false"/>
      <protection locked="true" hidden="false"/>
    </xf>
    <xf numFmtId="178" fontId="28" fillId="6" borderId="0" xfId="0" applyFont="true" applyBorder="false" applyAlignment="false" applyProtection="false">
      <alignment horizontal="general" vertical="bottom" textRotation="0" wrapText="false" indent="0" shrinkToFit="false"/>
      <protection locked="true" hidden="false"/>
    </xf>
    <xf numFmtId="167" fontId="0" fillId="19" borderId="0" xfId="0" applyFont="true" applyBorder="false" applyAlignment="false" applyProtection="false">
      <alignment horizontal="general" vertical="bottom" textRotation="0" wrapText="false" indent="0" shrinkToFit="false"/>
      <protection locked="true" hidden="false"/>
    </xf>
    <xf numFmtId="167" fontId="28" fillId="19"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true" indent="0" shrinkToFit="false"/>
      <protection locked="true" hidden="false"/>
    </xf>
    <xf numFmtId="164" fontId="26" fillId="6" borderId="0" xfId="0" applyFont="true" applyBorder="false" applyAlignment="false" applyProtection="false">
      <alignment horizontal="general" vertical="bottom" textRotation="0" wrapText="false" indent="0" shrinkToFit="false"/>
      <protection locked="true" hidden="false"/>
    </xf>
    <xf numFmtId="170" fontId="0" fillId="17"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9D9D9"/>
          <bgColor rgb="FF000000"/>
        </patternFill>
      </fill>
    </dxf>
    <dxf>
      <fill>
        <patternFill patternType="solid">
          <fgColor rgb="FF375623"/>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D9D9D9"/>
      <rgbColor rgb="FF808080"/>
      <rgbColor rgb="FF8EB4E3"/>
      <rgbColor rgb="FF993366"/>
      <rgbColor rgb="FFFFF2CC"/>
      <rgbColor rgb="FFDDEBF7"/>
      <rgbColor rgb="FF660066"/>
      <rgbColor rgb="FFFF8080"/>
      <rgbColor rgb="FF0066CC"/>
      <rgbColor rgb="FFB8D0ED"/>
      <rgbColor rgb="FF000080"/>
      <rgbColor rgb="FFFF00FF"/>
      <rgbColor rgb="FFFFFF00"/>
      <rgbColor rgb="FF00FFFF"/>
      <rgbColor rgb="FF800080"/>
      <rgbColor rgb="FF800000"/>
      <rgbColor rgb="FF008080"/>
      <rgbColor rgb="FF0000FF"/>
      <rgbColor rgb="FF00CCFF"/>
      <rgbColor rgb="FFEBF1DE"/>
      <rgbColor rgb="FFC6EFCE"/>
      <rgbColor rgb="FFFFEB9C"/>
      <rgbColor rgb="FF93CDDD"/>
      <rgbColor rgb="FFF2F2F2"/>
      <rgbColor rgb="FFCC99FF"/>
      <rgbColor rgb="FFFFD966"/>
      <rgbColor rgb="FF558ED5"/>
      <rgbColor rgb="FF4FC3A1"/>
      <rgbColor rgb="FF92D050"/>
      <rgbColor rgb="FFFFCC00"/>
      <rgbColor rgb="FFFF9900"/>
      <rgbColor rgb="FFFF6600"/>
      <rgbColor rgb="FF59595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R57"/>
  <sheetViews>
    <sheetView showFormulas="false" showGridLines="false" showRowColHeaders="true" showZeros="true" rightToLeft="false" tabSelected="true" showOutlineSymbols="true" defaultGridColor="true" view="normal" topLeftCell="N1" colorId="64" zoomScale="60" zoomScaleNormal="60" zoomScalePageLayoutView="100" workbookViewId="0">
      <selection pane="topLeft" activeCell="BO6" activeCellId="0" sqref="BO6"/>
    </sheetView>
  </sheetViews>
  <sheetFormatPr defaultColWidth="8.73046875" defaultRowHeight="15" zeroHeight="false" outlineLevelRow="0" outlineLevelCol="0"/>
  <cols>
    <col collapsed="false" customWidth="true" hidden="false" outlineLevel="0" max="1" min="1" style="1" width="13"/>
    <col collapsed="false" customWidth="true" hidden="true" outlineLevel="0" max="2" min="2" style="1" width="11"/>
    <col collapsed="false" customWidth="true" hidden="true" outlineLevel="0" max="4" min="3" style="1" width="14"/>
    <col collapsed="false" customWidth="true" hidden="true" outlineLevel="0" max="6" min="5" style="1" width="9"/>
    <col collapsed="false" customWidth="true" hidden="true" outlineLevel="0" max="7" min="7" style="1" width="12"/>
    <col collapsed="false" customWidth="true" hidden="true" outlineLevel="0" max="8" min="8" style="1" width="9"/>
    <col collapsed="false" customWidth="true" hidden="true" outlineLevel="0" max="9" min="9" style="1" width="15"/>
    <col collapsed="false" customWidth="true" hidden="true" outlineLevel="0" max="10" min="10" style="1" width="28.63"/>
    <col collapsed="false" customWidth="false" hidden="false" outlineLevel="0" max="11" min="11" style="1" width="8.73"/>
    <col collapsed="false" customWidth="true" hidden="false" outlineLevel="0" max="12" min="12" style="1" width="9.91"/>
    <col collapsed="false" customWidth="true" hidden="false" outlineLevel="0" max="13" min="13" style="1" width="12.63"/>
    <col collapsed="false" customWidth="true" hidden="false" outlineLevel="0" max="14" min="14" style="1" width="16.54"/>
    <col collapsed="false" customWidth="true" hidden="false" outlineLevel="0" max="15" min="15" style="1" width="14.63"/>
    <col collapsed="false" customWidth="true" hidden="false" outlineLevel="0" max="20" min="16" style="1" width="15.09"/>
    <col collapsed="false" customWidth="true" hidden="false" outlineLevel="0" max="22" min="21" style="1" width="9.91"/>
    <col collapsed="false" customWidth="true" hidden="false" outlineLevel="0" max="23" min="23" style="1" width="12.63"/>
    <col collapsed="false" customWidth="true" hidden="false" outlineLevel="0" max="24" min="24" style="1" width="16.54"/>
    <col collapsed="false" customWidth="true" hidden="false" outlineLevel="0" max="25" min="25" style="1" width="15.73"/>
    <col collapsed="false" customWidth="true" hidden="false" outlineLevel="0" max="30" min="26" style="1" width="16.54"/>
    <col collapsed="false" customWidth="true" hidden="false" outlineLevel="0" max="32" min="31" style="1" width="9.91"/>
    <col collapsed="false" customWidth="true" hidden="false" outlineLevel="0" max="33" min="33" style="1" width="12.63"/>
    <col collapsed="false" customWidth="true" hidden="false" outlineLevel="0" max="34" min="34" style="1" width="16.54"/>
    <col collapsed="false" customWidth="true" hidden="false" outlineLevel="0" max="35" min="35" style="1" width="15.73"/>
    <col collapsed="false" customWidth="true" hidden="false" outlineLevel="0" max="40" min="36" style="1" width="16.54"/>
    <col collapsed="false" customWidth="true" hidden="false" outlineLevel="0" max="42" min="41" style="1" width="9.91"/>
    <col collapsed="false" customWidth="true" hidden="false" outlineLevel="0" max="43" min="43" style="1" width="12.63"/>
    <col collapsed="false" customWidth="true" hidden="false" outlineLevel="0" max="44" min="44" style="1" width="16.54"/>
    <col collapsed="false" customWidth="true" hidden="false" outlineLevel="0" max="45" min="45" style="1" width="15.73"/>
    <col collapsed="false" customWidth="true" hidden="false" outlineLevel="0" max="50" min="46" style="1" width="16.54"/>
    <col collapsed="false" customWidth="true" hidden="false" outlineLevel="0" max="52" min="51" style="1" width="9.91"/>
    <col collapsed="false" customWidth="true" hidden="false" outlineLevel="0" max="53" min="53" style="1" width="12.63"/>
    <col collapsed="false" customWidth="true" hidden="false" outlineLevel="0" max="54" min="54" style="1" width="16.54"/>
    <col collapsed="false" customWidth="true" hidden="false" outlineLevel="0" max="55" min="55" style="1" width="15.73"/>
    <col collapsed="false" customWidth="true" hidden="false" outlineLevel="0" max="60" min="56" style="1" width="16.54"/>
    <col collapsed="false" customWidth="true" hidden="false" outlineLevel="0" max="62" min="61" style="1" width="9.91"/>
    <col collapsed="false" customWidth="true" hidden="false" outlineLevel="0" max="63" min="63" style="1" width="12.63"/>
    <col collapsed="false" customWidth="true" hidden="false" outlineLevel="0" max="64" min="64" style="1" width="16.54"/>
    <col collapsed="false" customWidth="true" hidden="false" outlineLevel="0" max="65" min="65" style="1" width="15.73"/>
    <col collapsed="false" customWidth="true" hidden="false" outlineLevel="0" max="70" min="66" style="1" width="16.54"/>
    <col collapsed="false" customWidth="false" hidden="false" outlineLevel="0" max="16384" min="71" style="1" width="8.73"/>
  </cols>
  <sheetData>
    <row r="1" customFormat="false" ht="15.75" hidden="false" customHeight="true" outlineLevel="0" collapsed="false">
      <c r="A1" s="2" t="s">
        <v>0</v>
      </c>
      <c r="K1" s="3" t="s">
        <v>1</v>
      </c>
      <c r="N1" s="4" t="n">
        <v>0.018</v>
      </c>
      <c r="O1" s="3" t="s">
        <v>2</v>
      </c>
      <c r="Q1" s="5" t="s">
        <v>3</v>
      </c>
      <c r="R1" s="3" t="s">
        <v>4</v>
      </c>
      <c r="T1" s="4" t="n">
        <v>0.03</v>
      </c>
      <c r="V1" s="6" t="s">
        <v>5</v>
      </c>
    </row>
    <row r="2" customFormat="false" ht="17.25" hidden="false" customHeight="true" outlineLevel="0" collapsed="false">
      <c r="A2" s="7" t="s">
        <v>6</v>
      </c>
      <c r="K2" s="3" t="s">
        <v>7</v>
      </c>
      <c r="N2" s="4" t="n">
        <v>0.01</v>
      </c>
      <c r="V2" s="6" t="s">
        <v>8</v>
      </c>
    </row>
    <row r="3" customFormat="false" ht="17.25" hidden="false" customHeight="true" outlineLevel="0" collapsed="false">
      <c r="K3" s="8" t="s">
        <v>9</v>
      </c>
      <c r="L3" s="8" t="s">
        <v>10</v>
      </c>
      <c r="M3" s="8"/>
      <c r="N3" s="8"/>
      <c r="O3" s="8"/>
      <c r="P3" s="8"/>
      <c r="Q3" s="9" t="s">
        <v>11</v>
      </c>
      <c r="R3" s="8"/>
      <c r="S3" s="8"/>
      <c r="T3" s="8"/>
      <c r="U3" s="10" t="s">
        <v>12</v>
      </c>
      <c r="V3" s="10" t="s">
        <v>13</v>
      </c>
      <c r="W3" s="10"/>
      <c r="X3" s="10"/>
      <c r="Y3" s="10"/>
      <c r="Z3" s="10"/>
      <c r="AA3" s="10"/>
      <c r="AB3" s="10"/>
      <c r="AC3" s="10"/>
      <c r="AD3" s="10"/>
      <c r="AE3" s="8" t="s">
        <v>14</v>
      </c>
      <c r="AF3" s="8" t="s">
        <v>15</v>
      </c>
      <c r="AG3" s="8"/>
      <c r="AH3" s="8"/>
      <c r="AI3" s="8"/>
      <c r="AJ3" s="8"/>
      <c r="AK3" s="8"/>
      <c r="AL3" s="8"/>
      <c r="AM3" s="8"/>
      <c r="AN3" s="8"/>
      <c r="AO3" s="10" t="s">
        <v>16</v>
      </c>
      <c r="AP3" s="10" t="s">
        <v>17</v>
      </c>
      <c r="AQ3" s="10"/>
      <c r="AR3" s="10"/>
      <c r="AS3" s="10"/>
      <c r="AT3" s="10"/>
      <c r="AU3" s="10"/>
      <c r="AV3" s="10"/>
      <c r="AW3" s="10"/>
      <c r="AX3" s="10"/>
      <c r="AY3" s="8" t="s">
        <v>18</v>
      </c>
      <c r="AZ3" s="8" t="s">
        <v>19</v>
      </c>
      <c r="BA3" s="8"/>
      <c r="BB3" s="8"/>
      <c r="BC3" s="8"/>
      <c r="BD3" s="8"/>
      <c r="BE3" s="8"/>
      <c r="BF3" s="8"/>
      <c r="BG3" s="8"/>
      <c r="BH3" s="8"/>
      <c r="BI3" s="11" t="s">
        <v>20</v>
      </c>
      <c r="BJ3" s="12" t="s">
        <v>21</v>
      </c>
      <c r="BK3" s="12"/>
      <c r="BL3" s="12"/>
      <c r="BM3" s="12"/>
      <c r="BN3" s="12"/>
      <c r="BO3" s="12"/>
      <c r="BP3" s="12"/>
      <c r="BQ3" s="12"/>
      <c r="BR3" s="13"/>
    </row>
    <row r="4" customFormat="false" ht="52.5" hidden="false" customHeight="true" outlineLevel="0" collapsed="false">
      <c r="A4" s="14" t="s">
        <v>22</v>
      </c>
      <c r="B4" s="14" t="s">
        <v>23</v>
      </c>
      <c r="C4" s="14" t="s">
        <v>24</v>
      </c>
      <c r="D4" s="14" t="s">
        <v>25</v>
      </c>
      <c r="E4" s="14" t="s">
        <v>26</v>
      </c>
      <c r="F4" s="14" t="s">
        <v>27</v>
      </c>
      <c r="G4" s="14" t="s">
        <v>28</v>
      </c>
      <c r="H4" s="14" t="s">
        <v>29</v>
      </c>
      <c r="I4" s="14" t="s">
        <v>30</v>
      </c>
      <c r="J4" s="14" t="s">
        <v>31</v>
      </c>
      <c r="K4" s="15" t="s">
        <v>32</v>
      </c>
      <c r="L4" s="15"/>
      <c r="M4" s="14" t="s">
        <v>33</v>
      </c>
      <c r="N4" s="16" t="s">
        <v>34</v>
      </c>
      <c r="O4" s="16" t="s">
        <v>35</v>
      </c>
      <c r="P4" s="16" t="s">
        <v>36</v>
      </c>
      <c r="Q4" s="17" t="s">
        <v>37</v>
      </c>
      <c r="R4" s="18" t="s">
        <v>38</v>
      </c>
      <c r="S4" s="18" t="s">
        <v>39</v>
      </c>
      <c r="T4" s="18" t="s">
        <v>40</v>
      </c>
      <c r="U4" s="19" t="s">
        <v>32</v>
      </c>
      <c r="V4" s="19"/>
      <c r="W4" s="20" t="s">
        <v>33</v>
      </c>
      <c r="X4" s="21" t="s">
        <v>41</v>
      </c>
      <c r="Y4" s="21" t="s">
        <v>42</v>
      </c>
      <c r="Z4" s="21" t="s">
        <v>43</v>
      </c>
      <c r="AA4" s="22" t="s">
        <v>37</v>
      </c>
      <c r="AB4" s="22" t="s">
        <v>38</v>
      </c>
      <c r="AC4" s="22" t="s">
        <v>44</v>
      </c>
      <c r="AD4" s="22" t="s">
        <v>45</v>
      </c>
      <c r="AE4" s="15" t="s">
        <v>32</v>
      </c>
      <c r="AF4" s="15"/>
      <c r="AG4" s="14" t="s">
        <v>33</v>
      </c>
      <c r="AH4" s="16" t="s">
        <v>41</v>
      </c>
      <c r="AI4" s="16" t="s">
        <v>42</v>
      </c>
      <c r="AJ4" s="16" t="s">
        <v>43</v>
      </c>
      <c r="AK4" s="18" t="s">
        <v>37</v>
      </c>
      <c r="AL4" s="18" t="s">
        <v>38</v>
      </c>
      <c r="AM4" s="18" t="s">
        <v>44</v>
      </c>
      <c r="AN4" s="18" t="s">
        <v>45</v>
      </c>
      <c r="AO4" s="19" t="s">
        <v>32</v>
      </c>
      <c r="AP4" s="19"/>
      <c r="AQ4" s="20" t="s">
        <v>33</v>
      </c>
      <c r="AR4" s="21" t="s">
        <v>41</v>
      </c>
      <c r="AS4" s="21" t="s">
        <v>42</v>
      </c>
      <c r="AT4" s="21" t="s">
        <v>43</v>
      </c>
      <c r="AU4" s="22" t="s">
        <v>37</v>
      </c>
      <c r="AV4" s="22" t="s">
        <v>38</v>
      </c>
      <c r="AW4" s="22" t="s">
        <v>44</v>
      </c>
      <c r="AX4" s="22" t="s">
        <v>45</v>
      </c>
      <c r="AY4" s="15" t="s">
        <v>32</v>
      </c>
      <c r="AZ4" s="15"/>
      <c r="BA4" s="14" t="s">
        <v>33</v>
      </c>
      <c r="BB4" s="16" t="s">
        <v>41</v>
      </c>
      <c r="BC4" s="16" t="s">
        <v>42</v>
      </c>
      <c r="BD4" s="16" t="s">
        <v>43</v>
      </c>
      <c r="BE4" s="18" t="s">
        <v>37</v>
      </c>
      <c r="BF4" s="18" t="s">
        <v>38</v>
      </c>
      <c r="BG4" s="18" t="s">
        <v>44</v>
      </c>
      <c r="BH4" s="18" t="s">
        <v>45</v>
      </c>
      <c r="BI4" s="19" t="s">
        <v>32</v>
      </c>
      <c r="BJ4" s="19"/>
      <c r="BK4" s="20" t="s">
        <v>33</v>
      </c>
      <c r="BL4" s="21" t="s">
        <v>41</v>
      </c>
      <c r="BM4" s="21" t="s">
        <v>42</v>
      </c>
      <c r="BN4" s="21" t="s">
        <v>43</v>
      </c>
      <c r="BO4" s="22" t="s">
        <v>37</v>
      </c>
      <c r="BP4" s="22" t="s">
        <v>38</v>
      </c>
      <c r="BQ4" s="22" t="s">
        <v>44</v>
      </c>
      <c r="BR4" s="22" t="s">
        <v>45</v>
      </c>
    </row>
    <row r="5" customFormat="false" ht="52.5" hidden="false" customHeight="true" outlineLevel="0" collapsed="false">
      <c r="A5" s="14"/>
      <c r="B5" s="14"/>
      <c r="C5" s="14"/>
      <c r="D5" s="14"/>
      <c r="E5" s="14"/>
      <c r="F5" s="14"/>
      <c r="G5" s="14"/>
      <c r="H5" s="14"/>
      <c r="I5" s="14"/>
      <c r="J5" s="14"/>
      <c r="K5" s="15" t="s">
        <v>46</v>
      </c>
      <c r="L5" s="15"/>
      <c r="M5" s="14"/>
      <c r="N5" s="16" t="s">
        <v>47</v>
      </c>
      <c r="O5" s="16" t="s">
        <v>48</v>
      </c>
      <c r="P5" s="16" t="s">
        <v>49</v>
      </c>
      <c r="Q5" s="16" t="s">
        <v>50</v>
      </c>
      <c r="R5" s="16" t="s">
        <v>51</v>
      </c>
      <c r="S5" s="16" t="s">
        <v>52</v>
      </c>
      <c r="T5" s="16" t="s">
        <v>53</v>
      </c>
      <c r="U5" s="19" t="s">
        <v>46</v>
      </c>
      <c r="V5" s="19"/>
      <c r="W5" s="20"/>
      <c r="X5" s="21" t="s">
        <v>47</v>
      </c>
      <c r="Y5" s="21" t="s">
        <v>54</v>
      </c>
      <c r="Z5" s="21" t="s">
        <v>55</v>
      </c>
      <c r="AA5" s="21" t="s">
        <v>50</v>
      </c>
      <c r="AB5" s="21" t="s">
        <v>51</v>
      </c>
      <c r="AC5" s="21" t="s">
        <v>56</v>
      </c>
      <c r="AD5" s="21" t="s">
        <v>57</v>
      </c>
      <c r="AE5" s="15" t="s">
        <v>46</v>
      </c>
      <c r="AF5" s="15"/>
      <c r="AG5" s="14"/>
      <c r="AH5" s="16" t="s">
        <v>47</v>
      </c>
      <c r="AI5" s="16" t="s">
        <v>54</v>
      </c>
      <c r="AJ5" s="16" t="s">
        <v>55</v>
      </c>
      <c r="AK5" s="16" t="s">
        <v>50</v>
      </c>
      <c r="AL5" s="16" t="s">
        <v>51</v>
      </c>
      <c r="AM5" s="16" t="s">
        <v>56</v>
      </c>
      <c r="AN5" s="16" t="s">
        <v>57</v>
      </c>
      <c r="AO5" s="19" t="s">
        <v>46</v>
      </c>
      <c r="AP5" s="19"/>
      <c r="AQ5" s="20"/>
      <c r="AR5" s="21" t="s">
        <v>47</v>
      </c>
      <c r="AS5" s="21" t="s">
        <v>54</v>
      </c>
      <c r="AT5" s="21" t="s">
        <v>55</v>
      </c>
      <c r="AU5" s="21" t="s">
        <v>50</v>
      </c>
      <c r="AV5" s="21" t="s">
        <v>51</v>
      </c>
      <c r="AW5" s="21" t="s">
        <v>56</v>
      </c>
      <c r="AX5" s="21" t="s">
        <v>57</v>
      </c>
      <c r="AY5" s="15" t="s">
        <v>46</v>
      </c>
      <c r="AZ5" s="15"/>
      <c r="BA5" s="14"/>
      <c r="BB5" s="16" t="s">
        <v>47</v>
      </c>
      <c r="BC5" s="16" t="s">
        <v>54</v>
      </c>
      <c r="BD5" s="16" t="s">
        <v>55</v>
      </c>
      <c r="BE5" s="16" t="s">
        <v>50</v>
      </c>
      <c r="BF5" s="16" t="s">
        <v>51</v>
      </c>
      <c r="BG5" s="16" t="s">
        <v>56</v>
      </c>
      <c r="BH5" s="16" t="s">
        <v>57</v>
      </c>
      <c r="BI5" s="19" t="s">
        <v>46</v>
      </c>
      <c r="BJ5" s="19"/>
      <c r="BK5" s="20"/>
      <c r="BL5" s="21" t="s">
        <v>47</v>
      </c>
      <c r="BM5" s="21" t="s">
        <v>54</v>
      </c>
      <c r="BN5" s="21" t="s">
        <v>55</v>
      </c>
      <c r="BO5" s="21" t="s">
        <v>50</v>
      </c>
      <c r="BP5" s="21" t="s">
        <v>51</v>
      </c>
      <c r="BQ5" s="21" t="s">
        <v>56</v>
      </c>
      <c r="BR5" s="21" t="s">
        <v>57</v>
      </c>
    </row>
    <row r="6" customFormat="false" ht="17.25" hidden="false" customHeight="true" outlineLevel="0" collapsed="false">
      <c r="A6" s="23" t="s">
        <v>58</v>
      </c>
      <c r="B6" s="24" t="s">
        <v>59</v>
      </c>
      <c r="C6" s="25" t="n">
        <f aca="false">Dashboard!C5</f>
        <v>6974170.0524</v>
      </c>
      <c r="D6" s="25" t="n">
        <f aca="false">Dashboard!D5</f>
        <v>12535797.12</v>
      </c>
      <c r="E6" s="26" t="n">
        <f aca="false">Dashboard!E5</f>
        <v>0.556340373542995</v>
      </c>
      <c r="F6" s="24" t="n">
        <f aca="false">Dashboard!F5</f>
        <v>0</v>
      </c>
      <c r="G6" s="27" t="n">
        <f aca="false">Dashboard!G5</f>
        <v>376073.9136</v>
      </c>
      <c r="H6" s="24" t="n">
        <f aca="false">Dashboard!H5</f>
        <v>0</v>
      </c>
      <c r="I6" s="28" t="n">
        <f aca="false">Dashboard!I5</f>
        <v>7350243.966</v>
      </c>
      <c r="J6" s="29" t="s">
        <v>60</v>
      </c>
      <c r="K6" s="24" t="s">
        <v>61</v>
      </c>
      <c r="L6" s="30" t="n">
        <v>281.6</v>
      </c>
      <c r="M6" s="30" t="n">
        <v>11444</v>
      </c>
      <c r="N6" s="31" t="n">
        <f aca="false">L6*M6</f>
        <v>3222630.4</v>
      </c>
      <c r="O6" s="24"/>
      <c r="P6" s="24"/>
      <c r="Q6" s="32" t="n">
        <f aca="false">Inputs!$C$13</f>
        <v>448</v>
      </c>
      <c r="R6" s="33" t="n">
        <f aca="false">Q6*M6</f>
        <v>5126912</v>
      </c>
      <c r="S6" s="33"/>
      <c r="T6" s="24"/>
      <c r="U6" s="24" t="s">
        <v>61</v>
      </c>
      <c r="V6" s="31" t="n">
        <f aca="false">L6*(1+Inputs!$B$9)</f>
        <v>295.68</v>
      </c>
      <c r="W6" s="30" t="n">
        <v>12345</v>
      </c>
      <c r="X6" s="31" t="n">
        <f aca="false">V6*W6</f>
        <v>3650169.6</v>
      </c>
      <c r="Y6" s="24"/>
      <c r="Z6" s="24"/>
      <c r="AA6" s="24" t="n">
        <f aca="false">Q6*(1+Inputs!$B$11)</f>
        <v>461.44</v>
      </c>
      <c r="AB6" s="33" t="n">
        <f aca="false">AA6*W6</f>
        <v>5696476.8</v>
      </c>
      <c r="AC6" s="24"/>
      <c r="AD6" s="24"/>
      <c r="AE6" s="24" t="s">
        <v>61</v>
      </c>
      <c r="AF6" s="31" t="n">
        <f aca="false">V6*(1+'Dashboard (2)'!$T$1)</f>
        <v>304.5504</v>
      </c>
      <c r="AG6" s="30" t="n">
        <f aca="false">ROUND(Inputs!E26*($W$6/($W$6+$W$7)),0)</f>
        <v>12944</v>
      </c>
      <c r="AH6" s="31" t="n">
        <f aca="false">AF6*AG6</f>
        <v>3942100.3776</v>
      </c>
      <c r="AI6" s="24"/>
      <c r="AJ6" s="24"/>
      <c r="AK6" s="24" t="n">
        <f aca="false">AA6*(1+'Dashboard (2)'!$T$1)</f>
        <v>475.2832</v>
      </c>
      <c r="AL6" s="33" t="n">
        <f aca="false">AK6*AG6</f>
        <v>6152065.7408</v>
      </c>
      <c r="AM6" s="24"/>
      <c r="AN6" s="24"/>
      <c r="AO6" s="24" t="s">
        <v>61</v>
      </c>
      <c r="AP6" s="31" t="n">
        <f aca="false">AF6*(1+'Dashboard (2)'!$T$1)</f>
        <v>313.686912</v>
      </c>
      <c r="AQ6" s="30" t="n">
        <f aca="false">ROUND(Inputs!F26*($W$6/($W$6+$W$7)),0)</f>
        <v>13453</v>
      </c>
      <c r="AR6" s="31" t="n">
        <f aca="false">AP6*AQ6</f>
        <v>4220030.027136</v>
      </c>
      <c r="AS6" s="24"/>
      <c r="AT6" s="24"/>
      <c r="AU6" s="24" t="n">
        <f aca="false">AK6*(1+'Dashboard (2)'!$T$1)</f>
        <v>489.541696</v>
      </c>
      <c r="AV6" s="33" t="n">
        <f aca="false">AU6*AQ6</f>
        <v>6585804.436288</v>
      </c>
      <c r="AW6" s="24"/>
      <c r="AX6" s="24"/>
      <c r="AY6" s="24" t="s">
        <v>61</v>
      </c>
      <c r="AZ6" s="31" t="n">
        <f aca="false">AP6*(1+'Dashboard (2)'!$T$1)</f>
        <v>323.09751936</v>
      </c>
      <c r="BA6" s="30" t="n">
        <f aca="false">ROUND(Inputs!G26*($W$6/($W$6+$W$7)),0)</f>
        <v>13907</v>
      </c>
      <c r="BB6" s="31" t="n">
        <f aca="false">AZ6*BA6</f>
        <v>4493317.20173952</v>
      </c>
      <c r="BC6" s="24"/>
      <c r="BD6" s="24"/>
      <c r="BE6" s="24" t="n">
        <f aca="false">AU6*(1+'Dashboard (2)'!$T$1)</f>
        <v>504.22794688</v>
      </c>
      <c r="BF6" s="33" t="n">
        <f aca="false">BE6*BA6</f>
        <v>7012298.05726016</v>
      </c>
      <c r="BG6" s="24"/>
      <c r="BH6" s="24"/>
      <c r="BI6" s="24" t="s">
        <v>61</v>
      </c>
      <c r="BJ6" s="31" t="n">
        <f aca="false">AZ6*(1+'Dashboard (2)'!$T$1)</f>
        <v>332.7904449408</v>
      </c>
      <c r="BK6" s="30" t="n">
        <f aca="false">ROUND(Inputs!H26*($W$6/($W$6+$W$7)),0)</f>
        <v>14320</v>
      </c>
      <c r="BL6" s="31" t="n">
        <f aca="false">BJ6*BK6</f>
        <v>4765559.17155226</v>
      </c>
      <c r="BM6" s="24"/>
      <c r="BN6" s="24"/>
      <c r="BO6" s="24" t="n">
        <f aca="false">BE6*(1+'Dashboard (2)'!$T$1)</f>
        <v>519.3547852864</v>
      </c>
      <c r="BP6" s="33" t="n">
        <f aca="false">BO6*BK6</f>
        <v>7437160.52530125</v>
      </c>
      <c r="BQ6" s="24"/>
      <c r="BR6" s="24"/>
    </row>
    <row r="7" customFormat="false" ht="17.25" hidden="false" customHeight="true" outlineLevel="0" collapsed="false">
      <c r="A7" s="23"/>
      <c r="B7" s="24"/>
      <c r="C7" s="25"/>
      <c r="D7" s="25"/>
      <c r="E7" s="26"/>
      <c r="F7" s="24"/>
      <c r="G7" s="27"/>
      <c r="H7" s="24"/>
      <c r="I7" s="28"/>
      <c r="J7" s="29"/>
      <c r="K7" s="24" t="s">
        <v>62</v>
      </c>
      <c r="L7" s="30" t="n">
        <v>704</v>
      </c>
      <c r="M7" s="30" t="n">
        <v>10747</v>
      </c>
      <c r="N7" s="31" t="n">
        <f aca="false">L7*M7</f>
        <v>7565888</v>
      </c>
      <c r="O7" s="24"/>
      <c r="P7" s="24"/>
      <c r="Q7" s="32" t="n">
        <f aca="false">Inputs!$C$14</f>
        <v>1120</v>
      </c>
      <c r="R7" s="33" t="n">
        <f aca="false">Q7*M7</f>
        <v>12036640</v>
      </c>
      <c r="S7" s="33"/>
      <c r="T7" s="24"/>
      <c r="U7" s="24" t="s">
        <v>62</v>
      </c>
      <c r="V7" s="31" t="n">
        <f aca="false">L7*(1+Inputs!$B$9)</f>
        <v>739.2</v>
      </c>
      <c r="W7" s="30" t="n">
        <v>10865</v>
      </c>
      <c r="X7" s="31" t="n">
        <f aca="false">V7*W7</f>
        <v>8031408</v>
      </c>
      <c r="Y7" s="24"/>
      <c r="Z7" s="24"/>
      <c r="AA7" s="24" t="n">
        <f aca="false">Q7*(1+Inputs!$B$11)</f>
        <v>1153.6</v>
      </c>
      <c r="AB7" s="33" t="n">
        <f aca="false">AA7*W7</f>
        <v>12533864</v>
      </c>
      <c r="AC7" s="24"/>
      <c r="AD7" s="24"/>
      <c r="AE7" s="24" t="s">
        <v>62</v>
      </c>
      <c r="AF7" s="31" t="n">
        <f aca="false">V7*(1+'Dashboard (2)'!$T$1)</f>
        <v>761.376</v>
      </c>
      <c r="AG7" s="30" t="n">
        <f aca="false">Inputs!E26-AG6</f>
        <v>11392</v>
      </c>
      <c r="AH7" s="31" t="n">
        <f aca="false">AF7*AG7</f>
        <v>8673595.392</v>
      </c>
      <c r="AI7" s="24"/>
      <c r="AJ7" s="24"/>
      <c r="AK7" s="24" t="n">
        <f aca="false">AA7*(1+'Dashboard (2)'!$T$1)</f>
        <v>1188.208</v>
      </c>
      <c r="AL7" s="33" t="n">
        <f aca="false">AK7*AG7</f>
        <v>13536065.536</v>
      </c>
      <c r="AM7" s="24"/>
      <c r="AN7" s="24"/>
      <c r="AO7" s="24" t="s">
        <v>62</v>
      </c>
      <c r="AP7" s="31" t="n">
        <f aca="false">AF7*(1+'Dashboard (2)'!$T$1)</f>
        <v>784.21728</v>
      </c>
      <c r="AQ7" s="30" t="n">
        <f aca="false">Inputs!F26-AQ6</f>
        <v>11841</v>
      </c>
      <c r="AR7" s="31" t="n">
        <f aca="false">AP7*AQ7</f>
        <v>9285916.81248</v>
      </c>
      <c r="AS7" s="24"/>
      <c r="AT7" s="24"/>
      <c r="AU7" s="24" t="n">
        <f aca="false">AK7*(1+'Dashboard (2)'!$T$1)</f>
        <v>1223.85424</v>
      </c>
      <c r="AV7" s="33" t="n">
        <f aca="false">AU7*AQ7</f>
        <v>14491658.05584</v>
      </c>
      <c r="AW7" s="24"/>
      <c r="AX7" s="24"/>
      <c r="AY7" s="24" t="s">
        <v>62</v>
      </c>
      <c r="AZ7" s="31" t="n">
        <f aca="false">AP7*(1+'Dashboard (2)'!$T$1)</f>
        <v>807.7437984</v>
      </c>
      <c r="BA7" s="30" t="n">
        <f aca="false">Inputs!G26-BA6</f>
        <v>12239</v>
      </c>
      <c r="BB7" s="31" t="n">
        <f aca="false">AZ7*BA7</f>
        <v>9885976.3486176</v>
      </c>
      <c r="BC7" s="24"/>
      <c r="BD7" s="24"/>
      <c r="BE7" s="24" t="n">
        <f aca="false">AU7*(1+'Dashboard (2)'!$T$1)</f>
        <v>1260.5698672</v>
      </c>
      <c r="BF7" s="33" t="n">
        <f aca="false">BE7*BA7</f>
        <v>15428114.6046608</v>
      </c>
      <c r="BG7" s="24"/>
      <c r="BH7" s="24"/>
      <c r="BI7" s="24" t="s">
        <v>62</v>
      </c>
      <c r="BJ7" s="31" t="n">
        <f aca="false">AZ7*(1+'Dashboard (2)'!$T$1)</f>
        <v>831.976112352</v>
      </c>
      <c r="BK7" s="30" t="n">
        <f aca="false">Inputs!H26-BK6</f>
        <v>12603</v>
      </c>
      <c r="BL7" s="31" t="n">
        <f aca="false">BJ7*BK7</f>
        <v>10485394.9439723</v>
      </c>
      <c r="BM7" s="24"/>
      <c r="BN7" s="24"/>
      <c r="BO7" s="24" t="n">
        <f aca="false">BE7*(1+'Dashboard (2)'!$T$1)</f>
        <v>1298.386963216</v>
      </c>
      <c r="BP7" s="33" t="n">
        <f aca="false">BO7*BK7</f>
        <v>16363570.8974113</v>
      </c>
      <c r="BQ7" s="24"/>
      <c r="BR7" s="24"/>
    </row>
    <row r="8" customFormat="false" ht="17.25" hidden="false" customHeight="true" outlineLevel="0" collapsed="false">
      <c r="A8" s="23"/>
      <c r="B8" s="24"/>
      <c r="C8" s="25"/>
      <c r="D8" s="25"/>
      <c r="E8" s="26"/>
      <c r="F8" s="24"/>
      <c r="G8" s="27"/>
      <c r="H8" s="24"/>
      <c r="I8" s="28"/>
      <c r="J8" s="29"/>
      <c r="K8" s="24" t="s">
        <v>63</v>
      </c>
      <c r="L8" s="30" t="n">
        <v>844.8</v>
      </c>
      <c r="M8" s="30" t="n">
        <v>877</v>
      </c>
      <c r="N8" s="31" t="n">
        <f aca="false">L8*M8</f>
        <v>740889.6</v>
      </c>
      <c r="O8" s="24"/>
      <c r="P8" s="24"/>
      <c r="Q8" s="32" t="n">
        <f aca="false">Inputs!$C$15</f>
        <v>1344</v>
      </c>
      <c r="R8" s="33" t="n">
        <f aca="false">Q8*M8</f>
        <v>1178688</v>
      </c>
      <c r="S8" s="33"/>
      <c r="T8" s="24"/>
      <c r="U8" s="24" t="s">
        <v>63</v>
      </c>
      <c r="V8" s="31" t="n">
        <f aca="false">L8*(1+Inputs!$B$9)</f>
        <v>887.04</v>
      </c>
      <c r="W8" s="30" t="n">
        <v>963</v>
      </c>
      <c r="X8" s="31" t="n">
        <f aca="false">V8*W8</f>
        <v>854219.52</v>
      </c>
      <c r="Y8" s="24"/>
      <c r="Z8" s="24"/>
      <c r="AA8" s="24" t="n">
        <f aca="false">Q8*(1+Inputs!$B$11)</f>
        <v>1384.32</v>
      </c>
      <c r="AB8" s="33" t="n">
        <f aca="false">AA8*W8</f>
        <v>1333100.16</v>
      </c>
      <c r="AC8" s="24"/>
      <c r="AD8" s="24"/>
      <c r="AE8" s="24" t="s">
        <v>63</v>
      </c>
      <c r="AF8" s="31" t="n">
        <f aca="false">V8*(1+'Dashboard (2)'!$T$1)</f>
        <v>913.6512</v>
      </c>
      <c r="AG8" s="30" t="n">
        <f aca="false">Inputs!E27</f>
        <v>1055</v>
      </c>
      <c r="AH8" s="31" t="n">
        <f aca="false">AF8*AG8</f>
        <v>963902.016</v>
      </c>
      <c r="AI8" s="24"/>
      <c r="AJ8" s="24"/>
      <c r="AK8" s="24" t="n">
        <f aca="false">AA8*(1+'Dashboard (2)'!$T$1)</f>
        <v>1425.8496</v>
      </c>
      <c r="AL8" s="33" t="n">
        <f aca="false">AK8*AG8</f>
        <v>1504271.328</v>
      </c>
      <c r="AM8" s="24"/>
      <c r="AN8" s="24"/>
      <c r="AO8" s="24" t="s">
        <v>63</v>
      </c>
      <c r="AP8" s="31" t="n">
        <f aca="false">AF8*(1+'Dashboard (2)'!$T$1)</f>
        <v>941.060736</v>
      </c>
      <c r="AQ8" s="30" t="n">
        <f aca="false">Inputs!F27</f>
        <v>1141</v>
      </c>
      <c r="AR8" s="31" t="n">
        <f aca="false">AP8*AQ8</f>
        <v>1073750.299776</v>
      </c>
      <c r="AS8" s="24"/>
      <c r="AT8" s="24"/>
      <c r="AU8" s="24" t="n">
        <f aca="false">AK8*(1+'Dashboard (2)'!$T$1)</f>
        <v>1468.625088</v>
      </c>
      <c r="AV8" s="33" t="n">
        <f aca="false">AU8*AQ8</f>
        <v>1675701.225408</v>
      </c>
      <c r="AW8" s="24"/>
      <c r="AX8" s="24"/>
      <c r="AY8" s="24" t="s">
        <v>63</v>
      </c>
      <c r="AZ8" s="31" t="n">
        <f aca="false">AP8*(1+'Dashboard (2)'!$T$1)</f>
        <v>969.29255808</v>
      </c>
      <c r="BA8" s="30" t="n">
        <f aca="false">Inputs!G27</f>
        <v>1218</v>
      </c>
      <c r="BB8" s="31" t="n">
        <f aca="false">AZ8*BA8</f>
        <v>1180598.33574144</v>
      </c>
      <c r="BC8" s="24"/>
      <c r="BD8" s="24"/>
      <c r="BE8" s="24" t="n">
        <f aca="false">AU8*(1+'Dashboard (2)'!$T$1)</f>
        <v>1512.68384064</v>
      </c>
      <c r="BF8" s="33" t="n">
        <f aca="false">BE8*BA8</f>
        <v>1842448.91789952</v>
      </c>
      <c r="BG8" s="24"/>
      <c r="BH8" s="24"/>
      <c r="BI8" s="24" t="s">
        <v>63</v>
      </c>
      <c r="BJ8" s="31" t="n">
        <f aca="false">AZ8*(1+'Dashboard (2)'!$T$1)</f>
        <v>998.3713348224</v>
      </c>
      <c r="BK8" s="30" t="n">
        <f aca="false">Inputs!H27</f>
        <v>1286</v>
      </c>
      <c r="BL8" s="31" t="n">
        <f aca="false">BJ8*BK8</f>
        <v>1283905.53658161</v>
      </c>
      <c r="BM8" s="24"/>
      <c r="BN8" s="24"/>
      <c r="BO8" s="24" t="n">
        <f aca="false">BE8*(1+'Dashboard (2)'!$T$1)</f>
        <v>1558.0643558592</v>
      </c>
      <c r="BP8" s="33" t="n">
        <f aca="false">BO8*BK8</f>
        <v>2003670.76163493</v>
      </c>
      <c r="BQ8" s="24"/>
      <c r="BR8" s="24"/>
    </row>
    <row r="9" customFormat="false" ht="17.25" hidden="false" customHeight="true" outlineLevel="0" collapsed="false">
      <c r="A9" s="23"/>
      <c r="B9" s="24"/>
      <c r="C9" s="25"/>
      <c r="D9" s="25"/>
      <c r="E9" s="26"/>
      <c r="F9" s="24"/>
      <c r="G9" s="27"/>
      <c r="H9" s="24"/>
      <c r="I9" s="28"/>
      <c r="J9" s="29"/>
      <c r="K9" s="24"/>
      <c r="L9" s="31"/>
      <c r="M9" s="31" t="n">
        <f aca="false">SUM(M6:M8)</f>
        <v>23068</v>
      </c>
      <c r="N9" s="31" t="n">
        <f aca="false">SUM(N6:N8)</f>
        <v>11529408</v>
      </c>
      <c r="O9" s="30" t="n">
        <v>6805719.58</v>
      </c>
      <c r="P9" s="34" t="n">
        <f aca="false">O9/N9</f>
        <v>0.590292197136228</v>
      </c>
      <c r="Q9" s="34"/>
      <c r="R9" s="35" t="n">
        <f aca="false">SUM(R6:R8)</f>
        <v>18342240</v>
      </c>
      <c r="S9" s="35" t="n">
        <f aca="false">Inputs!$B$34*Inputs!$B$16</f>
        <v>14418877.3904</v>
      </c>
      <c r="T9" s="36" t="n">
        <f aca="false">S9/R9</f>
        <v>0.786102318495451</v>
      </c>
      <c r="U9" s="24"/>
      <c r="V9" s="37"/>
      <c r="W9" s="33" t="n">
        <f aca="false">SUM(W6:W8)</f>
        <v>24173</v>
      </c>
      <c r="X9" s="33" t="n">
        <f aca="false">SUM(X6:X8)</f>
        <v>12535797.12</v>
      </c>
      <c r="Y9" s="34" t="n">
        <f aca="false">Z9/X9</f>
        <v>0.586340373542995</v>
      </c>
      <c r="Z9" s="31" t="n">
        <f aca="false">Dashboard!I5</f>
        <v>7350243.966</v>
      </c>
      <c r="AA9" s="31"/>
      <c r="AB9" s="31" t="n">
        <f aca="false">SUM(AB6:AB8)</f>
        <v>19563440.96</v>
      </c>
      <c r="AC9" s="31" t="n">
        <f aca="false">AB9*AD9</f>
        <v>15731008.2336849</v>
      </c>
      <c r="AD9" s="36" t="n">
        <f aca="false">IF(T9&gt;=Inputs!$B$38,T9,MIN(T9+'Dashboard (2)'!$N$1,Inputs!$B$38))</f>
        <v>0.804102318495451</v>
      </c>
      <c r="AE9" s="24"/>
      <c r="AF9" s="37"/>
      <c r="AG9" s="33" t="n">
        <f aca="false">SUM(AG6:AG8)</f>
        <v>25391</v>
      </c>
      <c r="AH9" s="33" t="n">
        <f aca="false">SUM(AH6:AH8)</f>
        <v>13579597.7856</v>
      </c>
      <c r="AI9" s="34" t="n">
        <f aca="false">IF(Y9&gt;=Inputs!$B$38,Y9,MIN(Y9+'Dashboard (2)'!$N$2,Inputs!$B$38))</f>
        <v>0.596340373542995</v>
      </c>
      <c r="AJ9" s="31" t="n">
        <f aca="false">AH9*AI9</f>
        <v>8098062.41602833</v>
      </c>
      <c r="AK9" s="31"/>
      <c r="AL9" s="31" t="n">
        <f aca="false">SUM(AL6:AL8)</f>
        <v>21192402.6048</v>
      </c>
      <c r="AM9" s="31" t="n">
        <f aca="false">AL9*AN9</f>
        <v>17252784.0950567</v>
      </c>
      <c r="AN9" s="36" t="n">
        <f aca="false">IF(AD9&gt;=Inputs!$B$38,AD9,MIN(AD9+'Dashboard (2)'!$N$2,Inputs!$B$38))</f>
        <v>0.814102318495451</v>
      </c>
      <c r="AO9" s="24"/>
      <c r="AP9" s="37"/>
      <c r="AQ9" s="33" t="n">
        <f aca="false">SUM(AQ6:AQ8)</f>
        <v>26435</v>
      </c>
      <c r="AR9" s="33" t="n">
        <f aca="false">SUM(AR6:AR8)</f>
        <v>14579697.139392</v>
      </c>
      <c r="AS9" s="34" t="n">
        <f aca="false">IF(AI9&gt;=Inputs!$B$38,AI9,MIN(AI9+'Dashboard (2)'!$N$2,Inputs!$B$38))</f>
        <v>0.606340373542995</v>
      </c>
      <c r="AT9" s="31" t="n">
        <f aca="false">AR9*AS9</f>
        <v>8840259.00964268</v>
      </c>
      <c r="AU9" s="31"/>
      <c r="AV9" s="31" t="n">
        <f aca="false">SUM(AV6:AV8)</f>
        <v>22753163.717536</v>
      </c>
      <c r="AW9" s="31" t="n">
        <f aca="false">AV9*AX9</f>
        <v>18750934.972728</v>
      </c>
      <c r="AX9" s="36" t="n">
        <f aca="false">IF(AN9&gt;=Inputs!$B$38,AN9,MIN(AN9+'Dashboard (2)'!$N$2,Inputs!$B$38))</f>
        <v>0.824102318495451</v>
      </c>
      <c r="AY9" s="24"/>
      <c r="AZ9" s="37"/>
      <c r="BA9" s="33" t="n">
        <f aca="false">SUM(BA6:BA8)</f>
        <v>27364</v>
      </c>
      <c r="BB9" s="33" t="n">
        <f aca="false">SUM(BB6:BB8)</f>
        <v>15559891.8860986</v>
      </c>
      <c r="BC9" s="34" t="n">
        <f aca="false">IF(AS9&gt;=Inputs!$B$38,AS9,MIN(AS9+'Dashboard (2)'!$N$2,Inputs!$B$38))</f>
        <v>0.616340373542995</v>
      </c>
      <c r="BD9" s="31" t="n">
        <f aca="false">BB9*BC9</f>
        <v>9590189.5773666</v>
      </c>
      <c r="BE9" s="31"/>
      <c r="BF9" s="31" t="n">
        <f aca="false">SUM(BF6:BF8)</f>
        <v>24282861.5798205</v>
      </c>
      <c r="BG9" s="31" t="n">
        <f aca="false">BF9*BH9</f>
        <v>20254391.1434324</v>
      </c>
      <c r="BH9" s="36" t="n">
        <f aca="false">IF(AX9&gt;=Inputs!$B$38,AX9,MIN(AX9+'Dashboard (2)'!$N$2,Inputs!$B$38))</f>
        <v>0.834102318495451</v>
      </c>
      <c r="BI9" s="24"/>
      <c r="BJ9" s="37"/>
      <c r="BK9" s="33" t="n">
        <f aca="false">SUM(BK6:BK8)</f>
        <v>28209</v>
      </c>
      <c r="BL9" s="33" t="n">
        <f aca="false">SUM(BL6:BL8)</f>
        <v>16534859.6521061</v>
      </c>
      <c r="BM9" s="34" t="n">
        <f aca="false">IF(BC9&gt;=Inputs!$B$38,BC9,MIN(BC9+'Dashboard (2)'!$N$2,Inputs!$B$38))</f>
        <v>0.626340373542995</v>
      </c>
      <c r="BN9" s="31" t="n">
        <f aca="false">BL9*BM9</f>
        <v>10356450.1709811</v>
      </c>
      <c r="BO9" s="31"/>
      <c r="BP9" s="31" t="n">
        <f aca="false">SUM(BP6:BP8)</f>
        <v>25804402.1843474</v>
      </c>
      <c r="BQ9" s="31" t="n">
        <f aca="false">BP9*BR9</f>
        <v>21781555.7111967</v>
      </c>
      <c r="BR9" s="36" t="n">
        <f aca="false">IF(BH9&gt;=Inputs!$B$38,BH9,MIN(BH9+'Dashboard (2)'!$N$2,Inputs!$B$38))</f>
        <v>0.844102318495451</v>
      </c>
    </row>
    <row r="10" customFormat="false" ht="17.25" hidden="false" customHeight="true" outlineLevel="0" collapsed="false">
      <c r="A10" s="23" t="s">
        <v>64</v>
      </c>
      <c r="B10" s="24" t="s">
        <v>59</v>
      </c>
      <c r="C10" s="25" t="n">
        <f aca="false">Dashboard!C6</f>
        <v>3098113.5036</v>
      </c>
      <c r="D10" s="25" t="n">
        <f aca="false">Dashboard!D6</f>
        <v>8485128.96</v>
      </c>
      <c r="E10" s="26" t="n">
        <f aca="false">Dashboard!E6</f>
        <v>0.365122736284258</v>
      </c>
      <c r="F10" s="24" t="n">
        <f aca="false">Dashboard!F6</f>
        <v>0</v>
      </c>
      <c r="G10" s="27" t="n">
        <f aca="false">Dashboard!G6</f>
        <v>159024.456</v>
      </c>
      <c r="H10" s="24" t="n">
        <f aca="false">Dashboard!H6</f>
        <v>0</v>
      </c>
      <c r="I10" s="28" t="n">
        <f aca="false">Dashboard!I6</f>
        <v>3257137.9596</v>
      </c>
      <c r="J10" s="29" t="s">
        <v>60</v>
      </c>
      <c r="K10" s="24" t="s">
        <v>65</v>
      </c>
      <c r="L10" s="31" t="n">
        <f aca="false">V10/(1+Inputs!$B$9)</f>
        <v>751.029293680297</v>
      </c>
      <c r="M10" s="30" t="n">
        <v>10336</v>
      </c>
      <c r="N10" s="31" t="n">
        <f aca="false">L10*M10</f>
        <v>7762638.77947955</v>
      </c>
      <c r="O10" s="30" t="n">
        <v>3056797.06</v>
      </c>
      <c r="P10" s="34" t="n">
        <f aca="false">O10/N10</f>
        <v>0.393783241348368</v>
      </c>
      <c r="Q10" s="38" t="n">
        <f aca="false">IFERROR(R10/(Inputs!C29+Inputs!C30),0)</f>
        <v>1212.69040247678</v>
      </c>
      <c r="R10" s="35" t="n">
        <f aca="false">Inputs!$C$14*Inputs!C29+Inputs!$C$15*Inputs!C30</f>
        <v>12534368</v>
      </c>
      <c r="S10" s="35" t="str">
        <f aca="false">IF(ISNUMBER(Dashboard!Q6),Dashboard!Q6,"no KPI data")</f>
        <v>no KPI data</v>
      </c>
      <c r="T10" s="39" t="s">
        <v>66</v>
      </c>
      <c r="U10" s="24" t="s">
        <v>65</v>
      </c>
      <c r="V10" s="31" t="n">
        <f aca="false">X10/W10</f>
        <v>788.580758364312</v>
      </c>
      <c r="W10" s="30" t="n">
        <v>10760</v>
      </c>
      <c r="X10" s="30" t="n">
        <v>8485128.96</v>
      </c>
      <c r="Y10" s="34" t="n">
        <f aca="false">Z10/X10</f>
        <v>0.383864284792202</v>
      </c>
      <c r="Z10" s="31" t="n">
        <f aca="false">Dashboard!I6</f>
        <v>3257137.9596</v>
      </c>
      <c r="AA10" s="40" t="n">
        <f aca="false">IFERROR(AB10/(Inputs!D29+Inputs!D30),0)</f>
        <v>1277.83985130112</v>
      </c>
      <c r="AB10" s="31" t="n">
        <f aca="false">Inputs!$C$14*(1+Inputs!$B$9)*Inputs!D29+Inputs!$C$15*(1+Inputs!$B$9)*Inputs!D30</f>
        <v>13749556.8</v>
      </c>
      <c r="AC10" s="31" t="str">
        <f aca="false">IF(ISNUMBER(S10),S10+Dashboard!G6/(1-Inputs!$B$18),"no KPI data")</f>
        <v>no KPI data</v>
      </c>
      <c r="AD10" s="39" t="s">
        <v>66</v>
      </c>
      <c r="AE10" s="24" t="s">
        <v>65</v>
      </c>
      <c r="AF10" s="31" t="n">
        <f aca="false">V10*(1+'Dashboard (2)'!$T$1)</f>
        <v>812.238181115242</v>
      </c>
      <c r="AG10" s="30" t="n">
        <f aca="false">Inputs!E29+Inputs!E30</f>
        <v>10972</v>
      </c>
      <c r="AH10" s="30" t="n">
        <f aca="false">AF10*AG10</f>
        <v>8911877.32319643</v>
      </c>
      <c r="AI10" s="34" t="n">
        <f aca="false">IF(Y10&gt;=Inputs!$B$38,Y10,MIN(Y10+'Dashboard (2)'!$N$2,Inputs!$B$38))</f>
        <v>0.393864284792202</v>
      </c>
      <c r="AJ10" s="31" t="n">
        <f aca="false">AH10*AI10</f>
        <v>3510070.18805661</v>
      </c>
      <c r="AK10" s="40" t="n">
        <f aca="false">IFERROR(AL10/(Inputs!E29+Inputs!E30),0)</f>
        <v>1319.6460634342</v>
      </c>
      <c r="AL10" s="31" t="n">
        <f aca="false">Inputs!$C$14*(1+Inputs!$B$9)*(1+'Dashboard (2)'!$T$1)*Inputs!E29+Inputs!$C$15*(1+Inputs!$B$9)*(1+'Dashboard (2)'!$T$1)*Inputs!E30</f>
        <v>14479156.608</v>
      </c>
      <c r="AM10" s="31" t="str">
        <f aca="false">IF(ISNUMBER(AC10),AC10*AJ10/Z10,"no KPI data")</f>
        <v>no KPI data</v>
      </c>
      <c r="AN10" s="39" t="s">
        <v>66</v>
      </c>
      <c r="AO10" s="24" t="s">
        <v>65</v>
      </c>
      <c r="AP10" s="31" t="n">
        <f aca="false">AF10*(1+'Dashboard (2)'!$T$1)</f>
        <v>836.605326548699</v>
      </c>
      <c r="AQ10" s="30" t="n">
        <f aca="false">Inputs!F29+Inputs!F30</f>
        <v>11280</v>
      </c>
      <c r="AR10" s="30" t="n">
        <f aca="false">AP10*AQ10</f>
        <v>9436908.08346933</v>
      </c>
      <c r="AS10" s="34" t="n">
        <f aca="false">IF(AI10&gt;=Inputs!$B$38,AI10,MIN(AI10+'Dashboard (2)'!$N$2,Inputs!$B$38))</f>
        <v>0.403864284792202</v>
      </c>
      <c r="AT10" s="31" t="n">
        <f aca="false">AR10*AS10</f>
        <v>3811230.13378009</v>
      </c>
      <c r="AU10" s="40" t="n">
        <f aca="false">IFERROR(AV10/(Inputs!F29+Inputs!F30),0)</f>
        <v>1362.35947519149</v>
      </c>
      <c r="AV10" s="31" t="n">
        <f aca="false">Inputs!$C$14*(1+Inputs!$B$9)*(1+'Dashboard (2)'!$T$1)*(1+'Dashboard (2)'!$T$1)*Inputs!F29+Inputs!$C$15*(1+Inputs!$B$9)*(1+'Dashboard (2)'!$T$1)*(1+'Dashboard (2)'!$T$1)*Inputs!F30</f>
        <v>15367414.88016</v>
      </c>
      <c r="AW10" s="31" t="str">
        <f aca="false">IF(ISNUMBER(AM10),AM10*AT10/AJ10,"no KPI data")</f>
        <v>no KPI data</v>
      </c>
      <c r="AX10" s="39" t="s">
        <v>66</v>
      </c>
      <c r="AY10" s="24" t="s">
        <v>65</v>
      </c>
      <c r="AZ10" s="31" t="n">
        <f aca="false">AP10*(1+'Dashboard (2)'!$T$1)</f>
        <v>861.70348634516</v>
      </c>
      <c r="BA10" s="30" t="n">
        <f aca="false">Inputs!G29+Inputs!G30</f>
        <v>11581</v>
      </c>
      <c r="BB10" s="30" t="n">
        <f aca="false">AZ10*BA10</f>
        <v>9979388.0753633</v>
      </c>
      <c r="BC10" s="34" t="n">
        <f aca="false">IF(AS10&gt;=Inputs!$B$38,AS10,MIN(AS10+'Dashboard (2)'!$N$2,Inputs!$B$38))</f>
        <v>0.413864284792202</v>
      </c>
      <c r="BD10" s="31" t="n">
        <f aca="false">BB10*BC10</f>
        <v>4130112.30847406</v>
      </c>
      <c r="BE10" s="40" t="n">
        <f aca="false">IFERROR(BF10/(Inputs!G29+Inputs!G30),0)</f>
        <v>1406.4611973051</v>
      </c>
      <c r="BF10" s="31" t="n">
        <f aca="false">Inputs!$C$14*(1+Inputs!$B$9)*(1+'Dashboard (2)'!$T$1)*(1+'Dashboard (2)'!$T$1)*(1+'Dashboard (2)'!$T$1)*Inputs!G29+Inputs!$C$15*(1+Inputs!$B$9)*(1+'Dashboard (2)'!$T$1)*(1+'Dashboard (2)'!$T$1)*(1+'Dashboard (2)'!$T$1)*Inputs!G30</f>
        <v>16288227.1259904</v>
      </c>
      <c r="BG10" s="31" t="str">
        <f aca="false">IF(ISNUMBER(AW10),AW10*BD10/AT10,"no KPI data")</f>
        <v>no KPI data</v>
      </c>
      <c r="BH10" s="39" t="s">
        <v>66</v>
      </c>
      <c r="BI10" s="24" t="s">
        <v>65</v>
      </c>
      <c r="BJ10" s="31" t="n">
        <f aca="false">AZ10*(1+'Dashboard (2)'!$T$1)</f>
        <v>887.554590935515</v>
      </c>
      <c r="BK10" s="30" t="n">
        <f aca="false">Inputs!H29+Inputs!H30</f>
        <v>11882</v>
      </c>
      <c r="BL10" s="30" t="n">
        <f aca="false">BJ10*BK10</f>
        <v>10545923.6494958</v>
      </c>
      <c r="BM10" s="34" t="n">
        <f aca="false">IF(BC10&gt;=Inputs!$B$38,BC10,MIN(BC10+'Dashboard (2)'!$N$2,Inputs!$B$38))</f>
        <v>0.423864284792202</v>
      </c>
      <c r="BN10" s="31" t="n">
        <f aca="false">BL10*BM10</f>
        <v>4470040.3851667</v>
      </c>
      <c r="BO10" s="40" t="n">
        <f aca="false">IFERROR(BP10/(Inputs!H29+Inputs!H30),0)</f>
        <v>1451.88113046582</v>
      </c>
      <c r="BP10" s="31" t="n">
        <f aca="false">Inputs!$C$14*(1+Inputs!$B$9)*(1+'Dashboard (2)'!$T$1)*(1+'Dashboard (2)'!$T$1)*(1+'Dashboard (2)'!$T$1)*(1+'Dashboard (2)'!$T$1)*Inputs!H29+Inputs!$C$15*(1+Inputs!$B$9)*(1+'Dashboard (2)'!$T$1)*(1+'Dashboard (2)'!$T$1)*(1+'Dashboard (2)'!$T$1)*(1+'Dashboard (2)'!$T$1)*Inputs!H30</f>
        <v>17251251.5921948</v>
      </c>
      <c r="BQ10" s="31" t="str">
        <f aca="false">IF(ISNUMBER(BG10),BG10*BN10/BD10,"no KPI data")</f>
        <v>no KPI data</v>
      </c>
      <c r="BR10" s="39" t="s">
        <v>66</v>
      </c>
    </row>
    <row r="11" customFormat="false" ht="17.25" hidden="false" customHeight="true" outlineLevel="0" collapsed="false">
      <c r="A11" s="23" t="s">
        <v>67</v>
      </c>
      <c r="B11" s="24" t="s">
        <v>68</v>
      </c>
      <c r="C11" s="25" t="n">
        <f aca="false">Dashboard!C7</f>
        <v>6062956.49</v>
      </c>
      <c r="D11" s="25" t="n">
        <f aca="false">Dashboard!D7</f>
        <v>12936000</v>
      </c>
      <c r="E11" s="26" t="n">
        <f aca="false">Dashboard!E7</f>
        <v>0.468688658781695</v>
      </c>
      <c r="F11" s="26" t="n">
        <f aca="false">Dashboard!F7</f>
        <v>0.018</v>
      </c>
      <c r="G11" s="25" t="n">
        <f aca="false">Dashboard!G7</f>
        <v>232848</v>
      </c>
      <c r="H11" s="26" t="n">
        <f aca="false">Dashboard!H7</f>
        <v>0.486688658781695</v>
      </c>
      <c r="I11" s="41" t="n">
        <f aca="false">Dashboard!I7</f>
        <v>6295804.49</v>
      </c>
      <c r="J11" s="24"/>
      <c r="K11" s="24" t="s">
        <v>68</v>
      </c>
      <c r="L11" s="31" t="n">
        <f aca="false">IUK!D14</f>
        <v>250</v>
      </c>
      <c r="M11" s="31" t="n">
        <f aca="false">IUK!D9</f>
        <v>47783</v>
      </c>
      <c r="N11" s="31" t="n">
        <f aca="false">L11*M11</f>
        <v>11945750</v>
      </c>
      <c r="O11" s="31" t="n">
        <f aca="false">IUK!D20</f>
        <v>5895486.21</v>
      </c>
      <c r="P11" s="34" t="n">
        <f aca="false">O11/N11</f>
        <v>0.493521646610719</v>
      </c>
      <c r="Q11" s="38" t="n">
        <f aca="false">Inputs!$C$13</f>
        <v>448</v>
      </c>
      <c r="R11" s="35" t="n">
        <f aca="false">Q11*M11</f>
        <v>21406784</v>
      </c>
      <c r="S11" s="35" t="n">
        <f aca="false">IF(ISNUMBER(Dashboard!Q7),Dashboard!Q7,"no KPI data")</f>
        <v>21418279</v>
      </c>
      <c r="T11" s="39" t="s">
        <v>66</v>
      </c>
      <c r="U11" s="24" t="s">
        <v>68</v>
      </c>
      <c r="V11" s="31" t="n">
        <f aca="false">IUK!E14</f>
        <v>262.5</v>
      </c>
      <c r="W11" s="31" t="n">
        <f aca="false">IUK!E9</f>
        <v>49280</v>
      </c>
      <c r="X11" s="31" t="n">
        <f aca="false">V11*W11</f>
        <v>12936000</v>
      </c>
      <c r="Y11" s="34" t="n">
        <f aca="false">Z11/X11</f>
        <v>0.486688658781695</v>
      </c>
      <c r="Z11" s="31" t="n">
        <f aca="false">IUK!E24</f>
        <v>6295804.49</v>
      </c>
      <c r="AA11" s="40" t="n">
        <f aca="false">Inputs!$C$13*(1+Inputs!$B$9)</f>
        <v>470.4</v>
      </c>
      <c r="AB11" s="31" t="n">
        <f aca="false">AA11*W11</f>
        <v>23181312</v>
      </c>
      <c r="AC11" s="31" t="n">
        <f aca="false">IF(ISNUMBER(S11),S11+Dashboard!G7/(1-Inputs!$B$18),"no KPI data")</f>
        <v>21776506.6923077</v>
      </c>
      <c r="AD11" s="39" t="s">
        <v>66</v>
      </c>
      <c r="AE11" s="24" t="s">
        <v>68</v>
      </c>
      <c r="AF11" s="31" t="n">
        <f aca="false">IUK!F14</f>
        <v>270.375</v>
      </c>
      <c r="AG11" s="31" t="n">
        <f aca="false">IUK!F9</f>
        <v>50202</v>
      </c>
      <c r="AH11" s="31" t="n">
        <f aca="false">AF11*AG11</f>
        <v>13573365.75</v>
      </c>
      <c r="AI11" s="34" t="n">
        <f aca="false">IF(Y11&gt;=Inputs!$B$38,Y11,MIN(Y11+'Dashboard (2)'!$N$2,Inputs!$B$38))</f>
        <v>0.496688658781695</v>
      </c>
      <c r="AJ11" s="31" t="n">
        <f aca="false">AH11*AI11</f>
        <v>6741736.82952089</v>
      </c>
      <c r="AK11" s="40" t="n">
        <f aca="false">Inputs!$C$13*(1+Inputs!$B$9)*(1+'Dashboard (2)'!$T$1)</f>
        <v>484.512</v>
      </c>
      <c r="AL11" s="31" t="n">
        <f aca="false">AK11*AG11</f>
        <v>24323471.424</v>
      </c>
      <c r="AM11" s="31" t="n">
        <f aca="false">IF(ISNUMBER(AC11),AC11*AJ11/Z11,"no KPI data")</f>
        <v>23318938.4166914</v>
      </c>
      <c r="AN11" s="39" t="s">
        <v>66</v>
      </c>
      <c r="AO11" s="24" t="s">
        <v>68</v>
      </c>
      <c r="AP11" s="31" t="n">
        <f aca="false">IUK!G14</f>
        <v>278.48625</v>
      </c>
      <c r="AQ11" s="31" t="n">
        <f aca="false">IUK!G9</f>
        <v>51096</v>
      </c>
      <c r="AR11" s="31" t="n">
        <f aca="false">AP11*AQ11</f>
        <v>14229533.43</v>
      </c>
      <c r="AS11" s="34" t="n">
        <f aca="false">IF(AI11&gt;=Inputs!$B$38,AI11,MIN(AI11+'Dashboard (2)'!$N$2,Inputs!$B$38))</f>
        <v>0.506688658781695</v>
      </c>
      <c r="AT11" s="31" t="n">
        <f aca="false">AR11*AS11</f>
        <v>7209943.20873599</v>
      </c>
      <c r="AU11" s="40" t="n">
        <f aca="false">Inputs!$C$13*(1+Inputs!$B$9)*(1+'Dashboard (2)'!$T$1)*(1+'Dashboard (2)'!$T$1)</f>
        <v>499.04736</v>
      </c>
      <c r="AV11" s="31" t="n">
        <f aca="false">AU11*AQ11</f>
        <v>25499323.90656</v>
      </c>
      <c r="AW11" s="31" t="n">
        <f aca="false">IF(ISNUMBER(AM11),AM11*AT11/AJ11,"no KPI data")</f>
        <v>24938413.6349186</v>
      </c>
      <c r="AX11" s="39" t="s">
        <v>66</v>
      </c>
      <c r="AY11" s="24" t="s">
        <v>68</v>
      </c>
      <c r="AZ11" s="31" t="n">
        <f aca="false">IUK!H14</f>
        <v>286.8408375</v>
      </c>
      <c r="BA11" s="31" t="n">
        <f aca="false">IUK!H9</f>
        <v>51963</v>
      </c>
      <c r="BB11" s="31" t="n">
        <f aca="false">AZ11*BA11</f>
        <v>14905110.4390125</v>
      </c>
      <c r="BC11" s="34" t="n">
        <f aca="false">IF(AS11&gt;=Inputs!$B$38,AS11,MIN(AS11+'Dashboard (2)'!$N$2,Inputs!$B$38))</f>
        <v>0.516688658781695</v>
      </c>
      <c r="BD11" s="31" t="n">
        <f aca="false">BB11*BC11</f>
        <v>7701301.5217264</v>
      </c>
      <c r="BE11" s="40" t="n">
        <f aca="false">Inputs!$C$13*(1+Inputs!$B$9)*(1+'Dashboard (2)'!$T$1)*(1+'Dashboard (2)'!$T$1)*(1+'Dashboard (2)'!$T$1)</f>
        <v>514.0187808</v>
      </c>
      <c r="BF11" s="31" t="n">
        <f aca="false">BE11*BA11</f>
        <v>26709957.9067104</v>
      </c>
      <c r="BG11" s="31" t="n">
        <f aca="false">IF(ISNUMBER(AW11),AW11*BD11/AT11,"no KPI data")</f>
        <v>26637968.8876512</v>
      </c>
      <c r="BH11" s="39" t="s">
        <v>66</v>
      </c>
      <c r="BI11" s="24" t="s">
        <v>68</v>
      </c>
      <c r="BJ11" s="31" t="n">
        <f aca="false">IUK!I14</f>
        <v>295.446062625</v>
      </c>
      <c r="BK11" s="31" t="n">
        <f aca="false">IUK!I9</f>
        <v>52804</v>
      </c>
      <c r="BL11" s="31" t="n">
        <f aca="false">BJ11*BK11</f>
        <v>15600733.8908505</v>
      </c>
      <c r="BM11" s="34" t="n">
        <f aca="false">IF(BC11&gt;=Inputs!$B$38,BC11,MIN(BC11+'Dashboard (2)'!$N$2,Inputs!$B$38))</f>
        <v>0.526688658781695</v>
      </c>
      <c r="BN11" s="31" t="n">
        <f aca="false">BL11*BM11</f>
        <v>8216729.60898218</v>
      </c>
      <c r="BO11" s="40" t="n">
        <f aca="false">Inputs!$C$13*(1+Inputs!$B$9)*(1+'Dashboard (2)'!$T$1)*(1+'Dashboard (2)'!$T$1)*(1+'Dashboard (2)'!$T$1)*(1+'Dashboard (2)'!$T$1)</f>
        <v>529.439344224</v>
      </c>
      <c r="BP11" s="31" t="n">
        <f aca="false">BO11*BK11</f>
        <v>27956515.1324041</v>
      </c>
      <c r="BQ11" s="31" t="n">
        <f aca="false">IF(ISNUMBER(BG11),BG11*BN11/BD11,"no KPI data")</f>
        <v>28420778.8858582</v>
      </c>
      <c r="BR11" s="39" t="s">
        <v>66</v>
      </c>
    </row>
    <row r="12" customFormat="false" ht="17.25" hidden="false" customHeight="true" outlineLevel="0" collapsed="false">
      <c r="A12" s="23" t="s">
        <v>69</v>
      </c>
      <c r="B12" s="24" t="s">
        <v>68</v>
      </c>
      <c r="C12" s="25" t="n">
        <f aca="false">Dashboard!C8</f>
        <v>2973279.33</v>
      </c>
      <c r="D12" s="25" t="n">
        <f aca="false">Dashboard!D8</f>
        <v>4957575</v>
      </c>
      <c r="E12" s="26" t="n">
        <f aca="false">Dashboard!E8</f>
        <v>0.599744699777613</v>
      </c>
      <c r="F12" s="26" t="n">
        <f aca="false">Dashboard!F8</f>
        <v>0.018</v>
      </c>
      <c r="G12" s="25" t="n">
        <f aca="false">Dashboard!G8</f>
        <v>89236.35</v>
      </c>
      <c r="H12" s="26" t="n">
        <f aca="false">Dashboard!H8</f>
        <v>0.617744699777613</v>
      </c>
      <c r="I12" s="41" t="n">
        <f aca="false">Dashboard!I8</f>
        <v>3062515.68</v>
      </c>
      <c r="J12" s="24"/>
      <c r="K12" s="24" t="s">
        <v>68</v>
      </c>
      <c r="L12" s="31" t="n">
        <f aca="false">UMI!D14</f>
        <v>250</v>
      </c>
      <c r="M12" s="31" t="n">
        <f aca="false">UMI!D9</f>
        <v>18542</v>
      </c>
      <c r="N12" s="31" t="n">
        <f aca="false">L12*M12</f>
        <v>4635500</v>
      </c>
      <c r="O12" s="31" t="n">
        <f aca="false">UMI!D20</f>
        <v>2445335.24</v>
      </c>
      <c r="P12" s="34" t="n">
        <f aca="false">O12/N12</f>
        <v>0.52752351202675</v>
      </c>
      <c r="Q12" s="38" t="n">
        <f aca="false">Inputs!$C$13</f>
        <v>448</v>
      </c>
      <c r="R12" s="35" t="n">
        <f aca="false">Q12*M12</f>
        <v>8306816</v>
      </c>
      <c r="S12" s="35" t="str">
        <f aca="false">IF(ISNUMBER(Dashboard!Q8),Dashboard!Q8,"no KPI data")</f>
        <v>no KPI data</v>
      </c>
      <c r="T12" s="39" t="s">
        <v>66</v>
      </c>
      <c r="U12" s="24" t="s">
        <v>68</v>
      </c>
      <c r="V12" s="31" t="n">
        <f aca="false">UMI!E14</f>
        <v>262.5</v>
      </c>
      <c r="W12" s="31" t="n">
        <f aca="false">UMI!E9</f>
        <v>18886</v>
      </c>
      <c r="X12" s="31" t="n">
        <f aca="false">V12*W12</f>
        <v>4957575</v>
      </c>
      <c r="Y12" s="34" t="n">
        <f aca="false">Z12/X12</f>
        <v>0.617744699777613</v>
      </c>
      <c r="Z12" s="31" t="n">
        <f aca="false">UMI!E24</f>
        <v>3062515.68</v>
      </c>
      <c r="AA12" s="40" t="n">
        <f aca="false">Inputs!$C$13*(1+Inputs!$B$9)</f>
        <v>470.4</v>
      </c>
      <c r="AB12" s="31" t="n">
        <f aca="false">AA12*W12</f>
        <v>8883974.4</v>
      </c>
      <c r="AC12" s="31" t="str">
        <f aca="false">IF(ISNUMBER(S12),S12+Dashboard!G8/(1-Inputs!$B$18),"no KPI data")</f>
        <v>no KPI data</v>
      </c>
      <c r="AD12" s="39" t="s">
        <v>66</v>
      </c>
      <c r="AE12" s="24" t="s">
        <v>68</v>
      </c>
      <c r="AF12" s="31" t="n">
        <f aca="false">UMI!F14</f>
        <v>270.375</v>
      </c>
      <c r="AG12" s="31" t="n">
        <f aca="false">UMI!F9</f>
        <v>19319</v>
      </c>
      <c r="AH12" s="31" t="n">
        <f aca="false">AF12*AG12</f>
        <v>5223374.625</v>
      </c>
      <c r="AI12" s="34" t="n">
        <f aca="false">IF(Y12&gt;=Inputs!$B$38,Y12,MIN(Y12+'Dashboard (2)'!$N$2,Inputs!$B$38))</f>
        <v>0.627744699777613</v>
      </c>
      <c r="AJ12" s="31" t="n">
        <f aca="false">AH12*AI12</f>
        <v>3278945.73579663</v>
      </c>
      <c r="AK12" s="40" t="n">
        <f aca="false">Inputs!$C$13*(1+Inputs!$B$9)*(1+'Dashboard (2)'!$T$1)</f>
        <v>484.512</v>
      </c>
      <c r="AL12" s="31" t="n">
        <f aca="false">AK12*AG12</f>
        <v>9360287.328</v>
      </c>
      <c r="AM12" s="31" t="str">
        <f aca="false">IF(ISNUMBER(AC12),AC12*AJ12/Z12,"no KPI data")</f>
        <v>no KPI data</v>
      </c>
      <c r="AN12" s="39" t="s">
        <v>66</v>
      </c>
      <c r="AO12" s="24" t="s">
        <v>68</v>
      </c>
      <c r="AP12" s="31" t="n">
        <f aca="false">UMI!G14</f>
        <v>278.48625</v>
      </c>
      <c r="AQ12" s="31" t="n">
        <f aca="false">UMI!G9</f>
        <v>19669</v>
      </c>
      <c r="AR12" s="31" t="n">
        <f aca="false">AP12*AQ12</f>
        <v>5477546.05125</v>
      </c>
      <c r="AS12" s="34" t="n">
        <f aca="false">IF(AI12&gt;=Inputs!$B$38,AI12,MIN(AI12+'Dashboard (2)'!$N$2,Inputs!$B$38))</f>
        <v>0.637744699777613</v>
      </c>
      <c r="AT12" s="31" t="n">
        <f aca="false">AR12*AS12</f>
        <v>3493275.96197248</v>
      </c>
      <c r="AU12" s="40" t="n">
        <f aca="false">Inputs!$C$13*(1+Inputs!$B$9)*(1+'Dashboard (2)'!$T$1)*(1+'Dashboard (2)'!$T$1)</f>
        <v>499.04736</v>
      </c>
      <c r="AV12" s="31" t="n">
        <f aca="false">AU12*AQ12</f>
        <v>9815762.52384</v>
      </c>
      <c r="AW12" s="31" t="str">
        <f aca="false">IF(ISNUMBER(AM12),AM12*AT12/AJ12,"no KPI data")</f>
        <v>no KPI data</v>
      </c>
      <c r="AX12" s="39" t="s">
        <v>66</v>
      </c>
      <c r="AY12" s="24" t="s">
        <v>68</v>
      </c>
      <c r="AZ12" s="31" t="n">
        <f aca="false">UMI!H14</f>
        <v>286.8408375</v>
      </c>
      <c r="BA12" s="31" t="n">
        <f aca="false">UMI!H9</f>
        <v>20009</v>
      </c>
      <c r="BB12" s="31" t="n">
        <f aca="false">AZ12*BA12</f>
        <v>5739398.3175375</v>
      </c>
      <c r="BC12" s="34" t="n">
        <f aca="false">IF(AS12&gt;=Inputs!$B$38,AS12,MIN(AS12+'Dashboard (2)'!$N$2,Inputs!$B$38))</f>
        <v>0.647744699777613</v>
      </c>
      <c r="BD12" s="31" t="n">
        <f aca="false">BB12*BC12</f>
        <v>3717664.84009747</v>
      </c>
      <c r="BE12" s="40" t="n">
        <f aca="false">Inputs!$C$13*(1+Inputs!$B$9)*(1+'Dashboard (2)'!$T$1)*(1+'Dashboard (2)'!$T$1)*(1+'Dashboard (2)'!$T$1)</f>
        <v>514.0187808</v>
      </c>
      <c r="BF12" s="31" t="n">
        <f aca="false">BE12*BA12</f>
        <v>10285001.7850272</v>
      </c>
      <c r="BG12" s="31" t="str">
        <f aca="false">IF(ISNUMBER(AW12),AW12*BD12/AT12,"no KPI data")</f>
        <v>no KPI data</v>
      </c>
      <c r="BH12" s="39" t="s">
        <v>66</v>
      </c>
      <c r="BI12" s="24" t="s">
        <v>68</v>
      </c>
      <c r="BJ12" s="31" t="n">
        <f aca="false">UMI!I14</f>
        <v>295.446062625</v>
      </c>
      <c r="BK12" s="31" t="n">
        <f aca="false">UMI!I9</f>
        <v>20339</v>
      </c>
      <c r="BL12" s="31" t="n">
        <f aca="false">BJ12*BK12</f>
        <v>6009077.46772987</v>
      </c>
      <c r="BM12" s="34" t="n">
        <f aca="false">IF(BC12&gt;=Inputs!$B$38,BC12,MIN(BC12+'Dashboard (2)'!$N$2,Inputs!$B$38))</f>
        <v>0.657744699777613</v>
      </c>
      <c r="BN12" s="31" t="n">
        <f aca="false">BL12*BM12</f>
        <v>3952438.85495241</v>
      </c>
      <c r="BO12" s="40" t="n">
        <f aca="false">Inputs!$C$13*(1+Inputs!$B$9)*(1+'Dashboard (2)'!$T$1)*(1+'Dashboard (2)'!$T$1)*(1+'Dashboard (2)'!$T$1)*(1+'Dashboard (2)'!$T$1)</f>
        <v>529.439344224</v>
      </c>
      <c r="BP12" s="31" t="n">
        <f aca="false">BO12*BK12</f>
        <v>10768266.8221719</v>
      </c>
      <c r="BQ12" s="31" t="str">
        <f aca="false">IF(ISNUMBER(BG12),BG12*BN12/BD12,"no KPI data")</f>
        <v>no KPI data</v>
      </c>
      <c r="BR12" s="39" t="s">
        <v>66</v>
      </c>
    </row>
    <row r="13" customFormat="false" ht="17.25" hidden="false" customHeight="true" outlineLevel="0" collapsed="false">
      <c r="A13" s="23" t="s">
        <v>70</v>
      </c>
      <c r="B13" s="24" t="s">
        <v>68</v>
      </c>
      <c r="C13" s="25" t="n">
        <f aca="false">Dashboard!C9</f>
        <v>1764799.75</v>
      </c>
      <c r="D13" s="25" t="n">
        <f aca="false">Dashboard!D9</f>
        <v>2129137.5</v>
      </c>
      <c r="E13" s="26" t="n">
        <f aca="false">Dashboard!E9</f>
        <v>0.828880121645502</v>
      </c>
      <c r="F13" s="26" t="n">
        <f aca="false">Dashboard!F9</f>
        <v>0.018</v>
      </c>
      <c r="G13" s="25" t="n">
        <f aca="false">Dashboard!G9</f>
        <v>38324.475</v>
      </c>
      <c r="H13" s="26" t="n">
        <f aca="false">Dashboard!H9</f>
        <v>0.846880121645502</v>
      </c>
      <c r="I13" s="41" t="n">
        <f aca="false">Dashboard!I9</f>
        <v>1803124.225</v>
      </c>
      <c r="J13" s="24"/>
      <c r="K13" s="24" t="s">
        <v>68</v>
      </c>
      <c r="L13" s="31" t="n">
        <f aca="false">NORWAY!D14</f>
        <v>250</v>
      </c>
      <c r="M13" s="31" t="n">
        <f aca="false">NORWAY!D9</f>
        <v>7929</v>
      </c>
      <c r="N13" s="31" t="n">
        <f aca="false">L13*M13</f>
        <v>1982250</v>
      </c>
      <c r="O13" s="31" t="n">
        <f aca="false">NORWAY!D20</f>
        <v>1471434.21</v>
      </c>
      <c r="P13" s="34" t="n">
        <f aca="false">O13/N13</f>
        <v>0.742305062429058</v>
      </c>
      <c r="Q13" s="38" t="n">
        <f aca="false">Inputs!$C$13</f>
        <v>448</v>
      </c>
      <c r="R13" s="35" t="n">
        <f aca="false">Q13*M13</f>
        <v>3552192</v>
      </c>
      <c r="S13" s="35" t="n">
        <f aca="false">IF(ISNUMBER(Dashboard!Q9),Dashboard!Q9,"no KPI data")</f>
        <v>5248795</v>
      </c>
      <c r="T13" s="39" t="s">
        <v>66</v>
      </c>
      <c r="U13" s="24" t="s">
        <v>68</v>
      </c>
      <c r="V13" s="31" t="n">
        <f aca="false">NORWAY!E14</f>
        <v>262.5</v>
      </c>
      <c r="W13" s="31" t="n">
        <f aca="false">NORWAY!E9</f>
        <v>8111</v>
      </c>
      <c r="X13" s="31" t="n">
        <f aca="false">V13*W13</f>
        <v>2129137.5</v>
      </c>
      <c r="Y13" s="34" t="n">
        <f aca="false">Z13/X13</f>
        <v>0.846880121645502</v>
      </c>
      <c r="Z13" s="31" t="n">
        <f aca="false">NORWAY!E24</f>
        <v>1803124.225</v>
      </c>
      <c r="AA13" s="40" t="n">
        <f aca="false">Inputs!$C$13*(1+Inputs!$B$9)</f>
        <v>470.4</v>
      </c>
      <c r="AB13" s="31" t="n">
        <f aca="false">AA13*W13</f>
        <v>3815414.4</v>
      </c>
      <c r="AC13" s="31" t="n">
        <f aca="false">IF(ISNUMBER(S13),S13+Dashboard!G9/(1-Inputs!$B$18),"no KPI data")</f>
        <v>5307755.73076923</v>
      </c>
      <c r="AD13" s="39" t="s">
        <v>66</v>
      </c>
      <c r="AE13" s="24" t="s">
        <v>68</v>
      </c>
      <c r="AF13" s="31" t="n">
        <f aca="false">NORWAY!F14</f>
        <v>270.375</v>
      </c>
      <c r="AG13" s="31" t="n">
        <f aca="false">NORWAY!F9</f>
        <v>8218</v>
      </c>
      <c r="AH13" s="31" t="n">
        <f aca="false">AF13*AG13</f>
        <v>2221941.75</v>
      </c>
      <c r="AI13" s="34" t="n">
        <f aca="false">IF(Y13&gt;=Inputs!$B$38,Y13,MIN(Y13+'Dashboard (2)'!$N$2,Inputs!$B$38))</f>
        <v>0.856880121645502</v>
      </c>
      <c r="AJ13" s="31" t="n">
        <f aca="false">AH13*AI13</f>
        <v>1903937.71702922</v>
      </c>
      <c r="AK13" s="40" t="n">
        <f aca="false">Inputs!$C$13*(1+Inputs!$B$9)*(1+'Dashboard (2)'!$T$1)</f>
        <v>484.512</v>
      </c>
      <c r="AL13" s="31" t="n">
        <f aca="false">AK13*AG13</f>
        <v>3981719.616</v>
      </c>
      <c r="AM13" s="31" t="n">
        <f aca="false">IF(ISNUMBER(AC13),AC13*AJ13/Z13,"no KPI data")</f>
        <v>5604514.75748407</v>
      </c>
      <c r="AN13" s="39" t="s">
        <v>66</v>
      </c>
      <c r="AO13" s="24" t="s">
        <v>68</v>
      </c>
      <c r="AP13" s="31" t="n">
        <f aca="false">NORWAY!G14</f>
        <v>278.48625</v>
      </c>
      <c r="AQ13" s="31" t="n">
        <f aca="false">NORWAY!G9</f>
        <v>8426</v>
      </c>
      <c r="AR13" s="31" t="n">
        <f aca="false">AP13*AQ13</f>
        <v>2346525.1425</v>
      </c>
      <c r="AS13" s="34" t="n">
        <f aca="false">IF(AI13&gt;=Inputs!$B$38,AI13,MIN(AI13+'Dashboard (2)'!$N$2,Inputs!$B$38))</f>
        <v>0.866880121645502</v>
      </c>
      <c r="AT13" s="31" t="n">
        <f aca="false">AR13*AS13</f>
        <v>2034156.00097463</v>
      </c>
      <c r="AU13" s="40" t="n">
        <f aca="false">Inputs!$C$13*(1+Inputs!$B$9)*(1+'Dashboard (2)'!$T$1)*(1+'Dashboard (2)'!$T$1)</f>
        <v>499.04736</v>
      </c>
      <c r="AV13" s="31" t="n">
        <f aca="false">AU13*AQ13</f>
        <v>4204973.05536</v>
      </c>
      <c r="AW13" s="31" t="n">
        <f aca="false">IF(ISNUMBER(AM13),AM13*AT13/AJ13,"no KPI data")</f>
        <v>5987831.02226454</v>
      </c>
      <c r="AX13" s="39" t="s">
        <v>66</v>
      </c>
      <c r="AY13" s="24" t="s">
        <v>68</v>
      </c>
      <c r="AZ13" s="31" t="n">
        <f aca="false">NORWAY!H14</f>
        <v>286.8408375</v>
      </c>
      <c r="BA13" s="31" t="n">
        <f aca="false">NORWAY!H9</f>
        <v>8628</v>
      </c>
      <c r="BB13" s="31" t="n">
        <f aca="false">AZ13*BA13</f>
        <v>2474862.74595</v>
      </c>
      <c r="BC13" s="34" t="n">
        <f aca="false">IF(AS13&gt;=Inputs!$B$38,AS13,MIN(AS13+'Dashboard (2)'!$N$2,Inputs!$B$38))</f>
        <v>0.876880121645502</v>
      </c>
      <c r="BD13" s="31" t="n">
        <f aca="false">BB13*BC13</f>
        <v>2170157.94572456</v>
      </c>
      <c r="BE13" s="40" t="n">
        <f aca="false">Inputs!$C$13*(1+Inputs!$B$9)*(1+'Dashboard (2)'!$T$1)*(1+'Dashboard (2)'!$T$1)*(1+'Dashboard (2)'!$T$1)</f>
        <v>514.0187808</v>
      </c>
      <c r="BF13" s="31" t="n">
        <f aca="false">BE13*BA13</f>
        <v>4434954.0407424</v>
      </c>
      <c r="BG13" s="31" t="n">
        <f aca="false">IF(ISNUMBER(AW13),AW13*BD13/AT13,"no KPI data")</f>
        <v>6388172.3252284</v>
      </c>
      <c r="BH13" s="39" t="s">
        <v>66</v>
      </c>
      <c r="BI13" s="24" t="s">
        <v>68</v>
      </c>
      <c r="BJ13" s="31" t="n">
        <f aca="false">NORWAY!I14</f>
        <v>295.446062625</v>
      </c>
      <c r="BK13" s="31" t="n">
        <f aca="false">NORWAY!I9</f>
        <v>8824</v>
      </c>
      <c r="BL13" s="31" t="n">
        <f aca="false">BJ13*BK13</f>
        <v>2607016.056603</v>
      </c>
      <c r="BM13" s="34" t="n">
        <f aca="false">IF(BC13&gt;=Inputs!$B$38,BC13,MIN(BC13+'Dashboard (2)'!$N$2,Inputs!$B$38))</f>
        <v>0.886880121645502</v>
      </c>
      <c r="BN13" s="31" t="n">
        <f aca="false">BL13*BM13</f>
        <v>2312110.71741185</v>
      </c>
      <c r="BO13" s="40" t="n">
        <f aca="false">Inputs!$C$13*(1+Inputs!$B$9)*(1+'Dashboard (2)'!$T$1)*(1+'Dashboard (2)'!$T$1)*(1+'Dashboard (2)'!$T$1)*(1+'Dashboard (2)'!$T$1)</f>
        <v>529.439344224</v>
      </c>
      <c r="BP13" s="31" t="n">
        <f aca="false">BO13*BK13</f>
        <v>4671772.77343258</v>
      </c>
      <c r="BQ13" s="31" t="n">
        <f aca="false">IF(ISNUMBER(BG13),BG13*BN13/BD13,"no KPI data")</f>
        <v>6806030.74395259</v>
      </c>
      <c r="BR13" s="39" t="s">
        <v>66</v>
      </c>
    </row>
    <row r="14" customFormat="false" ht="17.25" hidden="false" customHeight="true" outlineLevel="0" collapsed="false">
      <c r="A14" s="23" t="s">
        <v>71</v>
      </c>
      <c r="B14" s="24" t="s">
        <v>68</v>
      </c>
      <c r="C14" s="25" t="n">
        <f aca="false">Dashboard!C10</f>
        <v>1464302.33</v>
      </c>
      <c r="D14" s="25" t="n">
        <f aca="false">Dashboard!D10</f>
        <v>2386125</v>
      </c>
      <c r="E14" s="26" t="n">
        <f aca="false">Dashboard!E10</f>
        <v>0.613673772329614</v>
      </c>
      <c r="F14" s="26" t="n">
        <f aca="false">Dashboard!F10</f>
        <v>0.018</v>
      </c>
      <c r="G14" s="25" t="n">
        <f aca="false">Dashboard!G10</f>
        <v>42950.25</v>
      </c>
      <c r="H14" s="26" t="n">
        <f aca="false">Dashboard!H10</f>
        <v>0.631673772329614</v>
      </c>
      <c r="I14" s="41" t="n">
        <f aca="false">Dashboard!I10</f>
        <v>1507252.58</v>
      </c>
      <c r="J14" s="24"/>
      <c r="K14" s="24" t="s">
        <v>68</v>
      </c>
      <c r="L14" s="31" t="n">
        <f aca="false">SWEDEN!D14</f>
        <v>250</v>
      </c>
      <c r="M14" s="31" t="n">
        <f aca="false">SWEDEN!D9</f>
        <v>8443</v>
      </c>
      <c r="N14" s="31" t="n">
        <f aca="false">L14*M14</f>
        <v>2110750</v>
      </c>
      <c r="O14" s="31" t="n">
        <f aca="false">SWEDEN!D20</f>
        <v>1298275.99</v>
      </c>
      <c r="P14" s="34" t="n">
        <f aca="false">O14/N14</f>
        <v>0.615078048087173</v>
      </c>
      <c r="Q14" s="38" t="n">
        <f aca="false">Inputs!$C$13</f>
        <v>448</v>
      </c>
      <c r="R14" s="35" t="n">
        <f aca="false">Q14*M14</f>
        <v>3782464</v>
      </c>
      <c r="S14" s="35" t="n">
        <f aca="false">IF(ISNUMBER(Dashboard!Q10),Dashboard!Q10,"no KPI data")</f>
        <v>3154222</v>
      </c>
      <c r="T14" s="39" t="s">
        <v>66</v>
      </c>
      <c r="U14" s="24" t="s">
        <v>68</v>
      </c>
      <c r="V14" s="31" t="n">
        <f aca="false">SWEDEN!E14</f>
        <v>262.5</v>
      </c>
      <c r="W14" s="31" t="n">
        <f aca="false">SWEDEN!E9</f>
        <v>9090</v>
      </c>
      <c r="X14" s="31" t="n">
        <f aca="false">V14*W14</f>
        <v>2386125</v>
      </c>
      <c r="Y14" s="34" t="n">
        <f aca="false">Z14/X14</f>
        <v>0.631673772329614</v>
      </c>
      <c r="Z14" s="31" t="n">
        <f aca="false">SWEDEN!E24</f>
        <v>1507252.58</v>
      </c>
      <c r="AA14" s="40" t="n">
        <f aca="false">Inputs!$C$13*(1+Inputs!$B$9)</f>
        <v>470.4</v>
      </c>
      <c r="AB14" s="31" t="n">
        <f aca="false">AA14*W14</f>
        <v>4275936</v>
      </c>
      <c r="AC14" s="31" t="n">
        <f aca="false">IF(ISNUMBER(S14),S14+Dashboard!G10/(1-Inputs!$B$18),"no KPI data")</f>
        <v>3220299.30769231</v>
      </c>
      <c r="AD14" s="39" t="s">
        <v>66</v>
      </c>
      <c r="AE14" s="24" t="s">
        <v>68</v>
      </c>
      <c r="AF14" s="31" t="n">
        <f aca="false">SWEDEN!F14</f>
        <v>270.375</v>
      </c>
      <c r="AG14" s="31" t="n">
        <f aca="false">SWEDEN!F9</f>
        <v>9737</v>
      </c>
      <c r="AH14" s="31" t="n">
        <f aca="false">AF14*AG14</f>
        <v>2632641.375</v>
      </c>
      <c r="AI14" s="34" t="n">
        <f aca="false">IF(Y14&gt;=Inputs!$B$38,Y14,MIN(Y14+'Dashboard (2)'!$N$2,Inputs!$B$38))</f>
        <v>0.641673772329614</v>
      </c>
      <c r="AJ14" s="31" t="n">
        <f aca="false">AH14*AI14</f>
        <v>1689296.92228727</v>
      </c>
      <c r="AK14" s="40" t="n">
        <f aca="false">Inputs!$C$13*(1+Inputs!$B$9)*(1+'Dashboard (2)'!$T$1)</f>
        <v>484.512</v>
      </c>
      <c r="AL14" s="31" t="n">
        <f aca="false">AK14*AG14</f>
        <v>4717693.344</v>
      </c>
      <c r="AM14" s="31" t="n">
        <f aca="false">IF(ISNUMBER(AC14),AC14*AJ14/Z14,"no KPI data")</f>
        <v>3609243.58764637</v>
      </c>
      <c r="AN14" s="39" t="s">
        <v>66</v>
      </c>
      <c r="AO14" s="24" t="s">
        <v>68</v>
      </c>
      <c r="AP14" s="31" t="n">
        <f aca="false">SWEDEN!G14</f>
        <v>278.48625</v>
      </c>
      <c r="AQ14" s="31" t="n">
        <f aca="false">SWEDEN!G9</f>
        <v>10320</v>
      </c>
      <c r="AR14" s="31" t="n">
        <f aca="false">AP14*AQ14</f>
        <v>2873978.1</v>
      </c>
      <c r="AS14" s="34" t="n">
        <f aca="false">IF(AI14&gt;=Inputs!$B$38,AI14,MIN(AI14+'Dashboard (2)'!$N$2,Inputs!$B$38))</f>
        <v>0.651673772329614</v>
      </c>
      <c r="AT14" s="31" t="n">
        <f aca="false">AR14*AS14</f>
        <v>1872896.1500197</v>
      </c>
      <c r="AU14" s="40" t="n">
        <f aca="false">Inputs!$C$13*(1+Inputs!$B$9)*(1+'Dashboard (2)'!$T$1)*(1+'Dashboard (2)'!$T$1)</f>
        <v>499.04736</v>
      </c>
      <c r="AV14" s="31" t="n">
        <f aca="false">AU14*AQ14</f>
        <v>5150168.7552</v>
      </c>
      <c r="AW14" s="31" t="n">
        <f aca="false">IF(ISNUMBER(AM14),AM14*AT14/AJ14,"no KPI data")</f>
        <v>4001509.93623644</v>
      </c>
      <c r="AX14" s="39" t="s">
        <v>66</v>
      </c>
      <c r="AY14" s="24" t="s">
        <v>68</v>
      </c>
      <c r="AZ14" s="31" t="n">
        <f aca="false">SWEDEN!H14</f>
        <v>286.8408375</v>
      </c>
      <c r="BA14" s="31" t="n">
        <f aca="false">SWEDEN!H9</f>
        <v>10885</v>
      </c>
      <c r="BB14" s="31" t="n">
        <f aca="false">AZ14*BA14</f>
        <v>3122262.5161875</v>
      </c>
      <c r="BC14" s="34" t="n">
        <f aca="false">IF(AS14&gt;=Inputs!$B$38,AS14,MIN(AS14+'Dashboard (2)'!$N$2,Inputs!$B$38))</f>
        <v>0.661673772329614</v>
      </c>
      <c r="BD14" s="31" t="n">
        <f aca="false">BB14*BC14</f>
        <v>2065919.21728914</v>
      </c>
      <c r="BE14" s="40" t="n">
        <f aca="false">Inputs!$C$13*(1+Inputs!$B$9)*(1+'Dashboard (2)'!$T$1)*(1+'Dashboard (2)'!$T$1)*(1+'Dashboard (2)'!$T$1)</f>
        <v>514.0187808</v>
      </c>
      <c r="BF14" s="31" t="n">
        <f aca="false">BE14*BA14</f>
        <v>5595094.429008</v>
      </c>
      <c r="BG14" s="31" t="n">
        <f aca="false">IF(ISNUMBER(AW14),AW14*BD14/AT14,"no KPI data")</f>
        <v>4413910.6566893</v>
      </c>
      <c r="BH14" s="39" t="s">
        <v>66</v>
      </c>
      <c r="BI14" s="24" t="s">
        <v>68</v>
      </c>
      <c r="BJ14" s="31" t="n">
        <f aca="false">SWEDEN!I14</f>
        <v>295.446062625</v>
      </c>
      <c r="BK14" s="31" t="n">
        <f aca="false">SWEDEN!I9</f>
        <v>11433</v>
      </c>
      <c r="BL14" s="31" t="n">
        <f aca="false">BJ14*BK14</f>
        <v>3377834.83399162</v>
      </c>
      <c r="BM14" s="34" t="n">
        <f aca="false">IF(BC14&gt;=Inputs!$B$38,BC14,MIN(BC14+'Dashboard (2)'!$N$2,Inputs!$B$38))</f>
        <v>0.671673772329614</v>
      </c>
      <c r="BN14" s="31" t="n">
        <f aca="false">BL14*BM14</f>
        <v>2268803.06525353</v>
      </c>
      <c r="BO14" s="40" t="n">
        <f aca="false">Inputs!$C$13*(1+Inputs!$B$9)*(1+'Dashboard (2)'!$T$1)*(1+'Dashboard (2)'!$T$1)*(1+'Dashboard (2)'!$T$1)*(1+'Dashboard (2)'!$T$1)</f>
        <v>529.439344224</v>
      </c>
      <c r="BP14" s="31" t="n">
        <f aca="false">BO14*BK14</f>
        <v>6053080.02251299</v>
      </c>
      <c r="BQ14" s="31" t="n">
        <f aca="false">IF(ISNUMBER(BG14),BG14*BN14/BD14,"no KPI data")</f>
        <v>4847379.28949249</v>
      </c>
      <c r="BR14" s="39" t="s">
        <v>66</v>
      </c>
    </row>
    <row r="15" customFormat="false" ht="17.25" hidden="false" customHeight="true" outlineLevel="0" collapsed="false">
      <c r="A15" s="23" t="s">
        <v>72</v>
      </c>
      <c r="B15" s="24" t="s">
        <v>68</v>
      </c>
      <c r="C15" s="25" t="n">
        <f aca="false">Dashboard!C11</f>
        <v>349600</v>
      </c>
      <c r="D15" s="25" t="n">
        <f aca="false">Dashboard!D11</f>
        <v>1047900</v>
      </c>
      <c r="E15" s="26" t="n">
        <f aca="false">Dashboard!E11</f>
        <v>0.333619620192767</v>
      </c>
      <c r="F15" s="26" t="n">
        <f aca="false">Dashboard!F11</f>
        <v>0.018</v>
      </c>
      <c r="G15" s="25" t="n">
        <f aca="false">Dashboard!G11</f>
        <v>18862.2</v>
      </c>
      <c r="H15" s="26" t="n">
        <f aca="false">Dashboard!H11</f>
        <v>0.351619620192767</v>
      </c>
      <c r="I15" s="41" t="n">
        <f aca="false">Dashboard!I11</f>
        <v>368462.2</v>
      </c>
      <c r="J15" s="24"/>
      <c r="K15" s="24" t="s">
        <v>68</v>
      </c>
      <c r="L15" s="31" t="n">
        <f aca="false">HUNGARY!D14</f>
        <v>250</v>
      </c>
      <c r="M15" s="31" t="n">
        <f aca="false">HUNGARY!D9</f>
        <v>3734</v>
      </c>
      <c r="N15" s="31" t="n">
        <f aca="false">L15*M15</f>
        <v>933500</v>
      </c>
      <c r="O15" s="31" t="n">
        <f aca="false">HUNGARY!D20</f>
        <v>346246.24</v>
      </c>
      <c r="P15" s="34" t="n">
        <f aca="false">O15/N15</f>
        <v>0.370911880021425</v>
      </c>
      <c r="Q15" s="38" t="n">
        <f aca="false">Inputs!$C$13</f>
        <v>448</v>
      </c>
      <c r="R15" s="35" t="n">
        <f aca="false">Q15*M15</f>
        <v>1672832</v>
      </c>
      <c r="S15" s="35" t="str">
        <f aca="false">IF(ISNUMBER(Dashboard!Q11),Dashboard!Q11,"no KPI data")</f>
        <v>no KPI data</v>
      </c>
      <c r="T15" s="39" t="s">
        <v>66</v>
      </c>
      <c r="U15" s="24" t="s">
        <v>68</v>
      </c>
      <c r="V15" s="31" t="n">
        <f aca="false">HUNGARY!E14</f>
        <v>262.5</v>
      </c>
      <c r="W15" s="31" t="n">
        <f aca="false">HUNGARY!E9</f>
        <v>3992</v>
      </c>
      <c r="X15" s="31" t="n">
        <f aca="false">V15*W15</f>
        <v>1047900</v>
      </c>
      <c r="Y15" s="34" t="n">
        <f aca="false">Z15/X15</f>
        <v>0.351619620192767</v>
      </c>
      <c r="Z15" s="31" t="n">
        <f aca="false">HUNGARY!E24</f>
        <v>368462.2</v>
      </c>
      <c r="AA15" s="40" t="n">
        <f aca="false">Inputs!$C$13*(1+Inputs!$B$9)</f>
        <v>470.4</v>
      </c>
      <c r="AB15" s="31" t="n">
        <f aca="false">AA15*W15</f>
        <v>1877836.8</v>
      </c>
      <c r="AC15" s="31" t="str">
        <f aca="false">IF(ISNUMBER(S15),S15+Dashboard!G11/(1-Inputs!$B$18),"no KPI data")</f>
        <v>no KPI data</v>
      </c>
      <c r="AD15" s="39" t="s">
        <v>66</v>
      </c>
      <c r="AE15" s="24" t="s">
        <v>68</v>
      </c>
      <c r="AF15" s="31" t="n">
        <f aca="false">HUNGARY!F14</f>
        <v>270.375</v>
      </c>
      <c r="AG15" s="31" t="n">
        <f aca="false">HUNGARY!F9</f>
        <v>4242</v>
      </c>
      <c r="AH15" s="31" t="n">
        <f aca="false">AF15*AG15</f>
        <v>1146930.75</v>
      </c>
      <c r="AI15" s="34" t="n">
        <f aca="false">IF(Y15&gt;=Inputs!$B$38,Y15,MIN(Y15+'Dashboard (2)'!$N$2,Inputs!$B$38))</f>
        <v>0.361619620192767</v>
      </c>
      <c r="AJ15" s="31" t="n">
        <f aca="false">AH15*AI15</f>
        <v>414752.662202405</v>
      </c>
      <c r="AK15" s="40" t="n">
        <f aca="false">Inputs!$C$13*(1+Inputs!$B$9)*(1+'Dashboard (2)'!$T$1)</f>
        <v>484.512</v>
      </c>
      <c r="AL15" s="31" t="n">
        <f aca="false">AK15*AG15</f>
        <v>2055299.904</v>
      </c>
      <c r="AM15" s="31" t="str">
        <f aca="false">IF(ISNUMBER(AC15),AC15*AJ15/Z15,"no KPI data")</f>
        <v>no KPI data</v>
      </c>
      <c r="AN15" s="39" t="s">
        <v>66</v>
      </c>
      <c r="AO15" s="24" t="s">
        <v>68</v>
      </c>
      <c r="AP15" s="31" t="n">
        <f aca="false">HUNGARY!G14</f>
        <v>278.48625</v>
      </c>
      <c r="AQ15" s="31" t="n">
        <f aca="false">HUNGARY!G9</f>
        <v>4390</v>
      </c>
      <c r="AR15" s="31" t="n">
        <f aca="false">AP15*AQ15</f>
        <v>1222554.6375</v>
      </c>
      <c r="AS15" s="34" t="n">
        <f aca="false">IF(AI15&gt;=Inputs!$B$38,AI15,MIN(AI15+'Dashboard (2)'!$N$2,Inputs!$B$38))</f>
        <v>0.371619620192767</v>
      </c>
      <c r="AT15" s="31" t="n">
        <f aca="false">AR15*AS15</f>
        <v>454325.290052655</v>
      </c>
      <c r="AU15" s="40" t="n">
        <f aca="false">Inputs!$C$13*(1+Inputs!$B$9)*(1+'Dashboard (2)'!$T$1)*(1+'Dashboard (2)'!$T$1)</f>
        <v>499.04736</v>
      </c>
      <c r="AV15" s="31" t="n">
        <f aca="false">AU15*AQ15</f>
        <v>2190817.9104</v>
      </c>
      <c r="AW15" s="31" t="str">
        <f aca="false">IF(ISNUMBER(AM15),AM15*AT15/AJ15,"no KPI data")</f>
        <v>no KPI data</v>
      </c>
      <c r="AX15" s="39" t="s">
        <v>66</v>
      </c>
      <c r="AY15" s="24" t="s">
        <v>68</v>
      </c>
      <c r="AZ15" s="31" t="n">
        <f aca="false">HUNGARY!H14</f>
        <v>286.8408375</v>
      </c>
      <c r="BA15" s="31" t="n">
        <f aca="false">HUNGARY!H9</f>
        <v>4533</v>
      </c>
      <c r="BB15" s="31" t="n">
        <f aca="false">AZ15*BA15</f>
        <v>1300249.5163875</v>
      </c>
      <c r="BC15" s="34" t="n">
        <f aca="false">IF(AS15&gt;=Inputs!$B$38,AS15,MIN(AS15+'Dashboard (2)'!$N$2,Inputs!$B$38))</f>
        <v>0.381619620192767</v>
      </c>
      <c r="BD15" s="31" t="n">
        <f aca="false">BB15*BC15</f>
        <v>496200.726599626</v>
      </c>
      <c r="BE15" s="40" t="n">
        <f aca="false">Inputs!$C$13*(1+Inputs!$B$9)*(1+'Dashboard (2)'!$T$1)*(1+'Dashboard (2)'!$T$1)*(1+'Dashboard (2)'!$T$1)</f>
        <v>514.0187808</v>
      </c>
      <c r="BF15" s="31" t="n">
        <f aca="false">BE15*BA15</f>
        <v>2330047.1333664</v>
      </c>
      <c r="BG15" s="31" t="str">
        <f aca="false">IF(ISNUMBER(AW15),AW15*BD15/AT15,"no KPI data")</f>
        <v>no KPI data</v>
      </c>
      <c r="BH15" s="39" t="s">
        <v>66</v>
      </c>
      <c r="BI15" s="24" t="s">
        <v>68</v>
      </c>
      <c r="BJ15" s="31" t="n">
        <f aca="false">HUNGARY!I14</f>
        <v>295.446062625</v>
      </c>
      <c r="BK15" s="31" t="n">
        <f aca="false">HUNGARY!I9</f>
        <v>4672</v>
      </c>
      <c r="BL15" s="31" t="n">
        <f aca="false">BJ15*BK15</f>
        <v>1380324.004584</v>
      </c>
      <c r="BM15" s="34" t="n">
        <f aca="false">IF(BC15&gt;=Inputs!$B$38,BC15,MIN(BC15+'Dashboard (2)'!$N$2,Inputs!$B$38))</f>
        <v>0.391619620192767</v>
      </c>
      <c r="BN15" s="31" t="n">
        <f aca="false">BL15*BM15</f>
        <v>540561.962418145</v>
      </c>
      <c r="BO15" s="40" t="n">
        <f aca="false">Inputs!$C$13*(1+Inputs!$B$9)*(1+'Dashboard (2)'!$T$1)*(1+'Dashboard (2)'!$T$1)*(1+'Dashboard (2)'!$T$1)*(1+'Dashboard (2)'!$T$1)</f>
        <v>529.439344224</v>
      </c>
      <c r="BP15" s="31" t="n">
        <f aca="false">BO15*BK15</f>
        <v>2473540.61621453</v>
      </c>
      <c r="BQ15" s="31" t="str">
        <f aca="false">IF(ISNUMBER(BG15),BG15*BN15/BD15,"no KPI data")</f>
        <v>no KPI data</v>
      </c>
      <c r="BR15" s="39" t="s">
        <v>66</v>
      </c>
    </row>
    <row r="16" customFormat="false" ht="17.25" hidden="false" customHeight="true" outlineLevel="0" collapsed="false">
      <c r="A16" s="23" t="s">
        <v>73</v>
      </c>
      <c r="B16" s="24" t="s">
        <v>68</v>
      </c>
      <c r="C16" s="25" t="n">
        <f aca="false">Dashboard!C12</f>
        <v>360300</v>
      </c>
      <c r="D16" s="25" t="n">
        <f aca="false">Dashboard!D12</f>
        <v>343350</v>
      </c>
      <c r="E16" s="26" t="n">
        <f aca="false">Dashboard!E12</f>
        <v>1.04936653560507</v>
      </c>
      <c r="F16" s="26" t="n">
        <f aca="false">Dashboard!F12</f>
        <v>0.018</v>
      </c>
      <c r="G16" s="25" t="n">
        <f aca="false">Dashboard!G12</f>
        <v>6180.3</v>
      </c>
      <c r="H16" s="26" t="n">
        <f aca="false">Dashboard!H12</f>
        <v>1.06736653560507</v>
      </c>
      <c r="I16" s="41" t="n">
        <f aca="false">Dashboard!I12</f>
        <v>366480.3</v>
      </c>
      <c r="J16" s="24"/>
      <c r="K16" s="24" t="s">
        <v>68</v>
      </c>
      <c r="L16" s="31" t="n">
        <f aca="false">FINLAND!D14</f>
        <v>250</v>
      </c>
      <c r="M16" s="31" t="n">
        <f aca="false">FINLAND!D9</f>
        <v>1204</v>
      </c>
      <c r="N16" s="31" t="n">
        <f aca="false">L16*M16</f>
        <v>301000</v>
      </c>
      <c r="O16" s="31" t="n">
        <f aca="false">FINLAND!D20</f>
        <v>279383.25</v>
      </c>
      <c r="P16" s="34" t="n">
        <f aca="false">O16/N16</f>
        <v>0.928183554817276</v>
      </c>
      <c r="Q16" s="38" t="n">
        <f aca="false">Inputs!$C$13</f>
        <v>448</v>
      </c>
      <c r="R16" s="35" t="n">
        <f aca="false">Q16*M16</f>
        <v>539392</v>
      </c>
      <c r="S16" s="35" t="str">
        <f aca="false">IF(ISNUMBER(Dashboard!Q12),Dashboard!Q12,"no KPI data")</f>
        <v>no KPI data</v>
      </c>
      <c r="T16" s="39" t="s">
        <v>66</v>
      </c>
      <c r="U16" s="24" t="s">
        <v>68</v>
      </c>
      <c r="V16" s="31" t="n">
        <f aca="false">FINLAND!E14</f>
        <v>262.5</v>
      </c>
      <c r="W16" s="31" t="n">
        <f aca="false">FINLAND!E9</f>
        <v>1308</v>
      </c>
      <c r="X16" s="31" t="n">
        <f aca="false">V16*W16</f>
        <v>343350</v>
      </c>
      <c r="Y16" s="34" t="n">
        <f aca="false">Z16/X16</f>
        <v>1.06736653560507</v>
      </c>
      <c r="Z16" s="31" t="n">
        <f aca="false">FINLAND!E24</f>
        <v>366480.3</v>
      </c>
      <c r="AA16" s="40" t="n">
        <f aca="false">Inputs!$C$13*(1+Inputs!$B$9)</f>
        <v>470.4</v>
      </c>
      <c r="AB16" s="31" t="n">
        <f aca="false">AA16*W16</f>
        <v>615283.2</v>
      </c>
      <c r="AC16" s="31" t="str">
        <f aca="false">IF(ISNUMBER(S16),S16+Dashboard!G12/(1-Inputs!$B$18),"no KPI data")</f>
        <v>no KPI data</v>
      </c>
      <c r="AD16" s="39" t="s">
        <v>66</v>
      </c>
      <c r="AE16" s="24" t="s">
        <v>68</v>
      </c>
      <c r="AF16" s="31" t="n">
        <f aca="false">FINLAND!F14</f>
        <v>270.375</v>
      </c>
      <c r="AG16" s="31" t="n">
        <f aca="false">FINLAND!F9</f>
        <v>1409</v>
      </c>
      <c r="AH16" s="31" t="n">
        <f aca="false">AF16*AG16</f>
        <v>380958.375</v>
      </c>
      <c r="AI16" s="34" t="n">
        <f aca="false">IF(Y16&gt;=Inputs!$B$38,Y16,MIN(Y16+'Dashboard (2)'!$N$2,Inputs!$B$38))</f>
        <v>1.07736653560507</v>
      </c>
      <c r="AJ16" s="31" t="n">
        <f aca="false">AH16*AI16</f>
        <v>410431.804683486</v>
      </c>
      <c r="AK16" s="40" t="n">
        <f aca="false">Inputs!$C$13*(1+Inputs!$B$9)*(1+'Dashboard (2)'!$T$1)</f>
        <v>484.512</v>
      </c>
      <c r="AL16" s="31" t="n">
        <f aca="false">AK16*AG16</f>
        <v>682677.408</v>
      </c>
      <c r="AM16" s="31" t="str">
        <f aca="false">IF(ISNUMBER(AC16),AC16*AJ16/Z16,"no KPI data")</f>
        <v>no KPI data</v>
      </c>
      <c r="AN16" s="39" t="s">
        <v>66</v>
      </c>
      <c r="AO16" s="24" t="s">
        <v>68</v>
      </c>
      <c r="AP16" s="31" t="n">
        <f aca="false">FINLAND!G14</f>
        <v>278.48625</v>
      </c>
      <c r="AQ16" s="31" t="n">
        <f aca="false">FINLAND!G9</f>
        <v>1522</v>
      </c>
      <c r="AR16" s="31" t="n">
        <f aca="false">AP16*AQ16</f>
        <v>423856.0725</v>
      </c>
      <c r="AS16" s="34" t="n">
        <f aca="false">IF(AI16&gt;=Inputs!$B$38,AI16,MIN(AI16+'Dashboard (2)'!$N$2,Inputs!$B$38))</f>
        <v>1.08736653560507</v>
      </c>
      <c r="AT16" s="31" t="n">
        <f aca="false">AR16*AS16</f>
        <v>460886.909149495</v>
      </c>
      <c r="AU16" s="40" t="n">
        <f aca="false">Inputs!$C$13*(1+Inputs!$B$9)*(1+'Dashboard (2)'!$T$1)*(1+'Dashboard (2)'!$T$1)</f>
        <v>499.04736</v>
      </c>
      <c r="AV16" s="31" t="n">
        <f aca="false">AU16*AQ16</f>
        <v>759550.08192</v>
      </c>
      <c r="AW16" s="31" t="str">
        <f aca="false">IF(ISNUMBER(AM16),AM16*AT16/AJ16,"no KPI data")</f>
        <v>no KPI data</v>
      </c>
      <c r="AX16" s="39" t="s">
        <v>66</v>
      </c>
      <c r="AY16" s="24" t="s">
        <v>68</v>
      </c>
      <c r="AZ16" s="31" t="n">
        <f aca="false">FINLAND!H14</f>
        <v>286.8408375</v>
      </c>
      <c r="BA16" s="31" t="n">
        <f aca="false">FINLAND!H9</f>
        <v>1631</v>
      </c>
      <c r="BB16" s="31" t="n">
        <f aca="false">AZ16*BA16</f>
        <v>467837.4059625</v>
      </c>
      <c r="BC16" s="34" t="n">
        <f aca="false">IF(AS16&gt;=Inputs!$B$38,AS16,MIN(AS16+'Dashboard (2)'!$N$2,Inputs!$B$38))</f>
        <v>1.09736653560507</v>
      </c>
      <c r="BD16" s="31" t="n">
        <f aca="false">BB16*BC16</f>
        <v>513389.11340753</v>
      </c>
      <c r="BE16" s="40" t="n">
        <f aca="false">Inputs!$C$13*(1+Inputs!$B$9)*(1+'Dashboard (2)'!$T$1)*(1+'Dashboard (2)'!$T$1)*(1+'Dashboard (2)'!$T$1)</f>
        <v>514.0187808</v>
      </c>
      <c r="BF16" s="31" t="n">
        <f aca="false">BE16*BA16</f>
        <v>838364.6314848</v>
      </c>
      <c r="BG16" s="31" t="str">
        <f aca="false">IF(ISNUMBER(AW16),AW16*BD16/AT16,"no KPI data")</f>
        <v>no KPI data</v>
      </c>
      <c r="BH16" s="39" t="s">
        <v>66</v>
      </c>
      <c r="BI16" s="24" t="s">
        <v>68</v>
      </c>
      <c r="BJ16" s="31" t="n">
        <f aca="false">FINLAND!I14</f>
        <v>295.446062625</v>
      </c>
      <c r="BK16" s="31" t="n">
        <f aca="false">FINLAND!I9</f>
        <v>1737</v>
      </c>
      <c r="BL16" s="31" t="n">
        <f aca="false">BJ16*BK16</f>
        <v>513189.810779625</v>
      </c>
      <c r="BM16" s="34" t="n">
        <f aca="false">IF(BC16&gt;=Inputs!$B$38,BC16,MIN(BC16+'Dashboard (2)'!$N$2,Inputs!$B$38))</f>
        <v>1.10736653560507</v>
      </c>
      <c r="BN16" s="31" t="n">
        <f aca="false">BL16*BM16</f>
        <v>568289.222870854</v>
      </c>
      <c r="BO16" s="40" t="n">
        <f aca="false">Inputs!$C$13*(1+Inputs!$B$9)*(1+'Dashboard (2)'!$T$1)*(1+'Dashboard (2)'!$T$1)*(1+'Dashboard (2)'!$T$1)*(1+'Dashboard (2)'!$T$1)</f>
        <v>529.439344224</v>
      </c>
      <c r="BP16" s="31" t="n">
        <f aca="false">BO16*BK16</f>
        <v>919636.140917088</v>
      </c>
      <c r="BQ16" s="31" t="str">
        <f aca="false">IF(ISNUMBER(BG16),BG16*BN16/BD16,"no KPI data")</f>
        <v>no KPI data</v>
      </c>
      <c r="BR16" s="39" t="s">
        <v>66</v>
      </c>
    </row>
    <row r="17" customFormat="false" ht="17.25" hidden="false" customHeight="true" outlineLevel="0" collapsed="false">
      <c r="A17" s="23" t="s">
        <v>74</v>
      </c>
      <c r="B17" s="24" t="s">
        <v>68</v>
      </c>
      <c r="C17" s="25" t="n">
        <f aca="false">Dashboard!C13</f>
        <v>199587.57</v>
      </c>
      <c r="D17" s="25" t="n">
        <f aca="false">Dashboard!D13</f>
        <v>317362.5</v>
      </c>
      <c r="E17" s="26" t="n">
        <f aca="false">Dashboard!E13</f>
        <v>0.628894623655914</v>
      </c>
      <c r="F17" s="26" t="n">
        <f aca="false">Dashboard!F13</f>
        <v>0.018</v>
      </c>
      <c r="G17" s="25" t="n">
        <f aca="false">Dashboard!G13</f>
        <v>5712.525</v>
      </c>
      <c r="H17" s="26" t="n">
        <f aca="false">Dashboard!H13</f>
        <v>0.646894623655914</v>
      </c>
      <c r="I17" s="41" t="n">
        <f aca="false">Dashboard!I13</f>
        <v>205300.095</v>
      </c>
      <c r="J17" s="24"/>
      <c r="K17" s="24" t="s">
        <v>68</v>
      </c>
      <c r="L17" s="31" t="n">
        <f aca="false">ROMANIA!D14</f>
        <v>250</v>
      </c>
      <c r="M17" s="31" t="n">
        <f aca="false">ROMANIA!D9</f>
        <v>1071</v>
      </c>
      <c r="N17" s="31" t="n">
        <f aca="false">L17*M17</f>
        <v>267750</v>
      </c>
      <c r="O17" s="31" t="n">
        <f aca="false">ROMANIA!D20</f>
        <v>177897.87</v>
      </c>
      <c r="P17" s="34" t="n">
        <f aca="false">O17/N17</f>
        <v>0.66441781512605</v>
      </c>
      <c r="Q17" s="38" t="n">
        <f aca="false">Inputs!$C$13</f>
        <v>448</v>
      </c>
      <c r="R17" s="35" t="n">
        <f aca="false">Q17*M17</f>
        <v>479808</v>
      </c>
      <c r="S17" s="35" t="n">
        <f aca="false">IF(ISNUMBER(Dashboard!Q13),Dashboard!Q13,"no KPI data")</f>
        <v>394597</v>
      </c>
      <c r="T17" s="39" t="s">
        <v>66</v>
      </c>
      <c r="U17" s="24" t="s">
        <v>68</v>
      </c>
      <c r="V17" s="31" t="n">
        <f aca="false">ROMANIA!E14</f>
        <v>262.5</v>
      </c>
      <c r="W17" s="31" t="n">
        <f aca="false">ROMANIA!E9</f>
        <v>1209</v>
      </c>
      <c r="X17" s="31" t="n">
        <f aca="false">V17*W17</f>
        <v>317362.5</v>
      </c>
      <c r="Y17" s="34" t="n">
        <f aca="false">Z17/X17</f>
        <v>0.646894623655914</v>
      </c>
      <c r="Z17" s="31" t="n">
        <f aca="false">ROMANIA!E24</f>
        <v>205300.095</v>
      </c>
      <c r="AA17" s="40" t="n">
        <f aca="false">Inputs!$C$13*(1+Inputs!$B$9)</f>
        <v>470.4</v>
      </c>
      <c r="AB17" s="31" t="n">
        <f aca="false">AA17*W17</f>
        <v>568713.6</v>
      </c>
      <c r="AC17" s="31" t="n">
        <f aca="false">IF(ISNUMBER(S17),S17+Dashboard!G13/(1-Inputs!$B$18),"no KPI data")</f>
        <v>403385.5</v>
      </c>
      <c r="AD17" s="39" t="s">
        <v>66</v>
      </c>
      <c r="AE17" s="24" t="s">
        <v>68</v>
      </c>
      <c r="AF17" s="31" t="n">
        <f aca="false">ROMANIA!F14</f>
        <v>270.375</v>
      </c>
      <c r="AG17" s="31" t="n">
        <f aca="false">ROMANIA!F9</f>
        <v>1343</v>
      </c>
      <c r="AH17" s="31" t="n">
        <f aca="false">AF17*AG17</f>
        <v>363113.625</v>
      </c>
      <c r="AI17" s="34" t="n">
        <f aca="false">IF(Y17&gt;=Inputs!$B$38,Y17,MIN(Y17+'Dashboard (2)'!$N$2,Inputs!$B$38))</f>
        <v>0.656894623655914</v>
      </c>
      <c r="AJ17" s="31" t="n">
        <f aca="false">AH17*AI17</f>
        <v>238527.38803871</v>
      </c>
      <c r="AK17" s="40" t="n">
        <f aca="false">Inputs!$C$13*(1+Inputs!$B$9)*(1+'Dashboard (2)'!$T$1)</f>
        <v>484.512</v>
      </c>
      <c r="AL17" s="31" t="n">
        <f aca="false">AK17*AG17</f>
        <v>650699.616</v>
      </c>
      <c r="AM17" s="31" t="n">
        <f aca="false">IF(ISNUMBER(AC17),AC17*AJ17/Z17,"no KPI data")</f>
        <v>468672.407032685</v>
      </c>
      <c r="AN17" s="39" t="s">
        <v>66</v>
      </c>
      <c r="AO17" s="24" t="s">
        <v>68</v>
      </c>
      <c r="AP17" s="31" t="n">
        <f aca="false">ROMANIA!G14</f>
        <v>278.48625</v>
      </c>
      <c r="AQ17" s="31" t="n">
        <f aca="false">ROMANIA!G9</f>
        <v>1475</v>
      </c>
      <c r="AR17" s="31" t="n">
        <f aca="false">AP17*AQ17</f>
        <v>410767.21875</v>
      </c>
      <c r="AS17" s="34" t="n">
        <f aca="false">IF(AI17&gt;=Inputs!$B$38,AI17,MIN(AI17+'Dashboard (2)'!$N$2,Inputs!$B$38))</f>
        <v>0.666894623655914</v>
      </c>
      <c r="AT17" s="31" t="n">
        <f aca="false">AR17*AS17</f>
        <v>273938.449758468</v>
      </c>
      <c r="AU17" s="40" t="n">
        <f aca="false">Inputs!$C$13*(1+Inputs!$B$9)*(1+'Dashboard (2)'!$T$1)*(1+'Dashboard (2)'!$T$1)</f>
        <v>499.04736</v>
      </c>
      <c r="AV17" s="31" t="n">
        <f aca="false">AU17*AQ17</f>
        <v>736094.856</v>
      </c>
      <c r="AW17" s="31" t="n">
        <f aca="false">IF(ISNUMBER(AM17),AM17*AT17/AJ17,"no KPI data")</f>
        <v>538250.109066167</v>
      </c>
      <c r="AX17" s="39" t="s">
        <v>66</v>
      </c>
      <c r="AY17" s="24" t="s">
        <v>68</v>
      </c>
      <c r="AZ17" s="31" t="n">
        <f aca="false">ROMANIA!H14</f>
        <v>286.8408375</v>
      </c>
      <c r="BA17" s="31" t="n">
        <f aca="false">ROMANIA!H9</f>
        <v>1603</v>
      </c>
      <c r="BB17" s="31" t="n">
        <f aca="false">AZ17*BA17</f>
        <v>459805.8625125</v>
      </c>
      <c r="BC17" s="34" t="n">
        <f aca="false">IF(AS17&gt;=Inputs!$B$38,AS17,MIN(AS17+'Dashboard (2)'!$N$2,Inputs!$B$38))</f>
        <v>0.676894623655914</v>
      </c>
      <c r="BD17" s="31" t="n">
        <f aca="false">BB17*BC17</f>
        <v>311240.116260182</v>
      </c>
      <c r="BE17" s="40" t="n">
        <f aca="false">Inputs!$C$13*(1+Inputs!$B$9)*(1+'Dashboard (2)'!$T$1)*(1+'Dashboard (2)'!$T$1)*(1+'Dashboard (2)'!$T$1)</f>
        <v>514.0187808</v>
      </c>
      <c r="BF17" s="31" t="n">
        <f aca="false">BE17*BA17</f>
        <v>823972.1056224</v>
      </c>
      <c r="BG17" s="31" t="n">
        <f aca="false">IF(ISNUMBER(AW17),AW17*BD17/AT17,"no KPI data")</f>
        <v>611542.580716641</v>
      </c>
      <c r="BH17" s="39" t="s">
        <v>66</v>
      </c>
      <c r="BI17" s="24" t="s">
        <v>68</v>
      </c>
      <c r="BJ17" s="31" t="n">
        <f aca="false">ROMANIA!I14</f>
        <v>295.446062625</v>
      </c>
      <c r="BK17" s="31" t="n">
        <f aca="false">ROMANIA!I9</f>
        <v>1727</v>
      </c>
      <c r="BL17" s="31" t="n">
        <f aca="false">BJ17*BK17</f>
        <v>510235.350153375</v>
      </c>
      <c r="BM17" s="34" t="n">
        <f aca="false">IF(BC17&gt;=Inputs!$B$38,BC17,MIN(BC17+'Dashboard (2)'!$N$2,Inputs!$B$38))</f>
        <v>0.686894623655914</v>
      </c>
      <c r="BN17" s="31" t="n">
        <f aca="false">BL17*BM17</f>
        <v>350477.918819546</v>
      </c>
      <c r="BO17" s="40" t="n">
        <f aca="false">Inputs!$C$13*(1+Inputs!$B$9)*(1+'Dashboard (2)'!$T$1)*(1+'Dashboard (2)'!$T$1)*(1+'Dashboard (2)'!$T$1)*(1+'Dashboard (2)'!$T$1)</f>
        <v>529.439344224</v>
      </c>
      <c r="BP17" s="31" t="n">
        <f aca="false">BO17*BK17</f>
        <v>914341.747474848</v>
      </c>
      <c r="BQ17" s="31" t="n">
        <f aca="false">IF(ISNUMBER(BG17),BG17*BN17/BD17,"no KPI data")</f>
        <v>688639.284467852</v>
      </c>
      <c r="BR17" s="39" t="s">
        <v>66</v>
      </c>
    </row>
    <row r="18" customFormat="false" ht="17.25" hidden="false" customHeight="true" outlineLevel="0" collapsed="false">
      <c r="A18" s="23" t="s">
        <v>75</v>
      </c>
      <c r="B18" s="24" t="s">
        <v>68</v>
      </c>
      <c r="C18" s="25" t="n">
        <f aca="false">Dashboard!C14</f>
        <v>187600</v>
      </c>
      <c r="D18" s="25" t="n">
        <f aca="false">Dashboard!D14</f>
        <v>247800</v>
      </c>
      <c r="E18" s="26" t="n">
        <f aca="false">Dashboard!E14</f>
        <v>0.757062146892655</v>
      </c>
      <c r="F18" s="26" t="n">
        <f aca="false">Dashboard!F14</f>
        <v>0.018</v>
      </c>
      <c r="G18" s="25" t="n">
        <f aca="false">Dashboard!G14</f>
        <v>4460.4</v>
      </c>
      <c r="H18" s="26" t="n">
        <f aca="false">Dashboard!H14</f>
        <v>0.775062146892655</v>
      </c>
      <c r="I18" s="41" t="n">
        <f aca="false">Dashboard!I14</f>
        <v>192060.4</v>
      </c>
      <c r="J18" s="24"/>
      <c r="K18" s="24" t="s">
        <v>68</v>
      </c>
      <c r="L18" s="31" t="n">
        <f aca="false">DENMARK!D14</f>
        <v>250</v>
      </c>
      <c r="M18" s="31" t="n">
        <f aca="false">DENMARK!D9</f>
        <v>850</v>
      </c>
      <c r="N18" s="31" t="n">
        <f aca="false">L18*M18</f>
        <v>212500</v>
      </c>
      <c r="O18" s="31" t="n">
        <f aca="false">DENMARK!D20</f>
        <v>154459.8</v>
      </c>
      <c r="P18" s="34" t="n">
        <f aca="false">O18/N18</f>
        <v>0.726869647058824</v>
      </c>
      <c r="Q18" s="38" t="n">
        <f aca="false">Inputs!$C$13</f>
        <v>448</v>
      </c>
      <c r="R18" s="35" t="n">
        <f aca="false">Q18*M18</f>
        <v>380800</v>
      </c>
      <c r="S18" s="35" t="n">
        <f aca="false">IF(ISNUMBER(Dashboard!Q14),Dashboard!Q14,"no KPI data")</f>
        <v>572864</v>
      </c>
      <c r="T18" s="39" t="s">
        <v>66</v>
      </c>
      <c r="U18" s="24" t="s">
        <v>68</v>
      </c>
      <c r="V18" s="31" t="n">
        <f aca="false">DENMARK!E14</f>
        <v>262.5</v>
      </c>
      <c r="W18" s="31" t="n">
        <f aca="false">DENMARK!E9</f>
        <v>944</v>
      </c>
      <c r="X18" s="31" t="n">
        <f aca="false">V18*W18</f>
        <v>247800</v>
      </c>
      <c r="Y18" s="34" t="n">
        <f aca="false">Z18/X18</f>
        <v>0.775062146892655</v>
      </c>
      <c r="Z18" s="31" t="n">
        <f aca="false">DENMARK!E24</f>
        <v>192060.4</v>
      </c>
      <c r="AA18" s="40" t="n">
        <f aca="false">Inputs!$C$13*(1+Inputs!$B$9)</f>
        <v>470.4</v>
      </c>
      <c r="AB18" s="31" t="n">
        <f aca="false">AA18*W18</f>
        <v>444057.6</v>
      </c>
      <c r="AC18" s="31" t="n">
        <f aca="false">IF(ISNUMBER(S18),S18+Dashboard!G14/(1-Inputs!$B$18),"no KPI data")</f>
        <v>579726.153846154</v>
      </c>
      <c r="AD18" s="39" t="s">
        <v>66</v>
      </c>
      <c r="AE18" s="24" t="s">
        <v>68</v>
      </c>
      <c r="AF18" s="31" t="n">
        <f aca="false">DENMARK!F14</f>
        <v>270.375</v>
      </c>
      <c r="AG18" s="31" t="n">
        <f aca="false">DENMARK!F9</f>
        <v>1036</v>
      </c>
      <c r="AH18" s="31" t="n">
        <f aca="false">AF18*AG18</f>
        <v>280108.5</v>
      </c>
      <c r="AI18" s="34" t="n">
        <f aca="false">IF(Y18&gt;=Inputs!$B$38,Y18,MIN(Y18+'Dashboard (2)'!$N$2,Inputs!$B$38))</f>
        <v>0.785062146892655</v>
      </c>
      <c r="AJ18" s="31" t="n">
        <f aca="false">AH18*AI18</f>
        <v>219902.580372881</v>
      </c>
      <c r="AK18" s="40" t="n">
        <f aca="false">Inputs!$C$13*(1+Inputs!$B$9)*(1+'Dashboard (2)'!$T$1)</f>
        <v>484.512</v>
      </c>
      <c r="AL18" s="31" t="n">
        <f aca="false">AK18*AG18</f>
        <v>501954.432</v>
      </c>
      <c r="AM18" s="31" t="n">
        <f aca="false">IF(ISNUMBER(AC18),AC18*AJ18/Z18,"no KPI data")</f>
        <v>663766.591865972</v>
      </c>
      <c r="AN18" s="39" t="s">
        <v>66</v>
      </c>
      <c r="AO18" s="24" t="s">
        <v>68</v>
      </c>
      <c r="AP18" s="31" t="n">
        <f aca="false">DENMARK!G14</f>
        <v>278.48625</v>
      </c>
      <c r="AQ18" s="31" t="n">
        <f aca="false">DENMARK!G9</f>
        <v>1140</v>
      </c>
      <c r="AR18" s="31" t="n">
        <f aca="false">AP18*AQ18</f>
        <v>317474.325</v>
      </c>
      <c r="AS18" s="34" t="n">
        <f aca="false">IF(AI18&gt;=Inputs!$B$38,AI18,MIN(AI18+'Dashboard (2)'!$N$2,Inputs!$B$38))</f>
        <v>0.795062146892655</v>
      </c>
      <c r="AT18" s="31" t="n">
        <f aca="false">AR18*AS18</f>
        <v>252411.818417797</v>
      </c>
      <c r="AU18" s="40" t="n">
        <f aca="false">Inputs!$C$13*(1+Inputs!$B$9)*(1+'Dashboard (2)'!$T$1)*(1+'Dashboard (2)'!$T$1)</f>
        <v>499.04736</v>
      </c>
      <c r="AV18" s="31" t="n">
        <f aca="false">AU18*AQ18</f>
        <v>568913.9904</v>
      </c>
      <c r="AW18" s="31" t="n">
        <f aca="false">IF(ISNUMBER(AM18),AM18*AT18/AJ18,"no KPI data")</f>
        <v>761894.345094892</v>
      </c>
      <c r="AX18" s="39" t="s">
        <v>66</v>
      </c>
      <c r="AY18" s="24" t="s">
        <v>68</v>
      </c>
      <c r="AZ18" s="31" t="n">
        <f aca="false">DENMARK!H14</f>
        <v>286.8408375</v>
      </c>
      <c r="BA18" s="31" t="n">
        <f aca="false">DENMARK!H9</f>
        <v>1241</v>
      </c>
      <c r="BB18" s="31" t="n">
        <f aca="false">AZ18*BA18</f>
        <v>355969.4793375</v>
      </c>
      <c r="BC18" s="34" t="n">
        <f aca="false">IF(AS18&gt;=Inputs!$B$38,AS18,MIN(AS18+'Dashboard (2)'!$N$2,Inputs!$B$38))</f>
        <v>0.805062146892655</v>
      </c>
      <c r="BD18" s="31" t="n">
        <f aca="false">BB18*BC18</f>
        <v>286577.553263708</v>
      </c>
      <c r="BE18" s="40" t="n">
        <f aca="false">Inputs!$C$13*(1+Inputs!$B$9)*(1+'Dashboard (2)'!$T$1)*(1+'Dashboard (2)'!$T$1)*(1+'Dashboard (2)'!$T$1)</f>
        <v>514.0187808</v>
      </c>
      <c r="BF18" s="31" t="n">
        <f aca="false">BE18*BA18</f>
        <v>637897.3069728</v>
      </c>
      <c r="BG18" s="31" t="n">
        <f aca="false">IF(ISNUMBER(AW18),AW18*BD18/AT18,"no KPI data")</f>
        <v>865022.163507995</v>
      </c>
      <c r="BH18" s="39" t="s">
        <v>66</v>
      </c>
      <c r="BI18" s="24" t="s">
        <v>68</v>
      </c>
      <c r="BJ18" s="31" t="n">
        <f aca="false">DENMARK!I14</f>
        <v>295.446062625</v>
      </c>
      <c r="BK18" s="31" t="n">
        <f aca="false">DENMARK!I9</f>
        <v>1339</v>
      </c>
      <c r="BL18" s="31" t="n">
        <f aca="false">BJ18*BK18</f>
        <v>395602.277854875</v>
      </c>
      <c r="BM18" s="34" t="n">
        <f aca="false">IF(BC18&gt;=Inputs!$B$38,BC18,MIN(BC18+'Dashboard (2)'!$N$2,Inputs!$B$38))</f>
        <v>0.815062146892655</v>
      </c>
      <c r="BN18" s="31" t="n">
        <f aca="false">BL18*BM18</f>
        <v>322440.441904019</v>
      </c>
      <c r="BO18" s="40" t="n">
        <f aca="false">Inputs!$C$13*(1+Inputs!$B$9)*(1+'Dashboard (2)'!$T$1)*(1+'Dashboard (2)'!$T$1)*(1+'Dashboard (2)'!$T$1)*(1+'Dashboard (2)'!$T$1)</f>
        <v>529.439344224</v>
      </c>
      <c r="BP18" s="31" t="n">
        <f aca="false">BO18*BK18</f>
        <v>708919.281915936</v>
      </c>
      <c r="BQ18" s="31" t="n">
        <f aca="false">IF(ISNUMBER(BG18),BG18*BN18/BD18,"no KPI data")</f>
        <v>973272.768511735</v>
      </c>
      <c r="BR18" s="39" t="s">
        <v>66</v>
      </c>
    </row>
    <row r="19" customFormat="false" ht="17.25" hidden="false" customHeight="true" outlineLevel="0" collapsed="false">
      <c r="A19" s="23" t="s">
        <v>76</v>
      </c>
      <c r="B19" s="24" t="s">
        <v>68</v>
      </c>
      <c r="C19" s="25" t="n">
        <f aca="false">Dashboard!C15</f>
        <v>104600</v>
      </c>
      <c r="D19" s="25" t="n">
        <f aca="false">Dashboard!D15</f>
        <v>115237.5</v>
      </c>
      <c r="E19" s="26" t="n">
        <f aca="false">Dashboard!E15</f>
        <v>0.907690638897928</v>
      </c>
      <c r="F19" s="26" t="n">
        <f aca="false">Dashboard!F15</f>
        <v>0.018</v>
      </c>
      <c r="G19" s="25" t="n">
        <f aca="false">Dashboard!G15</f>
        <v>2074.275</v>
      </c>
      <c r="H19" s="26" t="n">
        <f aca="false">Dashboard!H15</f>
        <v>0.925690638897928</v>
      </c>
      <c r="I19" s="41" t="n">
        <f aca="false">Dashboard!I15</f>
        <v>106674.275</v>
      </c>
      <c r="J19" s="24"/>
      <c r="K19" s="24" t="s">
        <v>68</v>
      </c>
      <c r="L19" s="31" t="n">
        <f aca="false">ICELAND!D14</f>
        <v>250</v>
      </c>
      <c r="M19" s="31" t="n">
        <f aca="false">ICELAND!D9</f>
        <v>406</v>
      </c>
      <c r="N19" s="31" t="n">
        <f aca="false">L19*M19</f>
        <v>101500</v>
      </c>
      <c r="O19" s="31" t="n">
        <f aca="false">ICELAND!D20</f>
        <v>86604.51</v>
      </c>
      <c r="P19" s="34" t="n">
        <f aca="false">O19/N19</f>
        <v>0.853246403940887</v>
      </c>
      <c r="Q19" s="38" t="n">
        <f aca="false">Inputs!$C$13</f>
        <v>448</v>
      </c>
      <c r="R19" s="35" t="n">
        <f aca="false">Q19*M19</f>
        <v>181888</v>
      </c>
      <c r="S19" s="35" t="n">
        <f aca="false">IF(ISNUMBER(Dashboard!Q15),Dashboard!Q15,"no KPI data")</f>
        <v>195849</v>
      </c>
      <c r="T19" s="39" t="s">
        <v>66</v>
      </c>
      <c r="U19" s="24" t="s">
        <v>68</v>
      </c>
      <c r="V19" s="31" t="n">
        <f aca="false">ICELAND!E14</f>
        <v>262.5</v>
      </c>
      <c r="W19" s="31" t="n">
        <f aca="false">ICELAND!E9</f>
        <v>439</v>
      </c>
      <c r="X19" s="31" t="n">
        <f aca="false">V19*W19</f>
        <v>115237.5</v>
      </c>
      <c r="Y19" s="34" t="n">
        <f aca="false">Z19/X19</f>
        <v>0.925690638897928</v>
      </c>
      <c r="Z19" s="31" t="n">
        <f aca="false">ICELAND!E24</f>
        <v>106674.275</v>
      </c>
      <c r="AA19" s="40" t="n">
        <f aca="false">Inputs!$C$13*(1+Inputs!$B$9)</f>
        <v>470.4</v>
      </c>
      <c r="AB19" s="31" t="n">
        <f aca="false">AA19*W19</f>
        <v>206505.6</v>
      </c>
      <c r="AC19" s="31" t="n">
        <f aca="false">IF(ISNUMBER(S19),S19+Dashboard!G15/(1-Inputs!$B$18),"no KPI data")</f>
        <v>199040.192307692</v>
      </c>
      <c r="AD19" s="39" t="s">
        <v>66</v>
      </c>
      <c r="AE19" s="24" t="s">
        <v>68</v>
      </c>
      <c r="AF19" s="31" t="n">
        <f aca="false">ICELAND!F14</f>
        <v>270.375</v>
      </c>
      <c r="AG19" s="31" t="n">
        <f aca="false">ICELAND!F9</f>
        <v>471</v>
      </c>
      <c r="AH19" s="31" t="n">
        <f aca="false">AF19*AG19</f>
        <v>127346.625</v>
      </c>
      <c r="AI19" s="34" t="n">
        <f aca="false">IF(Y19&gt;=Inputs!$B$38,Y19,MIN(Y19+'Dashboard (2)'!$N$2,Inputs!$B$38))</f>
        <v>0.935690638897928</v>
      </c>
      <c r="AJ19" s="31" t="n">
        <f aca="false">AH19*AI19</f>
        <v>119157.044907745</v>
      </c>
      <c r="AK19" s="40" t="n">
        <f aca="false">Inputs!$C$13*(1+Inputs!$B$9)*(1+'Dashboard (2)'!$T$1)</f>
        <v>484.512</v>
      </c>
      <c r="AL19" s="31" t="n">
        <f aca="false">AK19*AG19</f>
        <v>228205.152</v>
      </c>
      <c r="AM19" s="31" t="n">
        <f aca="false">IF(ISNUMBER(AC19),AC19*AJ19/Z19,"no KPI data")</f>
        <v>222331.402142212</v>
      </c>
      <c r="AN19" s="39" t="s">
        <v>66</v>
      </c>
      <c r="AO19" s="24" t="s">
        <v>68</v>
      </c>
      <c r="AP19" s="31" t="n">
        <f aca="false">ICELAND!G14</f>
        <v>278.48625</v>
      </c>
      <c r="AQ19" s="31" t="n">
        <f aca="false">ICELAND!G9</f>
        <v>549</v>
      </c>
      <c r="AR19" s="31" t="n">
        <f aca="false">AP19*AQ19</f>
        <v>152888.95125</v>
      </c>
      <c r="AS19" s="34" t="n">
        <f aca="false">IF(AI19&gt;=Inputs!$B$38,AI19,MIN(AI19+'Dashboard (2)'!$N$2,Inputs!$B$38))</f>
        <v>0.945690638897928</v>
      </c>
      <c r="AT19" s="31" t="n">
        <f aca="false">AR19*AS19</f>
        <v>144585.649988047</v>
      </c>
      <c r="AU19" s="40" t="n">
        <f aca="false">Inputs!$C$13*(1+Inputs!$B$9)*(1+'Dashboard (2)'!$T$1)*(1+'Dashboard (2)'!$T$1)</f>
        <v>499.04736</v>
      </c>
      <c r="AV19" s="31" t="n">
        <f aca="false">AU19*AQ19</f>
        <v>273977.00064</v>
      </c>
      <c r="AW19" s="31" t="n">
        <f aca="false">IF(ISNUMBER(AM19),AM19*AT19/AJ19,"no KPI data")</f>
        <v>269777.840801388</v>
      </c>
      <c r="AX19" s="39" t="s">
        <v>66</v>
      </c>
      <c r="AY19" s="24" t="s">
        <v>68</v>
      </c>
      <c r="AZ19" s="31" t="n">
        <f aca="false">ICELAND!H14</f>
        <v>286.8408375</v>
      </c>
      <c r="BA19" s="31" t="n">
        <f aca="false">ICELAND!H9</f>
        <v>625</v>
      </c>
      <c r="BB19" s="31" t="n">
        <f aca="false">AZ19*BA19</f>
        <v>179275.5234375</v>
      </c>
      <c r="BC19" s="34" t="n">
        <f aca="false">IF(AS19&gt;=Inputs!$B$38,AS19,MIN(AS19+'Dashboard (2)'!$N$2,Inputs!$B$38))</f>
        <v>0.955690638897928</v>
      </c>
      <c r="BD19" s="31" t="n">
        <f aca="false">BB19*BC19</f>
        <v>171331.939532745</v>
      </c>
      <c r="BE19" s="40" t="n">
        <f aca="false">Inputs!$C$13*(1+Inputs!$B$9)*(1+'Dashboard (2)'!$T$1)*(1+'Dashboard (2)'!$T$1)*(1+'Dashboard (2)'!$T$1)</f>
        <v>514.0187808</v>
      </c>
      <c r="BF19" s="31" t="n">
        <f aca="false">BE19*BA19</f>
        <v>321261.738</v>
      </c>
      <c r="BG19" s="31" t="n">
        <f aca="false">IF(ISNUMBER(AW19),AW19*BD19/AT19,"no KPI data")</f>
        <v>319682.905677563</v>
      </c>
      <c r="BH19" s="39" t="s">
        <v>66</v>
      </c>
      <c r="BI19" s="24" t="s">
        <v>68</v>
      </c>
      <c r="BJ19" s="31" t="n">
        <f aca="false">ICELAND!I14</f>
        <v>295.446062625</v>
      </c>
      <c r="BK19" s="31" t="n">
        <f aca="false">ICELAND!I9</f>
        <v>698</v>
      </c>
      <c r="BL19" s="31" t="n">
        <f aca="false">BJ19*BK19</f>
        <v>206221.35171225</v>
      </c>
      <c r="BM19" s="34" t="n">
        <f aca="false">IF(BC19&gt;=Inputs!$B$38,BC19,MIN(BC19+'Dashboard (2)'!$N$2,Inputs!$B$38))</f>
        <v>0.965690638897928</v>
      </c>
      <c r="BN19" s="31" t="n">
        <f aca="false">BL19*BM19</f>
        <v>199146.028889397</v>
      </c>
      <c r="BO19" s="40" t="n">
        <f aca="false">Inputs!$C$13*(1+Inputs!$B$9)*(1+'Dashboard (2)'!$T$1)*(1+'Dashboard (2)'!$T$1)*(1+'Dashboard (2)'!$T$1)*(1+'Dashboard (2)'!$T$1)</f>
        <v>529.439344224</v>
      </c>
      <c r="BP19" s="31" t="n">
        <f aca="false">BO19*BK19</f>
        <v>369548.662268352</v>
      </c>
      <c r="BQ19" s="31" t="n">
        <f aca="false">IF(ISNUMBER(BG19),BG19*BN19/BD19,"no KPI data")</f>
        <v>371580.344815644</v>
      </c>
      <c r="BR19" s="39" t="s">
        <v>66</v>
      </c>
    </row>
    <row r="20" customFormat="false" ht="17.25" hidden="false" customHeight="true" outlineLevel="0" collapsed="false">
      <c r="A20" s="23" t="s">
        <v>77</v>
      </c>
      <c r="B20" s="24" t="s">
        <v>78</v>
      </c>
      <c r="C20" s="25" t="n">
        <f aca="false">Dashboard!C16</f>
        <v>2913662.84</v>
      </c>
      <c r="D20" s="25" t="n">
        <f aca="false">Dashboard!D16</f>
        <v>4443791.1</v>
      </c>
      <c r="E20" s="26" t="n">
        <f aca="false">Dashboard!E16</f>
        <v>0.655670524206235</v>
      </c>
      <c r="F20" s="26" t="n">
        <f aca="false">Dashboard!F16</f>
        <v>0.018</v>
      </c>
      <c r="G20" s="25" t="n">
        <f aca="false">Dashboard!G16</f>
        <v>79988.2398</v>
      </c>
      <c r="H20" s="26" t="n">
        <f aca="false">Dashboard!H16</f>
        <v>0.673670524206235</v>
      </c>
      <c r="I20" s="41" t="n">
        <f aca="false">Dashboard!I16</f>
        <v>2993651.0798</v>
      </c>
      <c r="J20" s="24"/>
      <c r="K20" s="24" t="s">
        <v>79</v>
      </c>
      <c r="L20" s="31" t="n">
        <f aca="false">GERMANY!C17</f>
        <v>739</v>
      </c>
      <c r="M20" s="31" t="n">
        <f aca="false">GERMANY!D9</f>
        <v>697</v>
      </c>
      <c r="N20" s="31" t="n">
        <f aca="false">L20*M20</f>
        <v>515083</v>
      </c>
      <c r="P20" s="34"/>
      <c r="Q20" s="38" t="n">
        <f aca="false">IFERROR(R20/M20,0)</f>
        <v>1120</v>
      </c>
      <c r="R20" s="35" t="n">
        <f aca="false">Inputs!$C$14*GERMANY!D9</f>
        <v>780640</v>
      </c>
      <c r="S20" s="35"/>
      <c r="T20" s="36"/>
      <c r="U20" s="24" t="s">
        <v>79</v>
      </c>
      <c r="V20" s="31" t="n">
        <f aca="false">GERMANY!D17</f>
        <v>775.95</v>
      </c>
      <c r="W20" s="31" t="n">
        <f aca="false">GERMANY!E9</f>
        <v>1066</v>
      </c>
      <c r="X20" s="31" t="n">
        <f aca="false">V20*W20</f>
        <v>827162.7</v>
      </c>
      <c r="Y20" s="34"/>
      <c r="Z20" s="31"/>
      <c r="AA20" s="40" t="n">
        <f aca="false">IFERROR(AB20/W20,0)</f>
        <v>1176</v>
      </c>
      <c r="AB20" s="31" t="n">
        <f aca="false">Inputs!$C$14*(1+Inputs!$B$9)*GERMANY!E9</f>
        <v>1253616</v>
      </c>
      <c r="AC20" s="31"/>
      <c r="AD20" s="36"/>
      <c r="AE20" s="24" t="s">
        <v>79</v>
      </c>
      <c r="AF20" s="31" t="n">
        <f aca="false">GERMANY!E17</f>
        <v>799.2285</v>
      </c>
      <c r="AG20" s="31" t="n">
        <f aca="false">GERMANY!F9</f>
        <v>1422</v>
      </c>
      <c r="AH20" s="31" t="n">
        <f aca="false">AF20*AG20</f>
        <v>1136502.927</v>
      </c>
      <c r="AI20" s="34"/>
      <c r="AJ20" s="31"/>
      <c r="AK20" s="40" t="n">
        <f aca="false">IFERROR(AL20/AG20,0)</f>
        <v>1211.28</v>
      </c>
      <c r="AL20" s="31" t="n">
        <f aca="false">Inputs!$C$14*(1+Inputs!$B$9)*(1+'Dashboard (2)'!$T$1)*GERMANY!F9</f>
        <v>1722440.16</v>
      </c>
      <c r="AM20" s="31"/>
      <c r="AN20" s="36"/>
      <c r="AO20" s="24" t="s">
        <v>79</v>
      </c>
      <c r="AP20" s="31" t="n">
        <f aca="false">GERMANY!F17</f>
        <v>823.205355</v>
      </c>
      <c r="AQ20" s="31" t="n">
        <f aca="false">GERMANY!G9</f>
        <v>2003</v>
      </c>
      <c r="AR20" s="31" t="n">
        <f aca="false">AP20*AQ20</f>
        <v>1648880.326065</v>
      </c>
      <c r="AS20" s="34"/>
      <c r="AT20" s="31"/>
      <c r="AU20" s="40" t="n">
        <f aca="false">IFERROR(AV20/AQ20,0)</f>
        <v>1247.6184</v>
      </c>
      <c r="AV20" s="31" t="n">
        <f aca="false">Inputs!$C$14*(1+Inputs!$B$9)*(1+'Dashboard (2)'!$T$1)*(1+'Dashboard (2)'!$T$1)*GERMANY!G9</f>
        <v>2498979.6552</v>
      </c>
      <c r="AW20" s="31"/>
      <c r="AX20" s="36"/>
      <c r="AY20" s="24" t="s">
        <v>79</v>
      </c>
      <c r="AZ20" s="31" t="n">
        <f aca="false">GERMANY!G17</f>
        <v>847.90151565</v>
      </c>
      <c r="BA20" s="31" t="n">
        <f aca="false">GERMANY!H9</f>
        <v>2841</v>
      </c>
      <c r="BB20" s="31" t="n">
        <f aca="false">AZ20*BA20</f>
        <v>2408888.20596165</v>
      </c>
      <c r="BC20" s="34"/>
      <c r="BD20" s="31"/>
      <c r="BE20" s="40" t="n">
        <f aca="false">IFERROR(BF20/BA20,0)</f>
        <v>1285.046952</v>
      </c>
      <c r="BF20" s="31" t="n">
        <f aca="false">Inputs!$C$14*(1+Inputs!$B$9)*(1+'Dashboard (2)'!$T$1)*(1+'Dashboard (2)'!$T$1)*(1+'Dashboard (2)'!$T$1)*GERMANY!H9</f>
        <v>3650818.390632</v>
      </c>
      <c r="BG20" s="31"/>
      <c r="BH20" s="36"/>
      <c r="BI20" s="24" t="s">
        <v>79</v>
      </c>
      <c r="BJ20" s="31" t="n">
        <f aca="false">GERMANY!H17</f>
        <v>873.3385611195</v>
      </c>
      <c r="BK20" s="31" t="n">
        <f aca="false">GERMANY!I9</f>
        <v>3756</v>
      </c>
      <c r="BL20" s="31" t="n">
        <f aca="false">BJ20*BK20</f>
        <v>3280259.63556484</v>
      </c>
      <c r="BM20" s="34"/>
      <c r="BN20" s="31"/>
      <c r="BO20" s="40" t="n">
        <f aca="false">IFERROR(BP20/BK20,0)</f>
        <v>1323.59836056</v>
      </c>
      <c r="BP20" s="31" t="n">
        <f aca="false">Inputs!$C$14*(1+Inputs!$B$9)*(1+'Dashboard (2)'!$T$1)*(1+'Dashboard (2)'!$T$1)*(1+'Dashboard (2)'!$T$1)*(1+'Dashboard (2)'!$T$1)*GERMANY!I9</f>
        <v>4971435.44226336</v>
      </c>
      <c r="BQ20" s="31"/>
      <c r="BR20" s="36"/>
    </row>
    <row r="21" customFormat="false" ht="17.25" hidden="false" customHeight="true" outlineLevel="0" collapsed="false">
      <c r="A21" s="23"/>
      <c r="B21" s="24"/>
      <c r="C21" s="25"/>
      <c r="D21" s="25"/>
      <c r="E21" s="26"/>
      <c r="F21" s="26"/>
      <c r="G21" s="25"/>
      <c r="H21" s="26"/>
      <c r="I21" s="41"/>
      <c r="J21" s="24"/>
      <c r="K21" s="24" t="s">
        <v>80</v>
      </c>
      <c r="L21" s="31" t="n">
        <f aca="false">GERMANY!C18</f>
        <v>887</v>
      </c>
      <c r="M21" s="31" t="n">
        <f aca="false">GERMANY!D10</f>
        <v>35</v>
      </c>
      <c r="N21" s="31" t="n">
        <f aca="false">L21*M21</f>
        <v>31045</v>
      </c>
      <c r="O21" s="31"/>
      <c r="P21" s="34"/>
      <c r="Q21" s="38" t="n">
        <f aca="false">IFERROR(R21/M21,0)</f>
        <v>1344</v>
      </c>
      <c r="R21" s="35" t="n">
        <f aca="false">Inputs!$C$15*GERMANY!D10</f>
        <v>47040</v>
      </c>
      <c r="S21" s="35"/>
      <c r="T21" s="36"/>
      <c r="U21" s="24" t="s">
        <v>80</v>
      </c>
      <c r="V21" s="31" t="n">
        <f aca="false">GERMANY!D18</f>
        <v>931.35</v>
      </c>
      <c r="W21" s="31" t="n">
        <f aca="false">GERMANY!E10</f>
        <v>34</v>
      </c>
      <c r="X21" s="31" t="n">
        <f aca="false">V21*W21</f>
        <v>31665.9</v>
      </c>
      <c r="Y21" s="34"/>
      <c r="Z21" s="31"/>
      <c r="AA21" s="40" t="n">
        <f aca="false">IFERROR(AB21/W21,0)</f>
        <v>1411.2</v>
      </c>
      <c r="AB21" s="31" t="n">
        <f aca="false">Inputs!$C$15*(1+Inputs!$B$9)*GERMANY!E10</f>
        <v>47980.8</v>
      </c>
      <c r="AC21" s="31"/>
      <c r="AD21" s="36"/>
      <c r="AE21" s="24" t="s">
        <v>80</v>
      </c>
      <c r="AF21" s="31" t="n">
        <f aca="false">GERMANY!E18</f>
        <v>959.2905</v>
      </c>
      <c r="AG21" s="31" t="n">
        <f aca="false">GERMANY!F10</f>
        <v>33</v>
      </c>
      <c r="AH21" s="31" t="n">
        <f aca="false">AF21*AG21</f>
        <v>31656.5865</v>
      </c>
      <c r="AI21" s="34"/>
      <c r="AJ21" s="31"/>
      <c r="AK21" s="40" t="n">
        <f aca="false">IFERROR(AL21/AG21,0)</f>
        <v>1453.536</v>
      </c>
      <c r="AL21" s="31" t="n">
        <f aca="false">Inputs!$C$15*(1+Inputs!$B$9)*(1+'Dashboard (2)'!$T$1)*GERMANY!F10</f>
        <v>47966.688</v>
      </c>
      <c r="AM21" s="31"/>
      <c r="AN21" s="36"/>
      <c r="AO21" s="24" t="s">
        <v>80</v>
      </c>
      <c r="AP21" s="31" t="n">
        <f aca="false">GERMANY!F18</f>
        <v>988.069215</v>
      </c>
      <c r="AQ21" s="31" t="n">
        <f aca="false">GERMANY!G10</f>
        <v>32</v>
      </c>
      <c r="AR21" s="31" t="n">
        <f aca="false">AP21*AQ21</f>
        <v>31618.21488</v>
      </c>
      <c r="AS21" s="34"/>
      <c r="AT21" s="31"/>
      <c r="AU21" s="40" t="n">
        <f aca="false">IFERROR(AV21/AQ21,0)</f>
        <v>1497.14208</v>
      </c>
      <c r="AV21" s="31" t="n">
        <f aca="false">Inputs!$C$15*(1+Inputs!$B$9)*(1+'Dashboard (2)'!$T$1)*(1+'Dashboard (2)'!$T$1)*GERMANY!G10</f>
        <v>47908.54656</v>
      </c>
      <c r="AW21" s="31"/>
      <c r="AX21" s="36"/>
      <c r="AY21" s="24" t="s">
        <v>80</v>
      </c>
      <c r="AZ21" s="31" t="n">
        <f aca="false">GERMANY!G18</f>
        <v>1017.71129145</v>
      </c>
      <c r="BA21" s="31" t="n">
        <f aca="false">GERMANY!H10</f>
        <v>31</v>
      </c>
      <c r="BB21" s="31" t="n">
        <f aca="false">AZ21*BA21</f>
        <v>31549.05003495</v>
      </c>
      <c r="BC21" s="34"/>
      <c r="BD21" s="31"/>
      <c r="BE21" s="40" t="n">
        <f aca="false">IFERROR(BF21/BA21,0)</f>
        <v>1542.0563424</v>
      </c>
      <c r="BF21" s="31" t="n">
        <f aca="false">Inputs!$C$15*(1+Inputs!$B$9)*(1+'Dashboard (2)'!$T$1)*(1+'Dashboard (2)'!$T$1)*(1+'Dashboard (2)'!$T$1)*GERMANY!H10</f>
        <v>47803.7466144</v>
      </c>
      <c r="BG21" s="31"/>
      <c r="BH21" s="36"/>
      <c r="BI21" s="24" t="s">
        <v>80</v>
      </c>
      <c r="BJ21" s="31" t="n">
        <f aca="false">GERMANY!H18</f>
        <v>1048.2426301935</v>
      </c>
      <c r="BK21" s="31" t="n">
        <f aca="false">GERMANY!I10</f>
        <v>30</v>
      </c>
      <c r="BL21" s="31" t="n">
        <f aca="false">BJ21*BK21</f>
        <v>31447.278905805</v>
      </c>
      <c r="BM21" s="34"/>
      <c r="BN21" s="31"/>
      <c r="BO21" s="40" t="n">
        <f aca="false">IFERROR(BP21/BK21,0)</f>
        <v>1588.318032672</v>
      </c>
      <c r="BP21" s="31" t="n">
        <f aca="false">Inputs!$C$15*(1+Inputs!$B$9)*(1+'Dashboard (2)'!$T$1)*(1+'Dashboard (2)'!$T$1)*(1+'Dashboard (2)'!$T$1)*(1+'Dashboard (2)'!$T$1)*GERMANY!I10</f>
        <v>47649.54098016</v>
      </c>
      <c r="BQ21" s="31"/>
      <c r="BR21" s="36"/>
    </row>
    <row r="22" customFormat="false" ht="17.25" hidden="false" customHeight="true" outlineLevel="0" collapsed="false">
      <c r="A22" s="23"/>
      <c r="B22" s="24"/>
      <c r="C22" s="25"/>
      <c r="D22" s="25"/>
      <c r="E22" s="26"/>
      <c r="F22" s="26"/>
      <c r="G22" s="25"/>
      <c r="H22" s="26"/>
      <c r="I22" s="41"/>
      <c r="J22" s="24"/>
      <c r="K22" s="24" t="s">
        <v>68</v>
      </c>
      <c r="L22" s="31" t="n">
        <f aca="false">GERMANY!C20</f>
        <v>250</v>
      </c>
      <c r="M22" s="31" t="n">
        <f aca="false">GERMANY!D12</f>
        <v>13048</v>
      </c>
      <c r="N22" s="31" t="n">
        <f aca="false">L22*M22</f>
        <v>3262000</v>
      </c>
      <c r="O22" s="31"/>
      <c r="P22" s="34"/>
      <c r="Q22" s="38" t="n">
        <f aca="false">IFERROR(R22/M22,0)</f>
        <v>448</v>
      </c>
      <c r="R22" s="35" t="n">
        <f aca="false">Inputs!$C$13*GERMANY!D12</f>
        <v>5845504</v>
      </c>
      <c r="S22" s="35"/>
      <c r="T22" s="36"/>
      <c r="U22" s="24" t="s">
        <v>68</v>
      </c>
      <c r="V22" s="31" t="n">
        <f aca="false">GERMANY!D20</f>
        <v>262.5</v>
      </c>
      <c r="W22" s="31" t="n">
        <f aca="false">GERMANY!E12</f>
        <v>13657</v>
      </c>
      <c r="X22" s="31" t="n">
        <f aca="false">V22*W22</f>
        <v>3584962.5</v>
      </c>
      <c r="Y22" s="34"/>
      <c r="Z22" s="31"/>
      <c r="AA22" s="40" t="n">
        <f aca="false">IFERROR(AB22/W22,0)</f>
        <v>470.4</v>
      </c>
      <c r="AB22" s="31" t="n">
        <f aca="false">Inputs!$C$13*(1+Inputs!$B$9)*GERMANY!E12</f>
        <v>6424252.8</v>
      </c>
      <c r="AC22" s="31"/>
      <c r="AD22" s="36"/>
      <c r="AE22" s="24" t="s">
        <v>68</v>
      </c>
      <c r="AF22" s="31" t="n">
        <f aca="false">GERMANY!E20</f>
        <v>270.375</v>
      </c>
      <c r="AG22" s="31" t="n">
        <f aca="false">GERMANY!F12</f>
        <v>14247</v>
      </c>
      <c r="AH22" s="31" t="n">
        <f aca="false">AF22*AG22</f>
        <v>3852032.625</v>
      </c>
      <c r="AI22" s="34"/>
      <c r="AJ22" s="31"/>
      <c r="AK22" s="40" t="n">
        <f aca="false">IFERROR(AL22/AG22,0)</f>
        <v>484.512</v>
      </c>
      <c r="AL22" s="31" t="n">
        <f aca="false">Inputs!$C$13*(1+Inputs!$B$9)*(1+'Dashboard (2)'!$T$1)*GERMANY!F12</f>
        <v>6902842.464</v>
      </c>
      <c r="AM22" s="31"/>
      <c r="AN22" s="36"/>
      <c r="AO22" s="24" t="s">
        <v>68</v>
      </c>
      <c r="AP22" s="31" t="n">
        <f aca="false">GERMANY!F20</f>
        <v>278.48625</v>
      </c>
      <c r="AQ22" s="31" t="n">
        <f aca="false">GERMANY!G12</f>
        <v>14820</v>
      </c>
      <c r="AR22" s="31" t="n">
        <f aca="false">AP22*AQ22</f>
        <v>4127166.225</v>
      </c>
      <c r="AS22" s="34"/>
      <c r="AT22" s="31"/>
      <c r="AU22" s="40" t="n">
        <f aca="false">IFERROR(AV22/AQ22,0)</f>
        <v>499.04736</v>
      </c>
      <c r="AV22" s="31" t="n">
        <f aca="false">Inputs!$C$13*(1+Inputs!$B$9)*(1+'Dashboard (2)'!$T$1)*(1+'Dashboard (2)'!$T$1)*GERMANY!G12</f>
        <v>7395881.8752</v>
      </c>
      <c r="AW22" s="31"/>
      <c r="AX22" s="36"/>
      <c r="AY22" s="24" t="s">
        <v>68</v>
      </c>
      <c r="AZ22" s="31" t="n">
        <f aca="false">GERMANY!G20</f>
        <v>286.8408375</v>
      </c>
      <c r="BA22" s="31" t="n">
        <f aca="false">GERMANY!H12</f>
        <v>15375</v>
      </c>
      <c r="BB22" s="31" t="n">
        <f aca="false">AZ22*BA22</f>
        <v>4410177.8765625</v>
      </c>
      <c r="BC22" s="34"/>
      <c r="BD22" s="31"/>
      <c r="BE22" s="40" t="n">
        <f aca="false">IFERROR(BF22/BA22,0)</f>
        <v>514.0187808</v>
      </c>
      <c r="BF22" s="31" t="n">
        <f aca="false">Inputs!$C$13*(1+Inputs!$B$9)*(1+'Dashboard (2)'!$T$1)*(1+'Dashboard (2)'!$T$1)*(1+'Dashboard (2)'!$T$1)*GERMANY!H12</f>
        <v>7903038.7548</v>
      </c>
      <c r="BG22" s="31"/>
      <c r="BH22" s="36"/>
      <c r="BI22" s="24" t="s">
        <v>68</v>
      </c>
      <c r="BJ22" s="31" t="n">
        <f aca="false">GERMANY!H20</f>
        <v>295.446062625</v>
      </c>
      <c r="BK22" s="31" t="n">
        <f aca="false">GERMANY!I12</f>
        <v>15914</v>
      </c>
      <c r="BL22" s="31" t="n">
        <f aca="false">BJ22*BK22</f>
        <v>4701728.64061425</v>
      </c>
      <c r="BM22" s="34"/>
      <c r="BN22" s="31"/>
      <c r="BO22" s="40" t="n">
        <f aca="false">IFERROR(BP22/BK22,0)</f>
        <v>529.439344224</v>
      </c>
      <c r="BP22" s="31" t="n">
        <f aca="false">Inputs!$C$13*(1+Inputs!$B$9)*(1+'Dashboard (2)'!$T$1)*(1+'Dashboard (2)'!$T$1)*(1+'Dashboard (2)'!$T$1)*(1+'Dashboard (2)'!$T$1)*GERMANY!I12</f>
        <v>8425497.72398074</v>
      </c>
      <c r="BQ22" s="31"/>
      <c r="BR22" s="36"/>
    </row>
    <row r="23" customFormat="false" ht="17.25" hidden="false" customHeight="true" outlineLevel="0" collapsed="false">
      <c r="A23" s="23"/>
      <c r="B23" s="24"/>
      <c r="C23" s="25"/>
      <c r="D23" s="25"/>
      <c r="E23" s="26"/>
      <c r="F23" s="26"/>
      <c r="G23" s="25"/>
      <c r="H23" s="26"/>
      <c r="I23" s="41"/>
      <c r="J23" s="24"/>
      <c r="K23" s="24"/>
      <c r="L23" s="31"/>
      <c r="M23" s="31" t="n">
        <f aca="false">SUM(M20:M22)</f>
        <v>13780</v>
      </c>
      <c r="N23" s="31" t="n">
        <f aca="false">SUM(N20:N22)</f>
        <v>3808128</v>
      </c>
      <c r="O23" s="31" t="n">
        <f aca="false">GERMANY!D26</f>
        <v>2641885.14</v>
      </c>
      <c r="P23" s="34" t="n">
        <f aca="false">O23/N23</f>
        <v>0.693749038897852</v>
      </c>
      <c r="Q23" s="34"/>
      <c r="R23" s="35" t="n">
        <f aca="false">SUM(R20:R22)</f>
        <v>6673184</v>
      </c>
      <c r="S23" s="35" t="str">
        <f aca="false">IF(ISNUMBER(Dashboard!Q16),Dashboard!Q16,"no KPI data")</f>
        <v>no KPI data</v>
      </c>
      <c r="T23" s="39" t="s">
        <v>66</v>
      </c>
      <c r="U23" s="24"/>
      <c r="V23" s="31"/>
      <c r="W23" s="31" t="n">
        <f aca="false">SUM(W20:W22)</f>
        <v>14757</v>
      </c>
      <c r="X23" s="31" t="n">
        <f aca="false">SUM(X20:X22)</f>
        <v>4443791.1</v>
      </c>
      <c r="Y23" s="34" t="n">
        <f aca="false">Z23/X23</f>
        <v>0.673670524206235</v>
      </c>
      <c r="Z23" s="31" t="n">
        <f aca="false">GERMANY!E30</f>
        <v>2993651.0798</v>
      </c>
      <c r="AA23" s="31"/>
      <c r="AB23" s="31" t="n">
        <f aca="false">SUM(AB20:AB22)</f>
        <v>7725849.6</v>
      </c>
      <c r="AC23" s="31" t="str">
        <f aca="false">IF(ISNUMBER(S23),S23+Dashboard!G16/(1-Inputs!$B$18),"no KPI data")</f>
        <v>no KPI data</v>
      </c>
      <c r="AD23" s="39" t="s">
        <v>66</v>
      </c>
      <c r="AE23" s="24"/>
      <c r="AF23" s="31"/>
      <c r="AG23" s="31" t="n">
        <f aca="false">SUM(AG20:AG22)</f>
        <v>15702</v>
      </c>
      <c r="AH23" s="31" t="n">
        <f aca="false">SUM(AH20:AH22)</f>
        <v>5020192.1385</v>
      </c>
      <c r="AI23" s="34" t="n">
        <f aca="false">IF(Y23&gt;=Inputs!$B$38,Y23,MIN(Y23+'Dashboard (2)'!$N$2,Inputs!$B$38))</f>
        <v>0.683670524206235</v>
      </c>
      <c r="AJ23" s="31" t="n">
        <f aca="false">AH23*AI23</f>
        <v>3432157.39094431</v>
      </c>
      <c r="AK23" s="31"/>
      <c r="AL23" s="31" t="n">
        <f aca="false">SUM(AL20:AL22)</f>
        <v>8673249.312</v>
      </c>
      <c r="AM23" s="31" t="str">
        <f aca="false">IF(ISNUMBER(AC23),AC23*AJ23/Z23,"no KPI data")</f>
        <v>no KPI data</v>
      </c>
      <c r="AN23" s="39" t="s">
        <v>66</v>
      </c>
      <c r="AO23" s="24"/>
      <c r="AP23" s="31"/>
      <c r="AQ23" s="31" t="n">
        <f aca="false">SUM(AQ20:AQ22)</f>
        <v>16855</v>
      </c>
      <c r="AR23" s="31" t="n">
        <f aca="false">SUM(AR20:AR22)</f>
        <v>5807664.765945</v>
      </c>
      <c r="AS23" s="34" t="n">
        <f aca="false">IF(AI23&gt;=Inputs!$B$38,AI23,MIN(AI23+'Dashboard (2)'!$N$2,Inputs!$B$38))</f>
        <v>0.693670524206235</v>
      </c>
      <c r="AT23" s="31" t="n">
        <f aca="false">AR23*AS23</f>
        <v>4028605.86260715</v>
      </c>
      <c r="AU23" s="31"/>
      <c r="AV23" s="31" t="n">
        <f aca="false">SUM(AV20:AV22)</f>
        <v>9942770.07696</v>
      </c>
      <c r="AW23" s="31" t="str">
        <f aca="false">IF(ISNUMBER(AM23),AM23*AT23/AJ23,"no KPI data")</f>
        <v>no KPI data</v>
      </c>
      <c r="AX23" s="39" t="s">
        <v>66</v>
      </c>
      <c r="AY23" s="24"/>
      <c r="AZ23" s="31"/>
      <c r="BA23" s="31" t="n">
        <f aca="false">SUM(BA20:BA22)</f>
        <v>18247</v>
      </c>
      <c r="BB23" s="31" t="n">
        <f aca="false">SUM(BB20:BB22)</f>
        <v>6850615.1325591</v>
      </c>
      <c r="BC23" s="34" t="n">
        <f aca="false">IF(AS23&gt;=Inputs!$B$38,AS23,MIN(AS23+'Dashboard (2)'!$N$2,Inputs!$B$38))</f>
        <v>0.703670524206235</v>
      </c>
      <c r="BD23" s="31" t="n">
        <f aca="false">BB23*BC23</f>
        <v>4820575.94146303</v>
      </c>
      <c r="BE23" s="31"/>
      <c r="BF23" s="31" t="n">
        <f aca="false">SUM(BF20:BF22)</f>
        <v>11601660.8920464</v>
      </c>
      <c r="BG23" s="31" t="str">
        <f aca="false">IF(ISNUMBER(AW23),AW23*BD23/AT23,"no KPI data")</f>
        <v>no KPI data</v>
      </c>
      <c r="BH23" s="39" t="s">
        <v>66</v>
      </c>
      <c r="BI23" s="24"/>
      <c r="BJ23" s="31"/>
      <c r="BK23" s="31" t="n">
        <f aca="false">SUM(BK20:BK22)</f>
        <v>19700</v>
      </c>
      <c r="BL23" s="31" t="n">
        <f aca="false">SUM(BL20:BL22)</f>
        <v>8013435.5550849</v>
      </c>
      <c r="BM23" s="34" t="n">
        <f aca="false">IF(BC23&gt;=Inputs!$B$38,BC23,MIN(BC23+'Dashboard (2)'!$N$2,Inputs!$B$38))</f>
        <v>0.713670524206235</v>
      </c>
      <c r="BN23" s="31" t="n">
        <f aca="false">BL23*BM23</f>
        <v>5718952.75329032</v>
      </c>
      <c r="BO23" s="31"/>
      <c r="BP23" s="31" t="n">
        <f aca="false">SUM(BP20:BP22)</f>
        <v>13444582.7072243</v>
      </c>
      <c r="BQ23" s="31" t="str">
        <f aca="false">IF(ISNUMBER(BG23),BG23*BN23/BD23,"no KPI data")</f>
        <v>no KPI data</v>
      </c>
      <c r="BR23" s="39" t="s">
        <v>66</v>
      </c>
    </row>
    <row r="24" customFormat="false" ht="17.25" hidden="false" customHeight="true" outlineLevel="0" collapsed="false">
      <c r="A24" s="23" t="s">
        <v>81</v>
      </c>
      <c r="B24" s="24" t="s">
        <v>78</v>
      </c>
      <c r="C24" s="25" t="n">
        <f aca="false">Dashboard!C17</f>
        <v>2296577.34</v>
      </c>
      <c r="D24" s="25" t="n">
        <f aca="false">Dashboard!D17</f>
        <v>2739612.75</v>
      </c>
      <c r="E24" s="26" t="n">
        <f aca="false">Dashboard!E17</f>
        <v>0.838285389057267</v>
      </c>
      <c r="F24" s="26" t="n">
        <f aca="false">Dashboard!F17</f>
        <v>0.018</v>
      </c>
      <c r="G24" s="25" t="n">
        <f aca="false">Dashboard!G17</f>
        <v>49313.0295</v>
      </c>
      <c r="H24" s="26" t="n">
        <f aca="false">Dashboard!H17</f>
        <v>0.856285389057267</v>
      </c>
      <c r="I24" s="41" t="n">
        <f aca="false">Dashboard!I17</f>
        <v>2345890.3695</v>
      </c>
      <c r="J24" s="24"/>
      <c r="K24" s="24" t="s">
        <v>79</v>
      </c>
      <c r="L24" s="31" t="n">
        <f aca="false">BELGIUM!C17</f>
        <v>739</v>
      </c>
      <c r="M24" s="31" t="n">
        <f aca="false">BELGIUM!D9</f>
        <v>113</v>
      </c>
      <c r="N24" s="31" t="n">
        <f aca="false">L24*M24</f>
        <v>83507</v>
      </c>
      <c r="P24" s="34"/>
      <c r="Q24" s="38" t="n">
        <f aca="false">IFERROR(R24/M24,0)</f>
        <v>1120</v>
      </c>
      <c r="R24" s="35" t="n">
        <f aca="false">Inputs!$C$14*BELGIUM!D9</f>
        <v>126560</v>
      </c>
      <c r="S24" s="35"/>
      <c r="T24" s="36"/>
      <c r="U24" s="24" t="s">
        <v>79</v>
      </c>
      <c r="V24" s="31" t="n">
        <f aca="false">BELGIUM!D17</f>
        <v>775.95</v>
      </c>
      <c r="W24" s="31" t="n">
        <f aca="false">BELGIUM!E9</f>
        <v>145</v>
      </c>
      <c r="X24" s="31" t="n">
        <f aca="false">V24*W24</f>
        <v>112512.75</v>
      </c>
      <c r="Y24" s="34"/>
      <c r="Z24" s="31"/>
      <c r="AA24" s="40" t="n">
        <f aca="false">IFERROR(AB24/W24,0)</f>
        <v>1176</v>
      </c>
      <c r="AB24" s="31" t="n">
        <f aca="false">Inputs!$C$14*(1+Inputs!$B$9)*BELGIUM!E9</f>
        <v>170520</v>
      </c>
      <c r="AC24" s="31"/>
      <c r="AD24" s="36"/>
      <c r="AE24" s="24" t="s">
        <v>79</v>
      </c>
      <c r="AF24" s="31" t="n">
        <f aca="false">BELGIUM!E17</f>
        <v>799.2285</v>
      </c>
      <c r="AG24" s="31" t="n">
        <f aca="false">BELGIUM!F9</f>
        <v>176</v>
      </c>
      <c r="AH24" s="31" t="n">
        <f aca="false">AF24*AG24</f>
        <v>140664.216</v>
      </c>
      <c r="AI24" s="34"/>
      <c r="AJ24" s="31"/>
      <c r="AK24" s="40" t="n">
        <f aca="false">IFERROR(AL24/AG24,0)</f>
        <v>1211.28</v>
      </c>
      <c r="AL24" s="31" t="n">
        <f aca="false">Inputs!$C$14*(1+Inputs!$B$9)*(1+'Dashboard (2)'!$T$1)*BELGIUM!F9</f>
        <v>213185.28</v>
      </c>
      <c r="AM24" s="31"/>
      <c r="AN24" s="36"/>
      <c r="AO24" s="24" t="s">
        <v>79</v>
      </c>
      <c r="AP24" s="31" t="n">
        <f aca="false">BELGIUM!F17</f>
        <v>823.205355</v>
      </c>
      <c r="AQ24" s="31" t="n">
        <f aca="false">BELGIUM!G9</f>
        <v>206</v>
      </c>
      <c r="AR24" s="31" t="n">
        <f aca="false">AP24*AQ24</f>
        <v>169580.30313</v>
      </c>
      <c r="AS24" s="34"/>
      <c r="AT24" s="31"/>
      <c r="AU24" s="40" t="n">
        <f aca="false">IFERROR(AV24/AQ24,0)</f>
        <v>1247.6184</v>
      </c>
      <c r="AV24" s="31" t="n">
        <f aca="false">Inputs!$C$14*(1+Inputs!$B$9)*(1+'Dashboard (2)'!$T$1)*(1+'Dashboard (2)'!$T$1)*BELGIUM!G9</f>
        <v>257009.3904</v>
      </c>
      <c r="AW24" s="31"/>
      <c r="AX24" s="36"/>
      <c r="AY24" s="24" t="s">
        <v>79</v>
      </c>
      <c r="AZ24" s="31" t="n">
        <f aca="false">BELGIUM!G17</f>
        <v>847.90151565</v>
      </c>
      <c r="BA24" s="31" t="n">
        <f aca="false">BELGIUM!H9</f>
        <v>235</v>
      </c>
      <c r="BB24" s="31" t="n">
        <f aca="false">AZ24*BA24</f>
        <v>199256.85617775</v>
      </c>
      <c r="BC24" s="34"/>
      <c r="BD24" s="31"/>
      <c r="BE24" s="40" t="n">
        <f aca="false">IFERROR(BF24/BA24,0)</f>
        <v>1285.046952</v>
      </c>
      <c r="BF24" s="31" t="n">
        <f aca="false">Inputs!$C$14*(1+Inputs!$B$9)*(1+'Dashboard (2)'!$T$1)*(1+'Dashboard (2)'!$T$1)*(1+'Dashboard (2)'!$T$1)*BELGIUM!H9</f>
        <v>301986.03372</v>
      </c>
      <c r="BG24" s="31"/>
      <c r="BH24" s="36"/>
      <c r="BI24" s="24" t="s">
        <v>79</v>
      </c>
      <c r="BJ24" s="31" t="n">
        <f aca="false">BELGIUM!H17</f>
        <v>873.3385611195</v>
      </c>
      <c r="BK24" s="31" t="n">
        <f aca="false">BELGIUM!I9</f>
        <v>263</v>
      </c>
      <c r="BL24" s="31" t="n">
        <f aca="false">BJ24*BK24</f>
        <v>229688.041574429</v>
      </c>
      <c r="BM24" s="34"/>
      <c r="BN24" s="31"/>
      <c r="BO24" s="40" t="n">
        <f aca="false">IFERROR(BP24/BK24,0)</f>
        <v>1323.59836056</v>
      </c>
      <c r="BP24" s="31" t="n">
        <f aca="false">Inputs!$C$14*(1+Inputs!$B$9)*(1+'Dashboard (2)'!$T$1)*(1+'Dashboard (2)'!$T$1)*(1+'Dashboard (2)'!$T$1)*(1+'Dashboard (2)'!$T$1)*BELGIUM!I9</f>
        <v>348106.36882728</v>
      </c>
      <c r="BQ24" s="31"/>
      <c r="BR24" s="36"/>
    </row>
    <row r="25" customFormat="false" ht="17.25" hidden="false" customHeight="true" outlineLevel="0" collapsed="false">
      <c r="A25" s="23"/>
      <c r="B25" s="24"/>
      <c r="C25" s="25"/>
      <c r="D25" s="25"/>
      <c r="E25" s="26"/>
      <c r="F25" s="26"/>
      <c r="G25" s="25"/>
      <c r="H25" s="26"/>
      <c r="I25" s="41"/>
      <c r="J25" s="24"/>
      <c r="K25" s="24" t="s">
        <v>68</v>
      </c>
      <c r="L25" s="31" t="n">
        <f aca="false">BELGIUM!C20</f>
        <v>250</v>
      </c>
      <c r="M25" s="31" t="n">
        <f aca="false">BELGIUM!D12</f>
        <v>9452</v>
      </c>
      <c r="N25" s="31" t="n">
        <f aca="false">L25*M25</f>
        <v>2363000</v>
      </c>
      <c r="O25" s="31"/>
      <c r="P25" s="34"/>
      <c r="Q25" s="38" t="n">
        <f aca="false">IFERROR(R25/M25,0)</f>
        <v>448</v>
      </c>
      <c r="R25" s="35" t="n">
        <f aca="false">Inputs!$C$13*BELGIUM!D12</f>
        <v>4234496</v>
      </c>
      <c r="S25" s="35"/>
      <c r="T25" s="36"/>
      <c r="U25" s="24" t="s">
        <v>68</v>
      </c>
      <c r="V25" s="31" t="n">
        <f aca="false">BELGIUM!D20</f>
        <v>262.5</v>
      </c>
      <c r="W25" s="31" t="n">
        <f aca="false">BELGIUM!E12</f>
        <v>10008</v>
      </c>
      <c r="X25" s="31" t="n">
        <f aca="false">V25*W25</f>
        <v>2627100</v>
      </c>
      <c r="Y25" s="34"/>
      <c r="Z25" s="31"/>
      <c r="AA25" s="40" t="n">
        <f aca="false">IFERROR(AB25/W25,0)</f>
        <v>470.4</v>
      </c>
      <c r="AB25" s="31" t="n">
        <f aca="false">Inputs!$C$13*(1+Inputs!$B$9)*BELGIUM!E12</f>
        <v>4707763.2</v>
      </c>
      <c r="AC25" s="31"/>
      <c r="AD25" s="36"/>
      <c r="AE25" s="24" t="s">
        <v>68</v>
      </c>
      <c r="AF25" s="31" t="n">
        <f aca="false">BELGIUM!E20</f>
        <v>270.375</v>
      </c>
      <c r="AG25" s="31" t="n">
        <f aca="false">BELGIUM!F12</f>
        <v>10548</v>
      </c>
      <c r="AH25" s="31" t="n">
        <f aca="false">AF25*AG25</f>
        <v>2851915.5</v>
      </c>
      <c r="AI25" s="34"/>
      <c r="AJ25" s="31"/>
      <c r="AK25" s="40" t="n">
        <f aca="false">IFERROR(AL25/AG25,0)</f>
        <v>484.512</v>
      </c>
      <c r="AL25" s="31" t="n">
        <f aca="false">Inputs!$C$13*(1+Inputs!$B$9)*(1+'Dashboard (2)'!$T$1)*BELGIUM!F12</f>
        <v>5110632.576</v>
      </c>
      <c r="AM25" s="31"/>
      <c r="AN25" s="36"/>
      <c r="AO25" s="24" t="s">
        <v>68</v>
      </c>
      <c r="AP25" s="31" t="n">
        <f aca="false">BELGIUM!F20</f>
        <v>278.48625</v>
      </c>
      <c r="AQ25" s="31" t="n">
        <f aca="false">BELGIUM!G12</f>
        <v>11072</v>
      </c>
      <c r="AR25" s="31" t="n">
        <f aca="false">AP25*AQ25</f>
        <v>3083399.76</v>
      </c>
      <c r="AS25" s="34"/>
      <c r="AT25" s="31"/>
      <c r="AU25" s="40" t="n">
        <f aca="false">IFERROR(AV25/AQ25,0)</f>
        <v>499.04736</v>
      </c>
      <c r="AV25" s="31" t="n">
        <f aca="false">Inputs!$C$13*(1+Inputs!$B$9)*(1+'Dashboard (2)'!$T$1)*(1+'Dashboard (2)'!$T$1)*BELGIUM!G12</f>
        <v>5525452.36992</v>
      </c>
      <c r="AW25" s="31"/>
      <c r="AX25" s="36"/>
      <c r="AY25" s="24" t="s">
        <v>68</v>
      </c>
      <c r="AZ25" s="31" t="n">
        <f aca="false">BELGIUM!G20</f>
        <v>286.8408375</v>
      </c>
      <c r="BA25" s="31" t="n">
        <f aca="false">BELGIUM!H12</f>
        <v>11580</v>
      </c>
      <c r="BB25" s="31" t="n">
        <f aca="false">AZ25*BA25</f>
        <v>3321616.89825</v>
      </c>
      <c r="BC25" s="34"/>
      <c r="BD25" s="31"/>
      <c r="BE25" s="40" t="n">
        <f aca="false">IFERROR(BF25/BA25,0)</f>
        <v>514.0187808</v>
      </c>
      <c r="BF25" s="31" t="n">
        <f aca="false">Inputs!$C$13*(1+Inputs!$B$9)*(1+'Dashboard (2)'!$T$1)*(1+'Dashboard (2)'!$T$1)*(1+'Dashboard (2)'!$T$1)*BELGIUM!H12</f>
        <v>5952337.481664</v>
      </c>
      <c r="BG25" s="31"/>
      <c r="BH25" s="36"/>
      <c r="BI25" s="24" t="s">
        <v>68</v>
      </c>
      <c r="BJ25" s="31" t="n">
        <f aca="false">BELGIUM!H20</f>
        <v>295.446062625</v>
      </c>
      <c r="BK25" s="31" t="n">
        <f aca="false">BELGIUM!I12</f>
        <v>12073</v>
      </c>
      <c r="BL25" s="31" t="n">
        <f aca="false">BJ25*BK25</f>
        <v>3566920.31407162</v>
      </c>
      <c r="BM25" s="34"/>
      <c r="BN25" s="31"/>
      <c r="BO25" s="40" t="n">
        <f aca="false">IFERROR(BP25/BK25,0)</f>
        <v>529.439344224</v>
      </c>
      <c r="BP25" s="31" t="n">
        <f aca="false">Inputs!$C$13*(1+Inputs!$B$9)*(1+'Dashboard (2)'!$T$1)*(1+'Dashboard (2)'!$T$1)*(1+'Dashboard (2)'!$T$1)*(1+'Dashboard (2)'!$T$1)*BELGIUM!I12</f>
        <v>6391921.20281635</v>
      </c>
      <c r="BQ25" s="31"/>
      <c r="BR25" s="36"/>
    </row>
    <row r="26" customFormat="false" ht="17.25" hidden="false" customHeight="true" outlineLevel="0" collapsed="false">
      <c r="A26" s="23"/>
      <c r="B26" s="24"/>
      <c r="C26" s="25"/>
      <c r="D26" s="25"/>
      <c r="E26" s="26"/>
      <c r="F26" s="26"/>
      <c r="G26" s="25"/>
      <c r="H26" s="26"/>
      <c r="I26" s="41"/>
      <c r="J26" s="24"/>
      <c r="K26" s="24"/>
      <c r="L26" s="31"/>
      <c r="M26" s="31" t="n">
        <f aca="false">SUM(M24:M25)</f>
        <v>9565</v>
      </c>
      <c r="N26" s="31" t="n">
        <f aca="false">SUM(N24:N25)</f>
        <v>2446507</v>
      </c>
      <c r="O26" s="31" t="n">
        <f aca="false">BELGIUM!D26</f>
        <v>2110127.66</v>
      </c>
      <c r="P26" s="34" t="n">
        <f aca="false">O26/N26</f>
        <v>0.862506283448198</v>
      </c>
      <c r="Q26" s="34"/>
      <c r="R26" s="35" t="n">
        <f aca="false">SUM(R24:R25)</f>
        <v>4361056</v>
      </c>
      <c r="S26" s="35" t="n">
        <f aca="false">IF(ISNUMBER(Dashboard!Q17),Dashboard!Q17,"no KPI data")</f>
        <v>6834272</v>
      </c>
      <c r="T26" s="39" t="s">
        <v>66</v>
      </c>
      <c r="U26" s="24"/>
      <c r="V26" s="31"/>
      <c r="W26" s="31" t="n">
        <f aca="false">SUM(W24:W25)</f>
        <v>10153</v>
      </c>
      <c r="X26" s="31" t="n">
        <f aca="false">SUM(X24:X25)</f>
        <v>2739612.75</v>
      </c>
      <c r="Y26" s="34" t="n">
        <f aca="false">Z26/X26</f>
        <v>0.856285389057267</v>
      </c>
      <c r="Z26" s="31" t="n">
        <f aca="false">BELGIUM!E30</f>
        <v>2345890.3695</v>
      </c>
      <c r="AA26" s="31"/>
      <c r="AB26" s="31" t="n">
        <f aca="false">SUM(AB24:AB25)</f>
        <v>4878283.2</v>
      </c>
      <c r="AC26" s="31" t="n">
        <f aca="false">IF(ISNUMBER(S26),S26+Dashboard!G17/(1-Inputs!$B$18),"no KPI data")</f>
        <v>6910138.19923077</v>
      </c>
      <c r="AD26" s="39" t="s">
        <v>66</v>
      </c>
      <c r="AE26" s="24"/>
      <c r="AF26" s="31"/>
      <c r="AG26" s="31" t="n">
        <f aca="false">SUM(AG24:AG25)</f>
        <v>10724</v>
      </c>
      <c r="AH26" s="31" t="n">
        <f aca="false">SUM(AH24:AH25)</f>
        <v>2992579.716</v>
      </c>
      <c r="AI26" s="34" t="n">
        <f aca="false">IF(Y26&gt;=Inputs!$B$38,Y26,MIN(Y26+'Dashboard (2)'!$N$2,Inputs!$B$38))</f>
        <v>0.866285389057267</v>
      </c>
      <c r="AJ26" s="31" t="n">
        <f aca="false">AH26*AI26</f>
        <v>2592428.08355995</v>
      </c>
      <c r="AK26" s="31"/>
      <c r="AL26" s="31" t="n">
        <f aca="false">SUM(AL24:AL25)</f>
        <v>5323817.856</v>
      </c>
      <c r="AM26" s="31" t="n">
        <f aca="false">IF(ISNUMBER(AC26),AC26*AJ26/Z26,"no KPI data")</f>
        <v>7636348.46788871</v>
      </c>
      <c r="AN26" s="39" t="s">
        <v>66</v>
      </c>
      <c r="AO26" s="24"/>
      <c r="AP26" s="31"/>
      <c r="AQ26" s="31" t="n">
        <f aca="false">SUM(AQ24:AQ25)</f>
        <v>11278</v>
      </c>
      <c r="AR26" s="31" t="n">
        <f aca="false">SUM(AR24:AR25)</f>
        <v>3252980.06313</v>
      </c>
      <c r="AS26" s="34" t="n">
        <f aca="false">IF(AI26&gt;=Inputs!$B$38,AI26,MIN(AI26+'Dashboard (2)'!$N$2,Inputs!$B$38))</f>
        <v>0.876285389057267</v>
      </c>
      <c r="AT26" s="31" t="n">
        <f aca="false">AR26*AS26</f>
        <v>2850538.90021541</v>
      </c>
      <c r="AU26" s="31"/>
      <c r="AV26" s="31" t="n">
        <f aca="false">SUM(AV24:AV25)</f>
        <v>5782461.76032</v>
      </c>
      <c r="AW26" s="31" t="n">
        <f aca="false">IF(ISNUMBER(AM26),AM26*AT26/AJ26,"no KPI data")</f>
        <v>8396648.87961924</v>
      </c>
      <c r="AX26" s="39" t="s">
        <v>66</v>
      </c>
      <c r="AY26" s="24"/>
      <c r="AZ26" s="31"/>
      <c r="BA26" s="31" t="n">
        <f aca="false">SUM(BA24:BA25)</f>
        <v>11815</v>
      </c>
      <c r="BB26" s="31" t="n">
        <f aca="false">SUM(BB24:BB25)</f>
        <v>3520873.75442775</v>
      </c>
      <c r="BC26" s="34" t="n">
        <f aca="false">IF(AS26&gt;=Inputs!$B$38,AS26,MIN(AS26+'Dashboard (2)'!$N$2,Inputs!$B$38))</f>
        <v>0.886285389057267</v>
      </c>
      <c r="BD26" s="31" t="n">
        <f aca="false">BB26*BC26</f>
        <v>3120498.96526452</v>
      </c>
      <c r="BE26" s="31"/>
      <c r="BF26" s="31" t="n">
        <f aca="false">SUM(BF24:BF25)</f>
        <v>6254323.515384</v>
      </c>
      <c r="BG26" s="31" t="n">
        <f aca="false">IF(ISNUMBER(AW26),AW26*BD26/AT26,"no KPI data")</f>
        <v>9191852.85931771</v>
      </c>
      <c r="BH26" s="39" t="s">
        <v>66</v>
      </c>
      <c r="BI26" s="24"/>
      <c r="BJ26" s="31"/>
      <c r="BK26" s="31" t="n">
        <f aca="false">SUM(BK24:BK25)</f>
        <v>12336</v>
      </c>
      <c r="BL26" s="31" t="n">
        <f aca="false">SUM(BL24:BL25)</f>
        <v>3796608.35564605</v>
      </c>
      <c r="BM26" s="34" t="n">
        <f aca="false">IF(BC26&gt;=Inputs!$B$38,BC26,MIN(BC26+'Dashboard (2)'!$N$2,Inputs!$B$38))</f>
        <v>0.896285389057267</v>
      </c>
      <c r="BN26" s="31" t="n">
        <f aca="false">BL26*BM26</f>
        <v>3402844.5971383</v>
      </c>
      <c r="BO26" s="31"/>
      <c r="BP26" s="31" t="n">
        <f aca="false">SUM(BP24:BP25)</f>
        <v>6740027.57164363</v>
      </c>
      <c r="BQ26" s="31" t="n">
        <f aca="false">IF(ISNUMBER(BG26),BG26*BN26/BD26,"no KPI data")</f>
        <v>10023540.2056504</v>
      </c>
      <c r="BR26" s="39" t="s">
        <v>66</v>
      </c>
    </row>
    <row r="27" customFormat="false" ht="17.25" hidden="false" customHeight="true" outlineLevel="0" collapsed="false">
      <c r="A27" s="23" t="s">
        <v>82</v>
      </c>
      <c r="B27" s="24" t="s">
        <v>78</v>
      </c>
      <c r="C27" s="25" t="n">
        <f aca="false">Dashboard!C18</f>
        <v>1858269.4</v>
      </c>
      <c r="D27" s="25" t="n">
        <f aca="false">Dashboard!D18</f>
        <v>3788245.65</v>
      </c>
      <c r="E27" s="26" t="n">
        <f aca="false">Dashboard!E18</f>
        <v>0.490535612441078</v>
      </c>
      <c r="F27" s="26" t="n">
        <f aca="false">Dashboard!F18</f>
        <v>0.018</v>
      </c>
      <c r="G27" s="25" t="n">
        <f aca="false">Dashboard!G18</f>
        <v>68188.4217</v>
      </c>
      <c r="H27" s="26" t="n">
        <f aca="false">Dashboard!H18</f>
        <v>0.508535612441078</v>
      </c>
      <c r="I27" s="41" t="n">
        <f aca="false">Dashboard!I18</f>
        <v>1926457.8217</v>
      </c>
      <c r="J27" s="24"/>
      <c r="K27" s="24" t="s">
        <v>83</v>
      </c>
      <c r="L27" s="31" t="n">
        <f aca="false">PORTUGAL!C17</f>
        <v>739</v>
      </c>
      <c r="M27" s="31" t="n">
        <f aca="false">PORTUGAL!D9</f>
        <v>2206</v>
      </c>
      <c r="N27" s="31" t="n">
        <f aca="false">L27*M27</f>
        <v>1630234</v>
      </c>
      <c r="P27" s="34"/>
      <c r="Q27" s="38" t="n">
        <f aca="false">IFERROR(R27/M27,0)</f>
        <v>1120</v>
      </c>
      <c r="R27" s="35" t="n">
        <f aca="false">Inputs!$C$14*PORTUGAL!D9</f>
        <v>2470720</v>
      </c>
      <c r="S27" s="35"/>
      <c r="T27" s="36"/>
      <c r="U27" s="24" t="s">
        <v>83</v>
      </c>
      <c r="V27" s="31" t="n">
        <f aca="false">PORTUGAL!D17</f>
        <v>775.95</v>
      </c>
      <c r="W27" s="31" t="n">
        <f aca="false">PORTUGAL!E9</f>
        <v>2596</v>
      </c>
      <c r="X27" s="31" t="n">
        <f aca="false">V27*W27</f>
        <v>2014366.2</v>
      </c>
      <c r="Y27" s="34"/>
      <c r="Z27" s="31"/>
      <c r="AA27" s="40" t="n">
        <f aca="false">IFERROR(AB27/W27,0)</f>
        <v>1176</v>
      </c>
      <c r="AB27" s="31" t="n">
        <f aca="false">Inputs!$C$14*(1+Inputs!$B$9)*PORTUGAL!E9</f>
        <v>3052896</v>
      </c>
      <c r="AC27" s="31"/>
      <c r="AD27" s="36"/>
      <c r="AE27" s="24" t="s">
        <v>83</v>
      </c>
      <c r="AF27" s="31" t="n">
        <f aca="false">PORTUGAL!E17</f>
        <v>799.2285</v>
      </c>
      <c r="AG27" s="31" t="n">
        <f aca="false">PORTUGAL!F9</f>
        <v>2974</v>
      </c>
      <c r="AH27" s="31" t="n">
        <f aca="false">AF27*AG27</f>
        <v>2376905.559</v>
      </c>
      <c r="AI27" s="34"/>
      <c r="AJ27" s="31"/>
      <c r="AK27" s="40" t="n">
        <f aca="false">IFERROR(AL27/AG27,0)</f>
        <v>1211.28</v>
      </c>
      <c r="AL27" s="31" t="n">
        <f aca="false">Inputs!$C$14*(1+Inputs!$B$9)*(1+'Dashboard (2)'!$T$1)*PORTUGAL!F9</f>
        <v>3602346.72</v>
      </c>
      <c r="AM27" s="31"/>
      <c r="AN27" s="36"/>
      <c r="AO27" s="24" t="s">
        <v>83</v>
      </c>
      <c r="AP27" s="31" t="n">
        <f aca="false">PORTUGAL!F17</f>
        <v>823.205355</v>
      </c>
      <c r="AQ27" s="31" t="n">
        <f aca="false">PORTUGAL!G9</f>
        <v>3341</v>
      </c>
      <c r="AR27" s="31" t="n">
        <f aca="false">AP27*AQ27</f>
        <v>2750329.091055</v>
      </c>
      <c r="AS27" s="34"/>
      <c r="AT27" s="31"/>
      <c r="AU27" s="40" t="n">
        <f aca="false">IFERROR(AV27/AQ27,0)</f>
        <v>1247.6184</v>
      </c>
      <c r="AV27" s="31" t="n">
        <f aca="false">Inputs!$C$14*(1+Inputs!$B$9)*(1+'Dashboard (2)'!$T$1)*(1+'Dashboard (2)'!$T$1)*PORTUGAL!G9</f>
        <v>4168293.0744</v>
      </c>
      <c r="AW27" s="31"/>
      <c r="AX27" s="36"/>
      <c r="AY27" s="24" t="s">
        <v>83</v>
      </c>
      <c r="AZ27" s="31" t="n">
        <f aca="false">PORTUGAL!G17</f>
        <v>847.90151565</v>
      </c>
      <c r="BA27" s="31" t="n">
        <f aca="false">PORTUGAL!H9</f>
        <v>3697</v>
      </c>
      <c r="BB27" s="31" t="n">
        <f aca="false">AZ27*BA27</f>
        <v>3134691.90335805</v>
      </c>
      <c r="BC27" s="34"/>
      <c r="BD27" s="31"/>
      <c r="BE27" s="40" t="n">
        <f aca="false">IFERROR(BF27/BA27,0)</f>
        <v>1285.046952</v>
      </c>
      <c r="BF27" s="31" t="n">
        <f aca="false">Inputs!$C$14*(1+Inputs!$B$9)*(1+'Dashboard (2)'!$T$1)*(1+'Dashboard (2)'!$T$1)*(1+'Dashboard (2)'!$T$1)*PORTUGAL!H9</f>
        <v>4750818.581544</v>
      </c>
      <c r="BG27" s="31"/>
      <c r="BH27" s="36"/>
      <c r="BI27" s="24" t="s">
        <v>83</v>
      </c>
      <c r="BJ27" s="31" t="n">
        <f aca="false">PORTUGAL!H17</f>
        <v>873.3385611195</v>
      </c>
      <c r="BK27" s="31" t="n">
        <f aca="false">PORTUGAL!I9</f>
        <v>4042</v>
      </c>
      <c r="BL27" s="31" t="n">
        <f aca="false">BJ27*BK27</f>
        <v>3530034.46404502</v>
      </c>
      <c r="BM27" s="34"/>
      <c r="BN27" s="31"/>
      <c r="BO27" s="40" t="n">
        <f aca="false">IFERROR(BP27/BK27,0)</f>
        <v>1323.59836056</v>
      </c>
      <c r="BP27" s="31" t="n">
        <f aca="false">Inputs!$C$14*(1+Inputs!$B$9)*(1+'Dashboard (2)'!$T$1)*(1+'Dashboard (2)'!$T$1)*(1+'Dashboard (2)'!$T$1)*(1+'Dashboard (2)'!$T$1)*PORTUGAL!I9</f>
        <v>5349984.57338352</v>
      </c>
      <c r="BQ27" s="31"/>
      <c r="BR27" s="36"/>
    </row>
    <row r="28" customFormat="false" ht="17.25" hidden="false" customHeight="true" outlineLevel="0" collapsed="false">
      <c r="A28" s="23"/>
      <c r="B28" s="24"/>
      <c r="C28" s="25"/>
      <c r="D28" s="25"/>
      <c r="E28" s="26"/>
      <c r="F28" s="26"/>
      <c r="G28" s="25"/>
      <c r="H28" s="26"/>
      <c r="I28" s="41"/>
      <c r="J28" s="24"/>
      <c r="K28" s="24" t="s">
        <v>84</v>
      </c>
      <c r="L28" s="31" t="n">
        <f aca="false">IFERROR(N28/M28,0)</f>
        <v>887</v>
      </c>
      <c r="M28" s="31" t="n">
        <f aca="false">PORTUGAL!D10+PORTUGAL!D11</f>
        <v>269</v>
      </c>
      <c r="N28" s="31" t="n">
        <f aca="false">PORTUGAL!C18*PORTUGAL!D10+PORTUGAL!C19*PORTUGAL!D11</f>
        <v>238603</v>
      </c>
      <c r="O28" s="31"/>
      <c r="P28" s="34"/>
      <c r="Q28" s="38" t="n">
        <f aca="false">IFERROR(R28/M28,0)</f>
        <v>1344</v>
      </c>
      <c r="R28" s="35" t="n">
        <f aca="false">Inputs!$C$15*PORTUGAL!D10+Inputs!$C$15*PORTUGAL!D11</f>
        <v>361536</v>
      </c>
      <c r="S28" s="35"/>
      <c r="T28" s="36"/>
      <c r="U28" s="24" t="s">
        <v>84</v>
      </c>
      <c r="V28" s="31" t="n">
        <f aca="false">IFERROR(X28/W28,0)</f>
        <v>931.35</v>
      </c>
      <c r="W28" s="31" t="n">
        <f aca="false">PORTUGAL!E10+PORTUGAL!E11</f>
        <v>357</v>
      </c>
      <c r="X28" s="31" t="n">
        <f aca="false">PORTUGAL!D18*PORTUGAL!E10+PORTUGAL!D19*PORTUGAL!E11</f>
        <v>332491.95</v>
      </c>
      <c r="Y28" s="34"/>
      <c r="Z28" s="31"/>
      <c r="AA28" s="40" t="n">
        <f aca="false">IFERROR(AB28/W28,0)</f>
        <v>1411.2</v>
      </c>
      <c r="AB28" s="31" t="n">
        <f aca="false">Inputs!$C$15*(1+Inputs!$B$9)*PORTUGAL!E10+Inputs!$C$15*(1+Inputs!$B$9)*PORTUGAL!E11</f>
        <v>503798.4</v>
      </c>
      <c r="AC28" s="31"/>
      <c r="AD28" s="36"/>
      <c r="AE28" s="24" t="s">
        <v>84</v>
      </c>
      <c r="AF28" s="31" t="n">
        <f aca="false">IFERROR(AH28/AG28,0)</f>
        <v>959.2905</v>
      </c>
      <c r="AG28" s="31" t="n">
        <f aca="false">PORTUGAL!F10+PORTUGAL!F11</f>
        <v>454</v>
      </c>
      <c r="AH28" s="31" t="n">
        <f aca="false">PORTUGAL!E18*PORTUGAL!F10+PORTUGAL!E19*PORTUGAL!F11</f>
        <v>435517.887</v>
      </c>
      <c r="AI28" s="34"/>
      <c r="AJ28" s="31"/>
      <c r="AK28" s="40" t="n">
        <f aca="false">IFERROR(AL28/AG28,0)</f>
        <v>1453.536</v>
      </c>
      <c r="AL28" s="31" t="n">
        <f aca="false">Inputs!$C$15*(1+Inputs!$B$9)*(1+'Dashboard (2)'!$T$1)*PORTUGAL!F10+Inputs!$C$15*(1+Inputs!$B$9)*(1+'Dashboard (2)'!$T$1)*PORTUGAL!F11</f>
        <v>659905.344</v>
      </c>
      <c r="AM28" s="31"/>
      <c r="AN28" s="36"/>
      <c r="AO28" s="24" t="s">
        <v>84</v>
      </c>
      <c r="AP28" s="31" t="n">
        <f aca="false">IFERROR(AR28/AQ28,0)</f>
        <v>988.069215</v>
      </c>
      <c r="AQ28" s="31" t="n">
        <f aca="false">PORTUGAL!G10+PORTUGAL!G11</f>
        <v>548</v>
      </c>
      <c r="AR28" s="31" t="n">
        <f aca="false">PORTUGAL!F18*PORTUGAL!G10+PORTUGAL!F19*PORTUGAL!G11</f>
        <v>541461.92982</v>
      </c>
      <c r="AS28" s="34"/>
      <c r="AT28" s="31"/>
      <c r="AU28" s="40" t="n">
        <f aca="false">IFERROR(AV28/AQ28,0)</f>
        <v>1497.14208</v>
      </c>
      <c r="AV28" s="31" t="n">
        <f aca="false">Inputs!$C$15*(1+Inputs!$B$9)*(1+'Dashboard (2)'!$T$1)*(1+'Dashboard (2)'!$T$1)*PORTUGAL!G10+Inputs!$C$15*(1+Inputs!$B$9)*(1+'Dashboard (2)'!$T$1)*(1+'Dashboard (2)'!$T$1)*PORTUGAL!G11</f>
        <v>820433.85984</v>
      </c>
      <c r="AW28" s="31"/>
      <c r="AX28" s="36"/>
      <c r="AY28" s="24" t="s">
        <v>84</v>
      </c>
      <c r="AZ28" s="31" t="n">
        <f aca="false">IFERROR(BB28/BA28,0)</f>
        <v>1017.71129145</v>
      </c>
      <c r="BA28" s="31" t="n">
        <f aca="false">PORTUGAL!H10+PORTUGAL!H11</f>
        <v>640</v>
      </c>
      <c r="BB28" s="31" t="n">
        <f aca="false">PORTUGAL!G18*PORTUGAL!H10+PORTUGAL!G19*PORTUGAL!H11</f>
        <v>651335.226528</v>
      </c>
      <c r="BC28" s="34"/>
      <c r="BD28" s="31"/>
      <c r="BE28" s="40" t="n">
        <f aca="false">IFERROR(BF28/BA28,0)</f>
        <v>1542.0563424</v>
      </c>
      <c r="BF28" s="31" t="n">
        <f aca="false">Inputs!$C$15*(1+Inputs!$B$9)*(1+'Dashboard (2)'!$T$1)*(1+'Dashboard (2)'!$T$1)*(1+'Dashboard (2)'!$T$1)*PORTUGAL!H10+Inputs!$C$15*(1+Inputs!$B$9)*(1+'Dashboard (2)'!$T$1)*(1+'Dashboard (2)'!$T$1)*(1+'Dashboard (2)'!$T$1)*PORTUGAL!H11</f>
        <v>986916.059136</v>
      </c>
      <c r="BG28" s="31"/>
      <c r="BH28" s="36"/>
      <c r="BI28" s="24" t="s">
        <v>84</v>
      </c>
      <c r="BJ28" s="31" t="n">
        <f aca="false">IFERROR(BL28/BK28,0)</f>
        <v>1048.2426301935</v>
      </c>
      <c r="BK28" s="31" t="n">
        <f aca="false">PORTUGAL!I10+PORTUGAL!I11</f>
        <v>729</v>
      </c>
      <c r="BL28" s="31" t="n">
        <f aca="false">PORTUGAL!H18*PORTUGAL!I10+PORTUGAL!H19*PORTUGAL!I11</f>
        <v>764168.877411062</v>
      </c>
      <c r="BM28" s="34"/>
      <c r="BN28" s="31"/>
      <c r="BO28" s="40" t="n">
        <f aca="false">IFERROR(BP28/BK28,0)</f>
        <v>1588.318032672</v>
      </c>
      <c r="BP28" s="31" t="n">
        <f aca="false">Inputs!$C$15*(1+Inputs!$B$9)*(1+'Dashboard (2)'!$T$1)*(1+'Dashboard (2)'!$T$1)*(1+'Dashboard (2)'!$T$1)*(1+'Dashboard (2)'!$T$1)*PORTUGAL!I10+Inputs!$C$15*(1+Inputs!$B$9)*(1+'Dashboard (2)'!$T$1)*(1+'Dashboard (2)'!$T$1)*(1+'Dashboard (2)'!$T$1)*(1+'Dashboard (2)'!$T$1)*PORTUGAL!I11</f>
        <v>1157883.84581789</v>
      </c>
      <c r="BQ28" s="31"/>
      <c r="BR28" s="36"/>
    </row>
    <row r="29" customFormat="false" ht="17.25" hidden="false" customHeight="true" outlineLevel="0" collapsed="false">
      <c r="A29" s="23"/>
      <c r="B29" s="24"/>
      <c r="C29" s="25"/>
      <c r="D29" s="25"/>
      <c r="E29" s="26"/>
      <c r="F29" s="26"/>
      <c r="G29" s="25"/>
      <c r="H29" s="26"/>
      <c r="I29" s="41"/>
      <c r="J29" s="24"/>
      <c r="K29" s="24" t="s">
        <v>68</v>
      </c>
      <c r="L29" s="31" t="n">
        <f aca="false">PORTUGAL!C20</f>
        <v>250</v>
      </c>
      <c r="M29" s="31" t="n">
        <f aca="false">PORTUGAL!D12</f>
        <v>4733</v>
      </c>
      <c r="N29" s="31" t="n">
        <f aca="false">L29*M29</f>
        <v>1183250</v>
      </c>
      <c r="O29" s="31"/>
      <c r="P29" s="34"/>
      <c r="Q29" s="38" t="n">
        <f aca="false">IFERROR(R29/M29,0)</f>
        <v>448</v>
      </c>
      <c r="R29" s="35" t="n">
        <f aca="false">Inputs!$C$13*PORTUGAL!D12</f>
        <v>2120384</v>
      </c>
      <c r="S29" s="35"/>
      <c r="T29" s="36"/>
      <c r="U29" s="24" t="s">
        <v>68</v>
      </c>
      <c r="V29" s="31" t="n">
        <f aca="false">PORTUGAL!D20</f>
        <v>262.5</v>
      </c>
      <c r="W29" s="31" t="n">
        <f aca="false">PORTUGAL!E12</f>
        <v>5491</v>
      </c>
      <c r="X29" s="31" t="n">
        <f aca="false">V29*W29</f>
        <v>1441387.5</v>
      </c>
      <c r="Y29" s="34"/>
      <c r="Z29" s="31"/>
      <c r="AA29" s="40" t="n">
        <f aca="false">IFERROR(AB29/W29,0)</f>
        <v>470.4</v>
      </c>
      <c r="AB29" s="31" t="n">
        <f aca="false">Inputs!$C$13*(1+Inputs!$B$9)*PORTUGAL!E12</f>
        <v>2582966.4</v>
      </c>
      <c r="AC29" s="31"/>
      <c r="AD29" s="36"/>
      <c r="AE29" s="24" t="s">
        <v>68</v>
      </c>
      <c r="AF29" s="31" t="n">
        <f aca="false">PORTUGAL!E20</f>
        <v>270.375</v>
      </c>
      <c r="AG29" s="31" t="n">
        <f aca="false">PORTUGAL!F12</f>
        <v>6226</v>
      </c>
      <c r="AH29" s="31" t="n">
        <f aca="false">AF29*AG29</f>
        <v>1683354.75</v>
      </c>
      <c r="AI29" s="34"/>
      <c r="AJ29" s="31"/>
      <c r="AK29" s="40" t="n">
        <f aca="false">IFERROR(AL29/AG29,0)</f>
        <v>484.512</v>
      </c>
      <c r="AL29" s="31" t="n">
        <f aca="false">Inputs!$C$13*(1+Inputs!$B$9)*(1+'Dashboard (2)'!$T$1)*PORTUGAL!F12</f>
        <v>3016571.712</v>
      </c>
      <c r="AM29" s="31"/>
      <c r="AN29" s="36"/>
      <c r="AO29" s="24" t="s">
        <v>68</v>
      </c>
      <c r="AP29" s="31" t="n">
        <f aca="false">PORTUGAL!F20</f>
        <v>278.48625</v>
      </c>
      <c r="AQ29" s="31" t="n">
        <f aca="false">PORTUGAL!G12</f>
        <v>6879</v>
      </c>
      <c r="AR29" s="31" t="n">
        <f aca="false">AP29*AQ29</f>
        <v>1915706.91375</v>
      </c>
      <c r="AS29" s="34"/>
      <c r="AT29" s="31"/>
      <c r="AU29" s="40" t="n">
        <f aca="false">IFERROR(AV29/AQ29,0)</f>
        <v>499.04736</v>
      </c>
      <c r="AV29" s="31" t="n">
        <f aca="false">Inputs!$C$13*(1+Inputs!$B$9)*(1+'Dashboard (2)'!$T$1)*(1+'Dashboard (2)'!$T$1)*PORTUGAL!G12</f>
        <v>3432946.78944</v>
      </c>
      <c r="AW29" s="31"/>
      <c r="AX29" s="36"/>
      <c r="AY29" s="24" t="s">
        <v>68</v>
      </c>
      <c r="AZ29" s="31" t="n">
        <f aca="false">PORTUGAL!G20</f>
        <v>286.8408375</v>
      </c>
      <c r="BA29" s="31" t="n">
        <f aca="false">PORTUGAL!H12</f>
        <v>7513</v>
      </c>
      <c r="BB29" s="31" t="n">
        <f aca="false">AZ29*BA29</f>
        <v>2155035.2121375</v>
      </c>
      <c r="BC29" s="34"/>
      <c r="BD29" s="31"/>
      <c r="BE29" s="40" t="n">
        <f aca="false">IFERROR(BF29/BA29,0)</f>
        <v>514.0187808</v>
      </c>
      <c r="BF29" s="31" t="n">
        <f aca="false">Inputs!$C$13*(1+Inputs!$B$9)*(1+'Dashboard (2)'!$T$1)*(1+'Dashboard (2)'!$T$1)*(1+'Dashboard (2)'!$T$1)*PORTUGAL!H12</f>
        <v>3861823.1001504</v>
      </c>
      <c r="BG29" s="31"/>
      <c r="BH29" s="36"/>
      <c r="BI29" s="24" t="s">
        <v>68</v>
      </c>
      <c r="BJ29" s="31" t="n">
        <f aca="false">PORTUGAL!H20</f>
        <v>295.446062625</v>
      </c>
      <c r="BK29" s="31" t="n">
        <f aca="false">PORTUGAL!I12</f>
        <v>8128</v>
      </c>
      <c r="BL29" s="31" t="n">
        <f aca="false">BJ29*BK29</f>
        <v>2401385.597016</v>
      </c>
      <c r="BM29" s="34"/>
      <c r="BN29" s="31"/>
      <c r="BO29" s="40" t="n">
        <f aca="false">IFERROR(BP29/BK29,0)</f>
        <v>529.439344224</v>
      </c>
      <c r="BP29" s="31" t="n">
        <f aca="false">Inputs!$C$13*(1+Inputs!$B$9)*(1+'Dashboard (2)'!$T$1)*(1+'Dashboard (2)'!$T$1)*(1+'Dashboard (2)'!$T$1)*(1+'Dashboard (2)'!$T$1)*PORTUGAL!I12</f>
        <v>4303282.98985267</v>
      </c>
      <c r="BQ29" s="31"/>
      <c r="BR29" s="36"/>
    </row>
    <row r="30" customFormat="false" ht="17.25" hidden="false" customHeight="true" outlineLevel="0" collapsed="false">
      <c r="A30" s="23"/>
      <c r="B30" s="24"/>
      <c r="C30" s="25"/>
      <c r="D30" s="25"/>
      <c r="E30" s="26"/>
      <c r="F30" s="26"/>
      <c r="G30" s="25"/>
      <c r="H30" s="26"/>
      <c r="I30" s="41"/>
      <c r="J30" s="24"/>
      <c r="K30" s="24"/>
      <c r="L30" s="31"/>
      <c r="M30" s="31" t="n">
        <f aca="false">SUM(M27:M29)</f>
        <v>7208</v>
      </c>
      <c r="N30" s="31" t="n">
        <f aca="false">SUM(N27:N29)</f>
        <v>3052087</v>
      </c>
      <c r="O30" s="31" t="n">
        <f aca="false">PORTUGAL!D26</f>
        <v>1813146.85</v>
      </c>
      <c r="P30" s="34" t="n">
        <f aca="false">O30/N30</f>
        <v>0.594067878798999</v>
      </c>
      <c r="Q30" s="34"/>
      <c r="R30" s="35" t="n">
        <f aca="false">SUM(R27:R29)</f>
        <v>4952640</v>
      </c>
      <c r="S30" s="35" t="n">
        <f aca="false">IF(ISNUMBER(Dashboard!Q18),Dashboard!Q18,"no KPI data")</f>
        <v>4047903</v>
      </c>
      <c r="T30" s="39" t="s">
        <v>66</v>
      </c>
      <c r="U30" s="24"/>
      <c r="V30" s="31"/>
      <c r="W30" s="31" t="n">
        <f aca="false">SUM(W27:W29)</f>
        <v>8444</v>
      </c>
      <c r="X30" s="31" t="n">
        <f aca="false">SUM(X27:X29)</f>
        <v>3788245.65</v>
      </c>
      <c r="Y30" s="34" t="n">
        <f aca="false">Z30/X30</f>
        <v>0.508535612441078</v>
      </c>
      <c r="Z30" s="31" t="n">
        <f aca="false">PORTUGAL!E30</f>
        <v>1926457.8217</v>
      </c>
      <c r="AA30" s="31"/>
      <c r="AB30" s="31" t="n">
        <f aca="false">SUM(AB27:AB29)</f>
        <v>6139660.8</v>
      </c>
      <c r="AC30" s="31" t="n">
        <f aca="false">IF(ISNUMBER(S30),S30+Dashboard!G18/(1-Inputs!$B$18),"no KPI data")</f>
        <v>4152808.26415385</v>
      </c>
      <c r="AD30" s="39" t="s">
        <v>66</v>
      </c>
      <c r="AE30" s="24"/>
      <c r="AF30" s="31"/>
      <c r="AG30" s="31" t="n">
        <f aca="false">SUM(AG27:AG29)</f>
        <v>9654</v>
      </c>
      <c r="AH30" s="31" t="n">
        <f aca="false">SUM(AH27:AH29)</f>
        <v>4495778.196</v>
      </c>
      <c r="AI30" s="34" t="n">
        <f aca="false">IF(Y30&gt;=Inputs!$B$38,Y30,MIN(Y30+'Dashboard (2)'!$N$2,Inputs!$B$38))</f>
        <v>0.518535612441078</v>
      </c>
      <c r="AJ30" s="31" t="n">
        <f aca="false">AH30*AI30</f>
        <v>2331221.10026211</v>
      </c>
      <c r="AK30" s="31"/>
      <c r="AL30" s="31" t="n">
        <f aca="false">SUM(AL27:AL29)</f>
        <v>7278823.776</v>
      </c>
      <c r="AM30" s="31" t="n">
        <f aca="false">IF(ISNUMBER(AC30),AC30*AJ30/Z30,"no KPI data")</f>
        <v>5025344.51659845</v>
      </c>
      <c r="AN30" s="39" t="s">
        <v>66</v>
      </c>
      <c r="AO30" s="24"/>
      <c r="AP30" s="31"/>
      <c r="AQ30" s="31" t="n">
        <f aca="false">SUM(AQ27:AQ29)</f>
        <v>10768</v>
      </c>
      <c r="AR30" s="31" t="n">
        <f aca="false">SUM(AR27:AR29)</f>
        <v>5207497.934625</v>
      </c>
      <c r="AS30" s="34" t="n">
        <f aca="false">IF(AI30&gt;=Inputs!$B$38,AI30,MIN(AI30+'Dashboard (2)'!$N$2,Inputs!$B$38))</f>
        <v>0.528535612441078</v>
      </c>
      <c r="AT30" s="31" t="n">
        <f aca="false">AR30*AS30</f>
        <v>2752348.11016267</v>
      </c>
      <c r="AU30" s="31"/>
      <c r="AV30" s="31" t="n">
        <f aca="false">SUM(AV27:AV29)</f>
        <v>8421673.72368</v>
      </c>
      <c r="AW30" s="31" t="n">
        <f aca="false">IF(ISNUMBER(AM30),AM30*AT30/AJ30,"no KPI data")</f>
        <v>5933155.58169107</v>
      </c>
      <c r="AX30" s="39" t="s">
        <v>66</v>
      </c>
      <c r="AY30" s="24"/>
      <c r="AZ30" s="31"/>
      <c r="BA30" s="31" t="n">
        <f aca="false">SUM(BA27:BA29)</f>
        <v>11850</v>
      </c>
      <c r="BB30" s="31" t="n">
        <f aca="false">SUM(BB27:BB29)</f>
        <v>5941062.34202355</v>
      </c>
      <c r="BC30" s="34" t="n">
        <f aca="false">IF(AS30&gt;=Inputs!$B$38,AS30,MIN(AS30+'Dashboard (2)'!$N$2,Inputs!$B$38))</f>
        <v>0.538535612441078</v>
      </c>
      <c r="BD30" s="31" t="n">
        <f aca="false">BB30*BC30</f>
        <v>3199473.64691228</v>
      </c>
      <c r="BE30" s="31"/>
      <c r="BF30" s="31" t="n">
        <f aca="false">SUM(BF27:BF29)</f>
        <v>9599557.7408304</v>
      </c>
      <c r="BG30" s="31" t="n">
        <f aca="false">IF(ISNUMBER(AW30),AW30*BD30/AT30,"no KPI data")</f>
        <v>6897010.90372943</v>
      </c>
      <c r="BH30" s="39" t="s">
        <v>66</v>
      </c>
      <c r="BI30" s="24"/>
      <c r="BJ30" s="31"/>
      <c r="BK30" s="31" t="n">
        <f aca="false">SUM(BK27:BK29)</f>
        <v>12899</v>
      </c>
      <c r="BL30" s="31" t="n">
        <f aca="false">SUM(BL27:BL29)</f>
        <v>6695588.93847208</v>
      </c>
      <c r="BM30" s="34" t="n">
        <f aca="false">IF(BC30&gt;=Inputs!$B$38,BC30,MIN(BC30+'Dashboard (2)'!$N$2,Inputs!$B$38))</f>
        <v>0.548535612441078</v>
      </c>
      <c r="BN30" s="31" t="n">
        <f aca="false">BL30*BM30</f>
        <v>3672768.97901849</v>
      </c>
      <c r="BO30" s="31"/>
      <c r="BP30" s="31" t="n">
        <f aca="false">SUM(BP27:BP29)</f>
        <v>10811151.4090541</v>
      </c>
      <c r="BQ30" s="31" t="n">
        <f aca="false">IF(ISNUMBER(BG30),BG30*BN30/BD30,"no KPI data")</f>
        <v>7917279.68118009</v>
      </c>
      <c r="BR30" s="39" t="s">
        <v>66</v>
      </c>
    </row>
    <row r="31" customFormat="false" ht="17.25" hidden="false" customHeight="true" outlineLevel="0" collapsed="false">
      <c r="A31" s="23" t="s">
        <v>85</v>
      </c>
      <c r="B31" s="24" t="s">
        <v>78</v>
      </c>
      <c r="C31" s="25" t="n">
        <f aca="false">Dashboard!C19</f>
        <v>1267443.35</v>
      </c>
      <c r="D31" s="25" t="n">
        <f aca="false">Dashboard!D19</f>
        <v>1287772.5</v>
      </c>
      <c r="E31" s="26" t="n">
        <f aca="false">Dashboard!E19</f>
        <v>0.984213710107958</v>
      </c>
      <c r="F31" s="26" t="n">
        <f aca="false">Dashboard!F19</f>
        <v>0.018</v>
      </c>
      <c r="G31" s="25" t="n">
        <f aca="false">Dashboard!G19</f>
        <v>23179.905</v>
      </c>
      <c r="H31" s="26" t="n">
        <f aca="false">Dashboard!H19</f>
        <v>1.00221371010796</v>
      </c>
      <c r="I31" s="41" t="n">
        <f aca="false">Dashboard!I19</f>
        <v>1290623.255</v>
      </c>
      <c r="J31" s="24"/>
      <c r="K31" s="24" t="s">
        <v>83</v>
      </c>
      <c r="L31" s="31" t="n">
        <f aca="false">IRELAND!C17</f>
        <v>739</v>
      </c>
      <c r="M31" s="31" t="n">
        <f aca="false">IRELAND!D9</f>
        <v>731</v>
      </c>
      <c r="N31" s="31" t="n">
        <f aca="false">L31*M31</f>
        <v>540209</v>
      </c>
      <c r="P31" s="34"/>
      <c r="Q31" s="38" t="n">
        <f aca="false">IFERROR(R31/M31,0)</f>
        <v>1120</v>
      </c>
      <c r="R31" s="35" t="n">
        <f aca="false">Inputs!$C$14*IRELAND!D9</f>
        <v>818720</v>
      </c>
      <c r="S31" s="35"/>
      <c r="T31" s="36"/>
      <c r="U31" s="24" t="s">
        <v>83</v>
      </c>
      <c r="V31" s="31" t="n">
        <f aca="false">IRELAND!D17</f>
        <v>775.95</v>
      </c>
      <c r="W31" s="31" t="n">
        <f aca="false">IRELAND!E9</f>
        <v>925</v>
      </c>
      <c r="X31" s="31" t="n">
        <f aca="false">V31*W31</f>
        <v>717753.75</v>
      </c>
      <c r="Y31" s="34"/>
      <c r="Z31" s="31"/>
      <c r="AA31" s="40" t="n">
        <f aca="false">IFERROR(AB31/W31,0)</f>
        <v>1176</v>
      </c>
      <c r="AB31" s="31" t="n">
        <f aca="false">Inputs!$C$14*(1+Inputs!$B$9)*IRELAND!E9</f>
        <v>1087800</v>
      </c>
      <c r="AC31" s="31"/>
      <c r="AD31" s="36"/>
      <c r="AE31" s="24" t="s">
        <v>83</v>
      </c>
      <c r="AF31" s="31" t="n">
        <f aca="false">IRELAND!E17</f>
        <v>799.2285</v>
      </c>
      <c r="AG31" s="31" t="n">
        <f aca="false">IRELAND!F9</f>
        <v>1113</v>
      </c>
      <c r="AH31" s="31" t="n">
        <f aca="false">AF31*AG31</f>
        <v>889541.3205</v>
      </c>
      <c r="AI31" s="34"/>
      <c r="AJ31" s="31"/>
      <c r="AK31" s="40" t="n">
        <f aca="false">IFERROR(AL31/AG31,0)</f>
        <v>1211.28</v>
      </c>
      <c r="AL31" s="31" t="n">
        <f aca="false">Inputs!$C$14*(1+Inputs!$B$9)*(1+'Dashboard (2)'!$T$1)*IRELAND!F9</f>
        <v>1348154.64</v>
      </c>
      <c r="AM31" s="31"/>
      <c r="AN31" s="36"/>
      <c r="AO31" s="24" t="s">
        <v>83</v>
      </c>
      <c r="AP31" s="31" t="n">
        <f aca="false">IRELAND!F17</f>
        <v>823.205355</v>
      </c>
      <c r="AQ31" s="31" t="n">
        <f aca="false">IRELAND!G9</f>
        <v>1296</v>
      </c>
      <c r="AR31" s="31" t="n">
        <f aca="false">AP31*AQ31</f>
        <v>1066874.14008</v>
      </c>
      <c r="AS31" s="34"/>
      <c r="AT31" s="31"/>
      <c r="AU31" s="40" t="n">
        <f aca="false">IFERROR(AV31/AQ31,0)</f>
        <v>1247.6184</v>
      </c>
      <c r="AV31" s="31" t="n">
        <f aca="false">Inputs!$C$14*(1+Inputs!$B$9)*(1+'Dashboard (2)'!$T$1)*(1+'Dashboard (2)'!$T$1)*IRELAND!G9</f>
        <v>1616913.4464</v>
      </c>
      <c r="AW31" s="31"/>
      <c r="AX31" s="36"/>
      <c r="AY31" s="24" t="s">
        <v>83</v>
      </c>
      <c r="AZ31" s="31" t="n">
        <f aca="false">IRELAND!G17</f>
        <v>847.90151565</v>
      </c>
      <c r="BA31" s="31" t="n">
        <f aca="false">IRELAND!H9</f>
        <v>1473</v>
      </c>
      <c r="BB31" s="31" t="n">
        <f aca="false">AZ31*BA31</f>
        <v>1248958.93255245</v>
      </c>
      <c r="BC31" s="34"/>
      <c r="BD31" s="31"/>
      <c r="BE31" s="40" t="n">
        <f aca="false">IFERROR(BF31/BA31,0)</f>
        <v>1285.046952</v>
      </c>
      <c r="BF31" s="31" t="n">
        <f aca="false">Inputs!$C$14*(1+Inputs!$B$9)*(1+'Dashboard (2)'!$T$1)*(1+'Dashboard (2)'!$T$1)*(1+'Dashboard (2)'!$T$1)*IRELAND!H9</f>
        <v>1892874.160296</v>
      </c>
      <c r="BG31" s="31"/>
      <c r="BH31" s="36"/>
      <c r="BI31" s="24" t="s">
        <v>83</v>
      </c>
      <c r="BJ31" s="31" t="n">
        <f aca="false">IRELAND!H17</f>
        <v>873.3385611195</v>
      </c>
      <c r="BK31" s="31" t="n">
        <f aca="false">IRELAND!I9</f>
        <v>1645</v>
      </c>
      <c r="BL31" s="31" t="n">
        <f aca="false">BJ31*BK31</f>
        <v>1436641.93304158</v>
      </c>
      <c r="BM31" s="34"/>
      <c r="BN31" s="31"/>
      <c r="BO31" s="40" t="n">
        <f aca="false">IFERROR(BP31/BK31,0)</f>
        <v>1323.59836056</v>
      </c>
      <c r="BP31" s="31" t="n">
        <f aca="false">Inputs!$C$14*(1+Inputs!$B$9)*(1+'Dashboard (2)'!$T$1)*(1+'Dashboard (2)'!$T$1)*(1+'Dashboard (2)'!$T$1)*(1+'Dashboard (2)'!$T$1)*IRELAND!I9</f>
        <v>2177319.3031212</v>
      </c>
      <c r="BQ31" s="31"/>
      <c r="BR31" s="36"/>
    </row>
    <row r="32" customFormat="false" ht="17.25" hidden="false" customHeight="true" outlineLevel="0" collapsed="false">
      <c r="A32" s="23"/>
      <c r="B32" s="24"/>
      <c r="C32" s="25"/>
      <c r="D32" s="25"/>
      <c r="E32" s="26"/>
      <c r="F32" s="26"/>
      <c r="G32" s="25"/>
      <c r="H32" s="26"/>
      <c r="I32" s="41"/>
      <c r="J32" s="24"/>
      <c r="K32" s="24" t="s">
        <v>84</v>
      </c>
      <c r="L32" s="31" t="n">
        <f aca="false">IFERROR(N32/M32,0)</f>
        <v>887</v>
      </c>
      <c r="M32" s="31" t="n">
        <f aca="false">IRELAND!D10+IRELAND!D11</f>
        <v>92</v>
      </c>
      <c r="N32" s="31" t="n">
        <f aca="false">IRELAND!C18*IRELAND!D10+IRELAND!C19*IRELAND!D11</f>
        <v>81604</v>
      </c>
      <c r="O32" s="31"/>
      <c r="P32" s="34"/>
      <c r="Q32" s="38" t="n">
        <f aca="false">IFERROR(R32/M32,0)</f>
        <v>1344</v>
      </c>
      <c r="R32" s="35" t="n">
        <f aca="false">Inputs!$C$15*IRELAND!D10+Inputs!$C$15*IRELAND!D11</f>
        <v>123648</v>
      </c>
      <c r="S32" s="35"/>
      <c r="T32" s="36"/>
      <c r="U32" s="24" t="s">
        <v>84</v>
      </c>
      <c r="V32" s="31" t="n">
        <f aca="false">IFERROR(X32/W32,0)</f>
        <v>931.35</v>
      </c>
      <c r="W32" s="31" t="n">
        <f aca="false">IRELAND!E10+IRELAND!E11</f>
        <v>125</v>
      </c>
      <c r="X32" s="31" t="n">
        <f aca="false">IRELAND!D18*IRELAND!E10+IRELAND!D19*IRELAND!E11</f>
        <v>116418.75</v>
      </c>
      <c r="Y32" s="34"/>
      <c r="Z32" s="31"/>
      <c r="AA32" s="40" t="n">
        <f aca="false">IFERROR(AB32/W32,0)</f>
        <v>1411.2</v>
      </c>
      <c r="AB32" s="31" t="n">
        <f aca="false">Inputs!$C$15*(1+Inputs!$B$9)*IRELAND!E10+Inputs!$C$15*(1+Inputs!$B$9)*IRELAND!E11</f>
        <v>176400</v>
      </c>
      <c r="AC32" s="31"/>
      <c r="AD32" s="36"/>
      <c r="AE32" s="24" t="s">
        <v>84</v>
      </c>
      <c r="AF32" s="31" t="n">
        <f aca="false">IFERROR(AH32/AG32,0)</f>
        <v>959.2905</v>
      </c>
      <c r="AG32" s="31" t="n">
        <f aca="false">IRELAND!F10+IRELAND!F11</f>
        <v>157</v>
      </c>
      <c r="AH32" s="31" t="n">
        <f aca="false">IRELAND!E18*IRELAND!F10+IRELAND!E19*IRELAND!F11</f>
        <v>150608.6085</v>
      </c>
      <c r="AI32" s="34"/>
      <c r="AJ32" s="31"/>
      <c r="AK32" s="40" t="n">
        <f aca="false">IFERROR(AL32/AG32,0)</f>
        <v>1453.536</v>
      </c>
      <c r="AL32" s="31" t="n">
        <f aca="false">Inputs!$C$15*(1+Inputs!$B$9)*(1+'Dashboard (2)'!$T$1)*IRELAND!F10+Inputs!$C$15*(1+Inputs!$B$9)*(1+'Dashboard (2)'!$T$1)*IRELAND!F11</f>
        <v>228205.152</v>
      </c>
      <c r="AM32" s="31"/>
      <c r="AN32" s="36"/>
      <c r="AO32" s="24" t="s">
        <v>84</v>
      </c>
      <c r="AP32" s="31" t="n">
        <f aca="false">IFERROR(AR32/AQ32,0)</f>
        <v>988.069215</v>
      </c>
      <c r="AQ32" s="31" t="n">
        <f aca="false">IRELAND!G10+IRELAND!G11</f>
        <v>188</v>
      </c>
      <c r="AR32" s="31" t="n">
        <f aca="false">IRELAND!F18*IRELAND!G10+IRELAND!F19*IRELAND!G11</f>
        <v>185757.01242</v>
      </c>
      <c r="AS32" s="34"/>
      <c r="AT32" s="31"/>
      <c r="AU32" s="40" t="n">
        <f aca="false">IFERROR(AV32/AQ32,0)</f>
        <v>1497.14208</v>
      </c>
      <c r="AV32" s="31" t="n">
        <f aca="false">Inputs!$C$15*(1+Inputs!$B$9)*(1+'Dashboard (2)'!$T$1)*(1+'Dashboard (2)'!$T$1)*IRELAND!G10+Inputs!$C$15*(1+Inputs!$B$9)*(1+'Dashboard (2)'!$T$1)*(1+'Dashboard (2)'!$T$1)*IRELAND!G11</f>
        <v>281462.71104</v>
      </c>
      <c r="AW32" s="31"/>
      <c r="AX32" s="36"/>
      <c r="AY32" s="24" t="s">
        <v>84</v>
      </c>
      <c r="AZ32" s="31" t="n">
        <f aca="false">IFERROR(BB32/BA32,0)</f>
        <v>1017.71129145</v>
      </c>
      <c r="BA32" s="31" t="n">
        <f aca="false">IRELAND!H10+IRELAND!H11</f>
        <v>219</v>
      </c>
      <c r="BB32" s="31" t="n">
        <f aca="false">IRELAND!G18*IRELAND!H10+IRELAND!G19*IRELAND!H11</f>
        <v>222878.77282755</v>
      </c>
      <c r="BC32" s="34"/>
      <c r="BD32" s="31"/>
      <c r="BE32" s="40" t="n">
        <f aca="false">IFERROR(BF32/BA32,0)</f>
        <v>1542.0563424</v>
      </c>
      <c r="BF32" s="31" t="n">
        <f aca="false">Inputs!$C$15*(1+Inputs!$B$9)*(1+'Dashboard (2)'!$T$1)*(1+'Dashboard (2)'!$T$1)*(1+'Dashboard (2)'!$T$1)*IRELAND!H10+Inputs!$C$15*(1+Inputs!$B$9)*(1+'Dashboard (2)'!$T$1)*(1+'Dashboard (2)'!$T$1)*(1+'Dashboard (2)'!$T$1)*IRELAND!H11</f>
        <v>337710.3389856</v>
      </c>
      <c r="BG32" s="31"/>
      <c r="BH32" s="36"/>
      <c r="BI32" s="24" t="s">
        <v>84</v>
      </c>
      <c r="BJ32" s="31" t="n">
        <f aca="false">IFERROR(BL32/BK32,0)</f>
        <v>1048.2426301935</v>
      </c>
      <c r="BK32" s="31" t="n">
        <f aca="false">IRELAND!I10+IRELAND!I11</f>
        <v>249</v>
      </c>
      <c r="BL32" s="31" t="n">
        <f aca="false">IRELAND!H18*IRELAND!I10+IRELAND!H19*IRELAND!I11</f>
        <v>261012.414918182</v>
      </c>
      <c r="BM32" s="34"/>
      <c r="BN32" s="31"/>
      <c r="BO32" s="40" t="n">
        <f aca="false">IFERROR(BP32/BK32,0)</f>
        <v>1588.318032672</v>
      </c>
      <c r="BP32" s="31" t="n">
        <f aca="false">Inputs!$C$15*(1+Inputs!$B$9)*(1+'Dashboard (2)'!$T$1)*(1+'Dashboard (2)'!$T$1)*(1+'Dashboard (2)'!$T$1)*(1+'Dashboard (2)'!$T$1)*IRELAND!I10+Inputs!$C$15*(1+Inputs!$B$9)*(1+'Dashboard (2)'!$T$1)*(1+'Dashboard (2)'!$T$1)*(1+'Dashboard (2)'!$T$1)*(1+'Dashboard (2)'!$T$1)*IRELAND!I11</f>
        <v>395491.190135328</v>
      </c>
      <c r="BQ32" s="31"/>
      <c r="BR32" s="36"/>
    </row>
    <row r="33" customFormat="false" ht="17.25" hidden="false" customHeight="true" outlineLevel="0" collapsed="false">
      <c r="A33" s="23"/>
      <c r="B33" s="24"/>
      <c r="C33" s="25"/>
      <c r="D33" s="25"/>
      <c r="E33" s="26"/>
      <c r="F33" s="26"/>
      <c r="G33" s="25"/>
      <c r="H33" s="26"/>
      <c r="I33" s="41"/>
      <c r="J33" s="24"/>
      <c r="K33" s="24" t="s">
        <v>68</v>
      </c>
      <c r="L33" s="31" t="n">
        <f aca="false">IRELAND!C20</f>
        <v>250</v>
      </c>
      <c r="M33" s="31" t="n">
        <f aca="false">IRELAND!D12</f>
        <v>1338</v>
      </c>
      <c r="N33" s="31" t="n">
        <f aca="false">L33*M33</f>
        <v>334500</v>
      </c>
      <c r="O33" s="31"/>
      <c r="P33" s="34"/>
      <c r="Q33" s="38" t="n">
        <f aca="false">IFERROR(R33/M33,0)</f>
        <v>448</v>
      </c>
      <c r="R33" s="35" t="n">
        <f aca="false">Inputs!$C$13*IRELAND!D12</f>
        <v>599424</v>
      </c>
      <c r="S33" s="35"/>
      <c r="T33" s="36"/>
      <c r="U33" s="24" t="s">
        <v>68</v>
      </c>
      <c r="V33" s="31" t="n">
        <f aca="false">IRELAND!D20</f>
        <v>262.5</v>
      </c>
      <c r="W33" s="31" t="n">
        <f aca="false">IRELAND!E12</f>
        <v>1728</v>
      </c>
      <c r="X33" s="31" t="n">
        <f aca="false">V33*W33</f>
        <v>453600</v>
      </c>
      <c r="Y33" s="34"/>
      <c r="Z33" s="31"/>
      <c r="AA33" s="40" t="n">
        <f aca="false">IFERROR(AB33/W33,0)</f>
        <v>470.4</v>
      </c>
      <c r="AB33" s="31" t="n">
        <f aca="false">Inputs!$C$13*(1+Inputs!$B$9)*IRELAND!E12</f>
        <v>812851.2</v>
      </c>
      <c r="AC33" s="31"/>
      <c r="AD33" s="36"/>
      <c r="AE33" s="24" t="s">
        <v>68</v>
      </c>
      <c r="AF33" s="31" t="n">
        <f aca="false">IRELAND!E20</f>
        <v>270.375</v>
      </c>
      <c r="AG33" s="31" t="n">
        <f aca="false">IRELAND!F12</f>
        <v>2106</v>
      </c>
      <c r="AH33" s="31" t="n">
        <f aca="false">AF33*AG33</f>
        <v>569409.75</v>
      </c>
      <c r="AI33" s="34"/>
      <c r="AJ33" s="31"/>
      <c r="AK33" s="40" t="n">
        <f aca="false">IFERROR(AL33/AG33,0)</f>
        <v>484.512</v>
      </c>
      <c r="AL33" s="31" t="n">
        <f aca="false">Inputs!$C$13*(1+Inputs!$B$9)*(1+'Dashboard (2)'!$T$1)*IRELAND!F12</f>
        <v>1020382.272</v>
      </c>
      <c r="AM33" s="31"/>
      <c r="AN33" s="36"/>
      <c r="AO33" s="24" t="s">
        <v>68</v>
      </c>
      <c r="AP33" s="31" t="n">
        <f aca="false">IRELAND!F20</f>
        <v>278.48625</v>
      </c>
      <c r="AQ33" s="31" t="n">
        <f aca="false">IRELAND!G12</f>
        <v>2473</v>
      </c>
      <c r="AR33" s="31" t="n">
        <f aca="false">AP33*AQ33</f>
        <v>688696.49625</v>
      </c>
      <c r="AS33" s="34"/>
      <c r="AT33" s="31"/>
      <c r="AU33" s="40" t="n">
        <f aca="false">IFERROR(AV33/AQ33,0)</f>
        <v>499.04736</v>
      </c>
      <c r="AV33" s="31" t="n">
        <f aca="false">Inputs!$C$13*(1+Inputs!$B$9)*(1+'Dashboard (2)'!$T$1)*(1+'Dashboard (2)'!$T$1)*IRELAND!G12</f>
        <v>1234144.12128</v>
      </c>
      <c r="AW33" s="31"/>
      <c r="AX33" s="36"/>
      <c r="AY33" s="24" t="s">
        <v>68</v>
      </c>
      <c r="AZ33" s="31" t="n">
        <f aca="false">IRELAND!G20</f>
        <v>286.8408375</v>
      </c>
      <c r="BA33" s="31" t="n">
        <f aca="false">IRELAND!H12</f>
        <v>2829</v>
      </c>
      <c r="BB33" s="31" t="n">
        <f aca="false">AZ33*BA33</f>
        <v>811472.7292875</v>
      </c>
      <c r="BC33" s="34"/>
      <c r="BD33" s="31"/>
      <c r="BE33" s="40" t="n">
        <f aca="false">IFERROR(BF33/BA33,0)</f>
        <v>514.0187808</v>
      </c>
      <c r="BF33" s="31" t="n">
        <f aca="false">Inputs!$C$13*(1+Inputs!$B$9)*(1+'Dashboard (2)'!$T$1)*(1+'Dashboard (2)'!$T$1)*(1+'Dashboard (2)'!$T$1)*IRELAND!H12</f>
        <v>1454159.1308832</v>
      </c>
      <c r="BG33" s="31"/>
      <c r="BH33" s="36"/>
      <c r="BI33" s="24" t="s">
        <v>68</v>
      </c>
      <c r="BJ33" s="31" t="n">
        <f aca="false">IRELAND!H20</f>
        <v>295.446062625</v>
      </c>
      <c r="BK33" s="31" t="n">
        <f aca="false">IRELAND!I12</f>
        <v>3174</v>
      </c>
      <c r="BL33" s="31" t="n">
        <f aca="false">BJ33*BK33</f>
        <v>937745.80277175</v>
      </c>
      <c r="BM33" s="34"/>
      <c r="BN33" s="31"/>
      <c r="BO33" s="40" t="n">
        <f aca="false">IFERROR(BP33/BK33,0)</f>
        <v>529.439344224</v>
      </c>
      <c r="BP33" s="31" t="n">
        <f aca="false">Inputs!$C$13*(1+Inputs!$B$9)*(1+'Dashboard (2)'!$T$1)*(1+'Dashboard (2)'!$T$1)*(1+'Dashboard (2)'!$T$1)*(1+'Dashboard (2)'!$T$1)*IRELAND!I12</f>
        <v>1680440.47856698</v>
      </c>
      <c r="BQ33" s="31"/>
      <c r="BR33" s="36"/>
    </row>
    <row r="34" customFormat="false" ht="17.25" hidden="false" customHeight="true" outlineLevel="0" collapsed="false">
      <c r="A34" s="23"/>
      <c r="B34" s="24"/>
      <c r="C34" s="25"/>
      <c r="D34" s="25"/>
      <c r="E34" s="26"/>
      <c r="F34" s="26"/>
      <c r="G34" s="25"/>
      <c r="H34" s="26"/>
      <c r="I34" s="41"/>
      <c r="J34" s="24"/>
      <c r="K34" s="24"/>
      <c r="L34" s="31"/>
      <c r="M34" s="31" t="n">
        <f aca="false">SUM(M31:M33)</f>
        <v>2161</v>
      </c>
      <c r="N34" s="31" t="n">
        <f aca="false">SUM(N31:N33)</f>
        <v>956313</v>
      </c>
      <c r="O34" s="31" t="n">
        <f aca="false">IRELAND!D26</f>
        <v>1116861.54</v>
      </c>
      <c r="P34" s="34" t="n">
        <f aca="false">O34/N34</f>
        <v>1.16788283752286</v>
      </c>
      <c r="Q34" s="34"/>
      <c r="R34" s="35" t="n">
        <f aca="false">SUM(R31:R33)</f>
        <v>1541792</v>
      </c>
      <c r="S34" s="35" t="n">
        <f aca="false">IF(ISNUMBER(Dashboard!Q19),Dashboard!Q19,"no KPI data")</f>
        <v>2833637</v>
      </c>
      <c r="T34" s="39" t="s">
        <v>66</v>
      </c>
      <c r="U34" s="24"/>
      <c r="V34" s="31"/>
      <c r="W34" s="31" t="n">
        <f aca="false">SUM(W31:W33)</f>
        <v>2778</v>
      </c>
      <c r="X34" s="31" t="n">
        <f aca="false">SUM(X31:X33)</f>
        <v>1287772.5</v>
      </c>
      <c r="Y34" s="34" t="n">
        <f aca="false">Z34/X34</f>
        <v>1.00221371010796</v>
      </c>
      <c r="Z34" s="31" t="n">
        <f aca="false">IRELAND!E30</f>
        <v>1290623.255</v>
      </c>
      <c r="AA34" s="31"/>
      <c r="AB34" s="31" t="n">
        <f aca="false">SUM(AB31:AB33)</f>
        <v>2077051.2</v>
      </c>
      <c r="AC34" s="31" t="n">
        <f aca="false">IF(ISNUMBER(S34),S34+Dashboard!G19/(1-Inputs!$B$18),"no KPI data")</f>
        <v>2869298.39230769</v>
      </c>
      <c r="AD34" s="39" t="s">
        <v>66</v>
      </c>
      <c r="AE34" s="24"/>
      <c r="AF34" s="31"/>
      <c r="AG34" s="31" t="n">
        <f aca="false">SUM(AG31:AG33)</f>
        <v>3376</v>
      </c>
      <c r="AH34" s="31" t="n">
        <f aca="false">SUM(AH31:AH33)</f>
        <v>1609559.679</v>
      </c>
      <c r="AI34" s="34" t="n">
        <f aca="false">IF(Y34&gt;=Inputs!$B$38,Y34,MIN(Y34+'Dashboard (2)'!$N$2,Inputs!$B$38))</f>
        <v>1.01221371010796</v>
      </c>
      <c r="AJ34" s="31" t="n">
        <f aca="false">AH34*AI34</f>
        <v>1629218.37432076</v>
      </c>
      <c r="AK34" s="31"/>
      <c r="AL34" s="31" t="n">
        <f aca="false">SUM(AL31:AL33)</f>
        <v>2596742.064</v>
      </c>
      <c r="AM34" s="31" t="n">
        <f aca="false">IF(ISNUMBER(AC34),AC34*AJ34/Z34,"no KPI data")</f>
        <v>3622059.06645989</v>
      </c>
      <c r="AN34" s="39" t="s">
        <v>66</v>
      </c>
      <c r="AO34" s="24"/>
      <c r="AP34" s="31"/>
      <c r="AQ34" s="31" t="n">
        <f aca="false">SUM(AQ31:AQ33)</f>
        <v>3957</v>
      </c>
      <c r="AR34" s="31" t="n">
        <f aca="false">SUM(AR31:AR33)</f>
        <v>1941327.64875</v>
      </c>
      <c r="AS34" s="34" t="n">
        <f aca="false">IF(AI34&gt;=Inputs!$B$38,AI34,MIN(AI34+'Dashboard (2)'!$N$2,Inputs!$B$38))</f>
        <v>1.02221371010796</v>
      </c>
      <c r="AT34" s="31" t="n">
        <f aca="false">AR34*AS34</f>
        <v>1984451.7383639</v>
      </c>
      <c r="AU34" s="31"/>
      <c r="AV34" s="31" t="n">
        <f aca="false">SUM(AV31:AV33)</f>
        <v>3132520.27872</v>
      </c>
      <c r="AW34" s="31" t="n">
        <f aca="false">IF(ISNUMBER(AM34),AM34*AT34/AJ34,"no KPI data")</f>
        <v>4411809.68996234</v>
      </c>
      <c r="AX34" s="39" t="s">
        <v>66</v>
      </c>
      <c r="AY34" s="24"/>
      <c r="AZ34" s="31"/>
      <c r="BA34" s="31" t="n">
        <f aca="false">SUM(BA31:BA33)</f>
        <v>4521</v>
      </c>
      <c r="BB34" s="31" t="n">
        <f aca="false">SUM(BB31:BB33)</f>
        <v>2283310.4346675</v>
      </c>
      <c r="BC34" s="34" t="n">
        <f aca="false">IF(AS34&gt;=Inputs!$B$38,AS34,MIN(AS34+'Dashboard (2)'!$N$2,Inputs!$B$38))</f>
        <v>1.03221371010796</v>
      </c>
      <c r="BD34" s="31" t="n">
        <f aca="false">BB34*BC34</f>
        <v>2356864.33509635</v>
      </c>
      <c r="BE34" s="31"/>
      <c r="BF34" s="31" t="n">
        <f aca="false">SUM(BF31:BF33)</f>
        <v>3684743.6301648</v>
      </c>
      <c r="BG34" s="31" t="n">
        <f aca="false">IF(ISNUMBER(AW34),AW34*BD34/AT34,"no KPI data")</f>
        <v>5239752.98088001</v>
      </c>
      <c r="BH34" s="39" t="s">
        <v>66</v>
      </c>
      <c r="BI34" s="24"/>
      <c r="BJ34" s="31"/>
      <c r="BK34" s="31" t="n">
        <f aca="false">SUM(BK31:BK33)</f>
        <v>5068</v>
      </c>
      <c r="BL34" s="31" t="n">
        <f aca="false">SUM(BL31:BL33)</f>
        <v>2635400.15073151</v>
      </c>
      <c r="BM34" s="34" t="n">
        <f aca="false">IF(BC34&gt;=Inputs!$B$38,BC34,MIN(BC34+'Dashboard (2)'!$N$2,Inputs!$B$38))</f>
        <v>1.04221371010796</v>
      </c>
      <c r="BN34" s="31" t="n">
        <f aca="false">BL34*BM34</f>
        <v>2746650.16871296</v>
      </c>
      <c r="BO34" s="31"/>
      <c r="BP34" s="31" t="n">
        <f aca="false">SUM(BP31:BP33)</f>
        <v>4253250.97182351</v>
      </c>
      <c r="BQ34" s="31" t="n">
        <f aca="false">IF(ISNUMBER(BG34),BG34*BN34/BD34,"no KPI data")</f>
        <v>6106320.24704974</v>
      </c>
      <c r="BR34" s="39" t="s">
        <v>66</v>
      </c>
    </row>
    <row r="35" customFormat="false" ht="17.25" hidden="false" customHeight="true" outlineLevel="0" collapsed="false">
      <c r="A35" s="23" t="s">
        <v>86</v>
      </c>
      <c r="B35" s="24" t="s">
        <v>78</v>
      </c>
      <c r="C35" s="25" t="n">
        <f aca="false">Dashboard!C20</f>
        <v>574400</v>
      </c>
      <c r="D35" s="25" t="n">
        <f aca="false">Dashboard!D20</f>
        <v>1156909.95</v>
      </c>
      <c r="E35" s="26" t="n">
        <f aca="false">Dashboard!E20</f>
        <v>0.496494995137694</v>
      </c>
      <c r="F35" s="26" t="n">
        <f aca="false">Dashboard!F20</f>
        <v>0.018</v>
      </c>
      <c r="G35" s="25" t="n">
        <f aca="false">Dashboard!G20</f>
        <v>20824.3791</v>
      </c>
      <c r="H35" s="26" t="n">
        <f aca="false">Dashboard!H20</f>
        <v>0.514494995137694</v>
      </c>
      <c r="I35" s="41" t="n">
        <f aca="false">Dashboard!I20</f>
        <v>595224.3791</v>
      </c>
      <c r="J35" s="24"/>
      <c r="K35" s="24" t="s">
        <v>87</v>
      </c>
      <c r="L35" s="31" t="n">
        <f aca="false">IFERROR(N35/M35,0)</f>
        <v>739</v>
      </c>
      <c r="M35" s="31" t="n">
        <f aca="false">GREECE!D9+GREECE!D10</f>
        <v>37</v>
      </c>
      <c r="N35" s="31" t="n">
        <f aca="false">GREECE!C17*GREECE!D9+GREECE!C18*GREECE!D10</f>
        <v>27343</v>
      </c>
      <c r="P35" s="34"/>
      <c r="Q35" s="38" t="n">
        <f aca="false">IFERROR(R35/M35,0)</f>
        <v>1120</v>
      </c>
      <c r="R35" s="35" t="n">
        <f aca="false">Inputs!$C$14*GREECE!D9+Inputs!$C$15*GREECE!D10</f>
        <v>41440</v>
      </c>
      <c r="S35" s="35"/>
      <c r="T35" s="36"/>
      <c r="U35" s="24" t="s">
        <v>87</v>
      </c>
      <c r="V35" s="31" t="n">
        <f aca="false">IFERROR(X35/W35,0)</f>
        <v>788.687704918033</v>
      </c>
      <c r="W35" s="31" t="n">
        <f aca="false">GREECE!E9+GREECE!E10</f>
        <v>61</v>
      </c>
      <c r="X35" s="31" t="n">
        <f aca="false">GREECE!D17*GREECE!E9+GREECE!D18*GREECE!E10</f>
        <v>48109.95</v>
      </c>
      <c r="Y35" s="34"/>
      <c r="Z35" s="31"/>
      <c r="AA35" s="40" t="n">
        <f aca="false">IFERROR(AB35/W35,0)</f>
        <v>1195.27868852459</v>
      </c>
      <c r="AB35" s="31" t="n">
        <f aca="false">Inputs!$C$14*(1+Inputs!$B$9)*GREECE!E9+Inputs!$C$15*(1+Inputs!$B$9)*GREECE!E10</f>
        <v>72912</v>
      </c>
      <c r="AC35" s="31"/>
      <c r="AD35" s="36"/>
      <c r="AE35" s="24" t="s">
        <v>87</v>
      </c>
      <c r="AF35" s="31" t="n">
        <f aca="false">IFERROR(AH35/AG35,0)</f>
        <v>818.2835</v>
      </c>
      <c r="AG35" s="31" t="n">
        <f aca="false">GREECE!F9+GREECE!F10</f>
        <v>84</v>
      </c>
      <c r="AH35" s="31" t="n">
        <f aca="false">GREECE!E17*GREECE!F9+GREECE!E18*GREECE!F10</f>
        <v>68735.814</v>
      </c>
      <c r="AI35" s="34"/>
      <c r="AJ35" s="31"/>
      <c r="AK35" s="40" t="n">
        <f aca="false">IFERROR(AL35/AG35,0)</f>
        <v>1240.12</v>
      </c>
      <c r="AL35" s="31" t="n">
        <f aca="false">Inputs!$C$14*(1+Inputs!$B$9)*(1+'Dashboard (2)'!$T$1)*GREECE!F9+Inputs!$C$15*(1+Inputs!$B$9)*(1+'Dashboard (2)'!$T$1)*GREECE!F10</f>
        <v>104170.08</v>
      </c>
      <c r="AM35" s="31"/>
      <c r="AN35" s="36"/>
      <c r="AO35" s="24" t="s">
        <v>87</v>
      </c>
      <c r="AP35" s="31" t="n">
        <f aca="false">IFERROR(AR35/AQ35,0)</f>
        <v>846.317111074766</v>
      </c>
      <c r="AQ35" s="31" t="n">
        <f aca="false">GREECE!G9+GREECE!G10</f>
        <v>107</v>
      </c>
      <c r="AR35" s="31" t="n">
        <f aca="false">GREECE!F17*GREECE!G9+GREECE!F18*GREECE!G10</f>
        <v>90555.930885</v>
      </c>
      <c r="AS35" s="34"/>
      <c r="AT35" s="31"/>
      <c r="AU35" s="40" t="n">
        <f aca="false">IFERROR(AV35/AQ35,0)</f>
        <v>1282.59835514019</v>
      </c>
      <c r="AV35" s="31" t="n">
        <f aca="false">Inputs!$C$14*(1+Inputs!$B$9)*(1+'Dashboard (2)'!$T$1)*(1+'Dashboard (2)'!$T$1)*GREECE!G9+Inputs!$C$15*(1+Inputs!$B$9)*(1+'Dashboard (2)'!$T$1)*(1+'Dashboard (2)'!$T$1)*GREECE!G10</f>
        <v>137238.024</v>
      </c>
      <c r="AW35" s="31"/>
      <c r="AX35" s="36"/>
      <c r="AY35" s="24" t="s">
        <v>87</v>
      </c>
      <c r="AZ35" s="31" t="n">
        <f aca="false">IFERROR(BB35/BA35,0)</f>
        <v>874.228612673256</v>
      </c>
      <c r="BA35" s="31" t="n">
        <f aca="false">GREECE!H9+GREECE!H10</f>
        <v>129</v>
      </c>
      <c r="BB35" s="31" t="n">
        <f aca="false">GREECE!G17*GREECE!H9+GREECE!G18*GREECE!H10</f>
        <v>112775.49103485</v>
      </c>
      <c r="BC35" s="34"/>
      <c r="BD35" s="31"/>
      <c r="BE35" s="40" t="n">
        <f aca="false">IFERROR(BF35/BA35,0)</f>
        <v>1324.89336911628</v>
      </c>
      <c r="BF35" s="31" t="n">
        <f aca="false">Inputs!$C$14*(1+Inputs!$B$9)*(1+'Dashboard (2)'!$T$1)*(1+'Dashboard (2)'!$T$1)*(1+'Dashboard (2)'!$T$1)*GREECE!H9+Inputs!$C$15*(1+Inputs!$B$9)*(1+'Dashboard (2)'!$T$1)*(1+'Dashboard (2)'!$T$1)*(1+'Dashboard (2)'!$T$1)*GREECE!H10</f>
        <v>170911.244616</v>
      </c>
      <c r="BG35" s="31"/>
      <c r="BH35" s="36"/>
      <c r="BI35" s="24" t="s">
        <v>87</v>
      </c>
      <c r="BJ35" s="31" t="n">
        <f aca="false">IFERROR(BL35/BK35,0)</f>
        <v>901.32321217134</v>
      </c>
      <c r="BK35" s="31" t="n">
        <f aca="false">GREECE!I9+GREECE!I10</f>
        <v>150</v>
      </c>
      <c r="BL35" s="31" t="n">
        <f aca="false">GREECE!H17*GREECE!I9+GREECE!H18*GREECE!I10</f>
        <v>135198.481825701</v>
      </c>
      <c r="BM35" s="34"/>
      <c r="BN35" s="31"/>
      <c r="BO35" s="40" t="n">
        <f aca="false">IFERROR(BP35/BK35,0)</f>
        <v>1365.95350809792</v>
      </c>
      <c r="BP35" s="31" t="n">
        <f aca="false">Inputs!$C$14*(1+Inputs!$B$9)*(1+'Dashboard (2)'!$T$1)*(1+'Dashboard (2)'!$T$1)*(1+'Dashboard (2)'!$T$1)*(1+'Dashboard (2)'!$T$1)*GREECE!I9+Inputs!$C$15*(1+Inputs!$B$9)*(1+'Dashboard (2)'!$T$1)*(1+'Dashboard (2)'!$T$1)*(1+'Dashboard (2)'!$T$1)*(1+'Dashboard (2)'!$T$1)*GREECE!I10</f>
        <v>204893.026214688</v>
      </c>
      <c r="BQ35" s="31"/>
      <c r="BR35" s="36"/>
    </row>
    <row r="36" customFormat="false" ht="17.25" hidden="false" customHeight="true" outlineLevel="0" collapsed="false">
      <c r="A36" s="23"/>
      <c r="B36" s="24"/>
      <c r="C36" s="25"/>
      <c r="D36" s="25"/>
      <c r="E36" s="26"/>
      <c r="F36" s="26"/>
      <c r="G36" s="25"/>
      <c r="H36" s="26"/>
      <c r="I36" s="41"/>
      <c r="J36" s="24"/>
      <c r="K36" s="24" t="s">
        <v>68</v>
      </c>
      <c r="L36" s="31" t="n">
        <f aca="false">GREECE!C20</f>
        <v>250</v>
      </c>
      <c r="M36" s="31" t="n">
        <f aca="false">GREECE!D12</f>
        <v>3705</v>
      </c>
      <c r="N36" s="31" t="n">
        <f aca="false">L36*M36</f>
        <v>926250</v>
      </c>
      <c r="O36" s="31"/>
      <c r="P36" s="34"/>
      <c r="Q36" s="38" t="n">
        <f aca="false">IFERROR(R36/M36,0)</f>
        <v>448</v>
      </c>
      <c r="R36" s="35" t="n">
        <f aca="false">Inputs!$C$13*GREECE!D12</f>
        <v>1659840</v>
      </c>
      <c r="S36" s="35"/>
      <c r="T36" s="36"/>
      <c r="U36" s="24" t="s">
        <v>68</v>
      </c>
      <c r="V36" s="31" t="n">
        <f aca="false">GREECE!D20</f>
        <v>262.5</v>
      </c>
      <c r="W36" s="31" t="n">
        <f aca="false">GREECE!E12</f>
        <v>4224</v>
      </c>
      <c r="X36" s="31" t="n">
        <f aca="false">V36*W36</f>
        <v>1108800</v>
      </c>
      <c r="Y36" s="34"/>
      <c r="Z36" s="31"/>
      <c r="AA36" s="40" t="n">
        <f aca="false">IFERROR(AB36/W36,0)</f>
        <v>470.4</v>
      </c>
      <c r="AB36" s="31" t="n">
        <f aca="false">Inputs!$C$13*(1+Inputs!$B$9)*GREECE!E12</f>
        <v>1986969.6</v>
      </c>
      <c r="AC36" s="31"/>
      <c r="AD36" s="36"/>
      <c r="AE36" s="24" t="s">
        <v>68</v>
      </c>
      <c r="AF36" s="31" t="n">
        <f aca="false">GREECE!E20</f>
        <v>270.375</v>
      </c>
      <c r="AG36" s="31" t="n">
        <f aca="false">GREECE!F12</f>
        <v>4727</v>
      </c>
      <c r="AH36" s="31" t="n">
        <f aca="false">AF36*AG36</f>
        <v>1278062.625</v>
      </c>
      <c r="AI36" s="34"/>
      <c r="AJ36" s="31"/>
      <c r="AK36" s="40" t="n">
        <f aca="false">IFERROR(AL36/AG36,0)</f>
        <v>484.512</v>
      </c>
      <c r="AL36" s="31" t="n">
        <f aca="false">Inputs!$C$13*(1+Inputs!$B$9)*(1+'Dashboard (2)'!$T$1)*GREECE!F12</f>
        <v>2290288.224</v>
      </c>
      <c r="AM36" s="31"/>
      <c r="AN36" s="36"/>
      <c r="AO36" s="24" t="s">
        <v>68</v>
      </c>
      <c r="AP36" s="31" t="n">
        <f aca="false">GREECE!F20</f>
        <v>278.48625</v>
      </c>
      <c r="AQ36" s="31" t="n">
        <f aca="false">GREECE!G12</f>
        <v>5215</v>
      </c>
      <c r="AR36" s="31" t="n">
        <f aca="false">AP36*AQ36</f>
        <v>1452305.79375</v>
      </c>
      <c r="AS36" s="34"/>
      <c r="AT36" s="31"/>
      <c r="AU36" s="40" t="n">
        <f aca="false">IFERROR(AV36/AQ36,0)</f>
        <v>499.04736</v>
      </c>
      <c r="AV36" s="31" t="n">
        <f aca="false">Inputs!$C$13*(1+Inputs!$B$9)*(1+'Dashboard (2)'!$T$1)*(1+'Dashboard (2)'!$T$1)*GREECE!G12</f>
        <v>2602531.9824</v>
      </c>
      <c r="AW36" s="31"/>
      <c r="AX36" s="36"/>
      <c r="AY36" s="24" t="s">
        <v>68</v>
      </c>
      <c r="AZ36" s="31" t="n">
        <f aca="false">GREECE!G20</f>
        <v>286.8408375</v>
      </c>
      <c r="BA36" s="31" t="n">
        <f aca="false">GREECE!H12</f>
        <v>5689</v>
      </c>
      <c r="BB36" s="31" t="n">
        <f aca="false">AZ36*BA36</f>
        <v>1631837.5245375</v>
      </c>
      <c r="BC36" s="34"/>
      <c r="BD36" s="31"/>
      <c r="BE36" s="40" t="n">
        <f aca="false">IFERROR(BF36/BA36,0)</f>
        <v>514.0187808</v>
      </c>
      <c r="BF36" s="31" t="n">
        <f aca="false">Inputs!$C$13*(1+Inputs!$B$9)*(1+'Dashboard (2)'!$T$1)*(1+'Dashboard (2)'!$T$1)*(1+'Dashboard (2)'!$T$1)*GREECE!H12</f>
        <v>2924252.8439712</v>
      </c>
      <c r="BG36" s="31"/>
      <c r="BH36" s="36"/>
      <c r="BI36" s="24" t="s">
        <v>68</v>
      </c>
      <c r="BJ36" s="31" t="n">
        <f aca="false">GREECE!H20</f>
        <v>295.446062625</v>
      </c>
      <c r="BK36" s="31" t="n">
        <f aca="false">GREECE!I12</f>
        <v>6148</v>
      </c>
      <c r="BL36" s="31" t="n">
        <f aca="false">BJ36*BK36</f>
        <v>1816402.3930185</v>
      </c>
      <c r="BM36" s="34"/>
      <c r="BN36" s="31"/>
      <c r="BO36" s="40" t="n">
        <f aca="false">IFERROR(BP36/BK36,0)</f>
        <v>529.439344224</v>
      </c>
      <c r="BP36" s="31" t="n">
        <f aca="false">Inputs!$C$13*(1+Inputs!$B$9)*(1+'Dashboard (2)'!$T$1)*(1+'Dashboard (2)'!$T$1)*(1+'Dashboard (2)'!$T$1)*(1+'Dashboard (2)'!$T$1)*GREECE!I12</f>
        <v>3254993.08828915</v>
      </c>
      <c r="BQ36" s="31"/>
      <c r="BR36" s="36"/>
    </row>
    <row r="37" customFormat="false" ht="17.25" hidden="false" customHeight="true" outlineLevel="0" collapsed="false">
      <c r="A37" s="23"/>
      <c r="B37" s="24"/>
      <c r="C37" s="25"/>
      <c r="D37" s="25"/>
      <c r="E37" s="26"/>
      <c r="F37" s="26"/>
      <c r="G37" s="25"/>
      <c r="H37" s="26"/>
      <c r="I37" s="41"/>
      <c r="J37" s="24"/>
      <c r="K37" s="24"/>
      <c r="L37" s="31"/>
      <c r="M37" s="31" t="n">
        <f aca="false">SUM(M35:M36)</f>
        <v>3742</v>
      </c>
      <c r="N37" s="31" t="n">
        <f aca="false">SUM(N35:N36)</f>
        <v>953593</v>
      </c>
      <c r="O37" s="31" t="n">
        <f aca="false">GREECE!D26</f>
        <v>460633.72</v>
      </c>
      <c r="P37" s="34" t="n">
        <f aca="false">O37/N37</f>
        <v>0.483050651588256</v>
      </c>
      <c r="Q37" s="34"/>
      <c r="R37" s="35" t="n">
        <f aca="false">SUM(R35:R36)</f>
        <v>1701280</v>
      </c>
      <c r="S37" s="35" t="str">
        <f aca="false">IF(ISNUMBER(Dashboard!Q20),Dashboard!Q20,"no KPI data")</f>
        <v>no KPI data</v>
      </c>
      <c r="T37" s="39" t="s">
        <v>66</v>
      </c>
      <c r="U37" s="24"/>
      <c r="V37" s="31"/>
      <c r="W37" s="31" t="n">
        <f aca="false">SUM(W35:W36)</f>
        <v>4285</v>
      </c>
      <c r="X37" s="31" t="n">
        <f aca="false">SUM(X35:X36)</f>
        <v>1156909.95</v>
      </c>
      <c r="Y37" s="34" t="n">
        <f aca="false">Z37/X37</f>
        <v>0.514494995137694</v>
      </c>
      <c r="Z37" s="31" t="n">
        <f aca="false">GREECE!E30</f>
        <v>595224.3791</v>
      </c>
      <c r="AA37" s="31"/>
      <c r="AB37" s="31" t="n">
        <f aca="false">SUM(AB35:AB36)</f>
        <v>2059881.6</v>
      </c>
      <c r="AC37" s="31" t="str">
        <f aca="false">IF(ISNUMBER(S37),S37+Dashboard!G20/(1-Inputs!$B$18),"no KPI data")</f>
        <v>no KPI data</v>
      </c>
      <c r="AD37" s="39" t="s">
        <v>66</v>
      </c>
      <c r="AE37" s="24"/>
      <c r="AF37" s="31"/>
      <c r="AG37" s="31" t="n">
        <f aca="false">SUM(AG35:AG36)</f>
        <v>4811</v>
      </c>
      <c r="AH37" s="31" t="n">
        <f aca="false">SUM(AH35:AH36)</f>
        <v>1346798.439</v>
      </c>
      <c r="AI37" s="34" t="n">
        <f aca="false">IF(Y37&gt;=Inputs!$B$38,Y37,MIN(Y37+'Dashboard (2)'!$N$2,Inputs!$B$38))</f>
        <v>0.524494995137694</v>
      </c>
      <c r="AJ37" s="31" t="n">
        <f aca="false">AH37*AI37</f>
        <v>706389.040714759</v>
      </c>
      <c r="AK37" s="31"/>
      <c r="AL37" s="31" t="n">
        <f aca="false">SUM(AL35:AL36)</f>
        <v>2394458.304</v>
      </c>
      <c r="AM37" s="31" t="str">
        <f aca="false">IF(ISNUMBER(AC37),AC37*AJ37/Z37,"no KPI data")</f>
        <v>no KPI data</v>
      </c>
      <c r="AN37" s="39" t="s">
        <v>66</v>
      </c>
      <c r="AO37" s="24"/>
      <c r="AP37" s="31"/>
      <c r="AQ37" s="31" t="n">
        <f aca="false">SUM(AQ35:AQ36)</f>
        <v>5322</v>
      </c>
      <c r="AR37" s="31" t="n">
        <f aca="false">SUM(AR35:AR36)</f>
        <v>1542861.724635</v>
      </c>
      <c r="AS37" s="34" t="n">
        <f aca="false">IF(AI37&gt;=Inputs!$B$38,AI37,MIN(AI37+'Dashboard (2)'!$N$2,Inputs!$B$38))</f>
        <v>0.534494995137694</v>
      </c>
      <c r="AT37" s="31" t="n">
        <f aca="false">AR37*AS37</f>
        <v>824651.870006919</v>
      </c>
      <c r="AU37" s="31"/>
      <c r="AV37" s="31" t="n">
        <f aca="false">SUM(AV35:AV36)</f>
        <v>2739770.0064</v>
      </c>
      <c r="AW37" s="31" t="str">
        <f aca="false">IF(ISNUMBER(AM37),AM37*AT37/AJ37,"no KPI data")</f>
        <v>no KPI data</v>
      </c>
      <c r="AX37" s="39" t="s">
        <v>66</v>
      </c>
      <c r="AY37" s="24"/>
      <c r="AZ37" s="31"/>
      <c r="BA37" s="31" t="n">
        <f aca="false">SUM(BA35:BA36)</f>
        <v>5818</v>
      </c>
      <c r="BB37" s="31" t="n">
        <f aca="false">SUM(BB35:BB36)</f>
        <v>1744613.01557235</v>
      </c>
      <c r="BC37" s="34" t="n">
        <f aca="false">IF(AS37&gt;=Inputs!$B$38,AS37,MIN(AS37+'Dashboard (2)'!$N$2,Inputs!$B$38))</f>
        <v>0.544494995137694</v>
      </c>
      <c r="BD37" s="31" t="n">
        <f aca="false">BB37*BC37</f>
        <v>949933.055431225</v>
      </c>
      <c r="BE37" s="31"/>
      <c r="BF37" s="31" t="n">
        <f aca="false">SUM(BF35:BF36)</f>
        <v>3095164.0885872</v>
      </c>
      <c r="BG37" s="31" t="str">
        <f aca="false">IF(ISNUMBER(AW37),AW37*BD37/AT37,"no KPI data")</f>
        <v>no KPI data</v>
      </c>
      <c r="BH37" s="39" t="s">
        <v>66</v>
      </c>
      <c r="BI37" s="24"/>
      <c r="BJ37" s="31"/>
      <c r="BK37" s="31" t="n">
        <f aca="false">SUM(BK35:BK36)</f>
        <v>6298</v>
      </c>
      <c r="BL37" s="31" t="n">
        <f aca="false">SUM(BL35:BL36)</f>
        <v>1951600.8748442</v>
      </c>
      <c r="BM37" s="34" t="n">
        <f aca="false">IF(BC37&gt;=Inputs!$B$38,BC37,MIN(BC37+'Dashboard (2)'!$N$2,Inputs!$B$38))</f>
        <v>0.554494995137694</v>
      </c>
      <c r="BN37" s="31" t="n">
        <f aca="false">BL37*BM37</f>
        <v>1082152.91760746</v>
      </c>
      <c r="BO37" s="31"/>
      <c r="BP37" s="31" t="n">
        <f aca="false">SUM(BP35:BP36)</f>
        <v>3459886.11450384</v>
      </c>
      <c r="BQ37" s="31" t="str">
        <f aca="false">IF(ISNUMBER(BG37),BG37*BN37/BD37,"no KPI data")</f>
        <v>no KPI data</v>
      </c>
      <c r="BR37" s="39" t="s">
        <v>66</v>
      </c>
    </row>
    <row r="38" customFormat="false" ht="17.25" hidden="false" customHeight="true" outlineLevel="0" collapsed="false">
      <c r="A38" s="23" t="s">
        <v>88</v>
      </c>
      <c r="B38" s="24" t="s">
        <v>78</v>
      </c>
      <c r="C38" s="25" t="n">
        <f aca="false">Dashboard!C21</f>
        <v>539600</v>
      </c>
      <c r="D38" s="25" t="n">
        <f aca="false">Dashboard!D21</f>
        <v>811322.4</v>
      </c>
      <c r="E38" s="26" t="n">
        <f aca="false">Dashboard!E21</f>
        <v>0.665087023358408</v>
      </c>
      <c r="F38" s="26" t="n">
        <f aca="false">Dashboard!F21</f>
        <v>0.018</v>
      </c>
      <c r="G38" s="25" t="n">
        <f aca="false">Dashboard!G21</f>
        <v>14603.8032</v>
      </c>
      <c r="H38" s="26" t="n">
        <f aca="false">Dashboard!H21</f>
        <v>0.683087023358408</v>
      </c>
      <c r="I38" s="41" t="n">
        <f aca="false">Dashboard!I21</f>
        <v>554203.8032</v>
      </c>
      <c r="J38" s="24"/>
      <c r="K38" s="24" t="s">
        <v>87</v>
      </c>
      <c r="L38" s="31" t="n">
        <f aca="false">IFERROR(N38/M38,0)</f>
        <v>739</v>
      </c>
      <c r="M38" s="31" t="n">
        <f aca="false">CYPRUS!D9+CYPRUS!D10</f>
        <v>203</v>
      </c>
      <c r="N38" s="31" t="n">
        <f aca="false">CYPRUS!C17*CYPRUS!D9+CYPRUS!C18*CYPRUS!D10</f>
        <v>150017</v>
      </c>
      <c r="P38" s="34"/>
      <c r="Q38" s="38" t="n">
        <f aca="false">IFERROR(R38/M38,0)</f>
        <v>1120</v>
      </c>
      <c r="R38" s="35" t="n">
        <f aca="false">Inputs!$C$14*CYPRUS!D9+Inputs!$C$15*CYPRUS!D10</f>
        <v>227360</v>
      </c>
      <c r="S38" s="35"/>
      <c r="T38" s="36"/>
      <c r="U38" s="24" t="s">
        <v>87</v>
      </c>
      <c r="V38" s="31" t="n">
        <f aca="false">IFERROR(X38/W38,0)</f>
        <v>779.299137931035</v>
      </c>
      <c r="W38" s="31" t="n">
        <f aca="false">CYPRUS!E9+CYPRUS!E10</f>
        <v>232</v>
      </c>
      <c r="X38" s="31" t="n">
        <f aca="false">CYPRUS!D17*CYPRUS!E9+CYPRUS!D18*CYPRUS!E10</f>
        <v>180797.4</v>
      </c>
      <c r="Y38" s="34"/>
      <c r="Z38" s="31"/>
      <c r="AA38" s="40" t="n">
        <f aca="false">IFERROR(AB38/W38,0)</f>
        <v>1181.06896551724</v>
      </c>
      <c r="AB38" s="31" t="n">
        <f aca="false">Inputs!$C$14*(1+Inputs!$B$9)*CYPRUS!E9+Inputs!$C$15*(1+Inputs!$B$9)*CYPRUS!E10</f>
        <v>274008</v>
      </c>
      <c r="AC38" s="31"/>
      <c r="AD38" s="36"/>
      <c r="AE38" s="24" t="s">
        <v>87</v>
      </c>
      <c r="AF38" s="31" t="n">
        <f aca="false">IFERROR(AH38/AG38,0)</f>
        <v>805.384730769231</v>
      </c>
      <c r="AG38" s="31" t="n">
        <f aca="false">CYPRUS!F9+CYPRUS!F10</f>
        <v>260</v>
      </c>
      <c r="AH38" s="31" t="n">
        <f aca="false">CYPRUS!E17*CYPRUS!F9+CYPRUS!E18*CYPRUS!F10</f>
        <v>209400.03</v>
      </c>
      <c r="AI38" s="34"/>
      <c r="AJ38" s="31"/>
      <c r="AK38" s="40" t="n">
        <f aca="false">IFERROR(AL38/AG38,0)</f>
        <v>1220.59753846154</v>
      </c>
      <c r="AL38" s="31" t="n">
        <f aca="false">Inputs!$C$14*(1+Inputs!$B$9)*(1+'Dashboard (2)'!$T$1)*CYPRUS!F9+Inputs!$C$15*(1+Inputs!$B$9)*(1+'Dashboard (2)'!$T$1)*CYPRUS!F10</f>
        <v>317355.36</v>
      </c>
      <c r="AM38" s="31"/>
      <c r="AN38" s="36"/>
      <c r="AO38" s="24" t="s">
        <v>87</v>
      </c>
      <c r="AP38" s="31" t="n">
        <f aca="false">IFERROR(AR38/AQ38,0)</f>
        <v>831.821933048781</v>
      </c>
      <c r="AQ38" s="31" t="n">
        <f aca="false">CYPRUS!G9+CYPRUS!G10</f>
        <v>287</v>
      </c>
      <c r="AR38" s="31" t="n">
        <f aca="false">CYPRUS!F17*CYPRUS!G9+CYPRUS!F18*CYPRUS!G10</f>
        <v>238732.894785</v>
      </c>
      <c r="AS38" s="34"/>
      <c r="AT38" s="31"/>
      <c r="AU38" s="40" t="n">
        <f aca="false">IFERROR(AV38/AQ38,0)</f>
        <v>1260.65970731707</v>
      </c>
      <c r="AV38" s="31" t="n">
        <f aca="false">Inputs!$C$14*(1+Inputs!$B$9)*(1+'Dashboard (2)'!$T$1)*(1+'Dashboard (2)'!$T$1)*CYPRUS!G9+Inputs!$C$15*(1+Inputs!$B$9)*(1+'Dashboard (2)'!$T$1)*(1+'Dashboard (2)'!$T$1)*CYPRUS!G10</f>
        <v>361809.336</v>
      </c>
      <c r="AW38" s="31"/>
      <c r="AX38" s="36"/>
      <c r="AY38" s="24" t="s">
        <v>87</v>
      </c>
      <c r="AZ38" s="31" t="n">
        <f aca="false">IFERROR(BB38/BA38,0)</f>
        <v>858.717424936624</v>
      </c>
      <c r="BA38" s="31" t="n">
        <f aca="false">CYPRUS!H9+CYPRUS!H10</f>
        <v>314</v>
      </c>
      <c r="BB38" s="31" t="n">
        <f aca="false">CYPRUS!G17*CYPRUS!H9+CYPRUS!G18*CYPRUS!H10</f>
        <v>269637.2714301</v>
      </c>
      <c r="BC38" s="34"/>
      <c r="BD38" s="31"/>
      <c r="BE38" s="40" t="n">
        <f aca="false">IFERROR(BF38/BA38,0)</f>
        <v>1301.41697686624</v>
      </c>
      <c r="BF38" s="31" t="n">
        <f aca="false">Inputs!$C$14*(1+Inputs!$B$9)*(1+'Dashboard (2)'!$T$1)*(1+'Dashboard (2)'!$T$1)*(1+'Dashboard (2)'!$T$1)*CYPRUS!H9+Inputs!$C$15*(1+Inputs!$B$9)*(1+'Dashboard (2)'!$T$1)*(1+'Dashboard (2)'!$T$1)*(1+'Dashboard (2)'!$T$1)*CYPRUS!H10</f>
        <v>408644.930736</v>
      </c>
      <c r="BG38" s="31"/>
      <c r="BH38" s="36"/>
      <c r="BI38" s="24" t="s">
        <v>87</v>
      </c>
      <c r="BJ38" s="31" t="n">
        <f aca="false">IFERROR(BL38/BK38,0)</f>
        <v>885.721150080491</v>
      </c>
      <c r="BK38" s="31" t="n">
        <f aca="false">CYPRUS!I9+CYPRUS!I10</f>
        <v>339</v>
      </c>
      <c r="BL38" s="31" t="n">
        <f aca="false">CYPRUS!H17*CYPRUS!I9+CYPRUS!H18*CYPRUS!I10</f>
        <v>300259.469877287</v>
      </c>
      <c r="BM38" s="34"/>
      <c r="BN38" s="31"/>
      <c r="BO38" s="40" t="n">
        <f aca="false">IFERROR(BP38/BK38,0)</f>
        <v>1342.33957628474</v>
      </c>
      <c r="BP38" s="31" t="n">
        <f aca="false">Inputs!$C$14*(1+Inputs!$B$9)*(1+'Dashboard (2)'!$T$1)*(1+'Dashboard (2)'!$T$1)*(1+'Dashboard (2)'!$T$1)*(1+'Dashboard (2)'!$T$1)*CYPRUS!I9+Inputs!$C$15*(1+Inputs!$B$9)*(1+'Dashboard (2)'!$T$1)*(1+'Dashboard (2)'!$T$1)*(1+'Dashboard (2)'!$T$1)*(1+'Dashboard (2)'!$T$1)*CYPRUS!I10</f>
        <v>455053.116360528</v>
      </c>
      <c r="BQ38" s="31"/>
      <c r="BR38" s="36"/>
    </row>
    <row r="39" customFormat="false" ht="17.25" hidden="false" customHeight="true" outlineLevel="0" collapsed="false">
      <c r="A39" s="23"/>
      <c r="B39" s="24"/>
      <c r="C39" s="25"/>
      <c r="D39" s="25"/>
      <c r="E39" s="26"/>
      <c r="F39" s="26"/>
      <c r="G39" s="25"/>
      <c r="H39" s="26"/>
      <c r="I39" s="41"/>
      <c r="J39" s="24"/>
      <c r="K39" s="24" t="s">
        <v>68</v>
      </c>
      <c r="L39" s="31" t="n">
        <f aca="false">CYPRUS!C20</f>
        <v>250</v>
      </c>
      <c r="M39" s="31" t="n">
        <f aca="false">CYPRUS!D12</f>
        <v>2105</v>
      </c>
      <c r="N39" s="31" t="n">
        <f aca="false">L39*M39</f>
        <v>526250</v>
      </c>
      <c r="O39" s="31"/>
      <c r="P39" s="34"/>
      <c r="Q39" s="38" t="n">
        <f aca="false">IFERROR(R39/M39,0)</f>
        <v>448</v>
      </c>
      <c r="R39" s="35" t="n">
        <f aca="false">Inputs!$C$13*CYPRUS!D12</f>
        <v>943040</v>
      </c>
      <c r="S39" s="35"/>
      <c r="T39" s="36"/>
      <c r="U39" s="24" t="s">
        <v>68</v>
      </c>
      <c r="V39" s="31" t="n">
        <f aca="false">CYPRUS!D20</f>
        <v>262.5</v>
      </c>
      <c r="W39" s="31" t="n">
        <f aca="false">CYPRUS!E12</f>
        <v>2402</v>
      </c>
      <c r="X39" s="31" t="n">
        <f aca="false">V39*W39</f>
        <v>630525</v>
      </c>
      <c r="Y39" s="34"/>
      <c r="Z39" s="31"/>
      <c r="AA39" s="40" t="n">
        <f aca="false">IFERROR(AB39/W39,0)</f>
        <v>470.4</v>
      </c>
      <c r="AB39" s="31" t="n">
        <f aca="false">Inputs!$C$13*(1+Inputs!$B$9)*CYPRUS!E12</f>
        <v>1129900.8</v>
      </c>
      <c r="AC39" s="31"/>
      <c r="AD39" s="36"/>
      <c r="AE39" s="24" t="s">
        <v>68</v>
      </c>
      <c r="AF39" s="31" t="n">
        <f aca="false">CYPRUS!E20</f>
        <v>270.375</v>
      </c>
      <c r="AG39" s="31" t="n">
        <f aca="false">CYPRUS!F12</f>
        <v>2730</v>
      </c>
      <c r="AH39" s="31" t="n">
        <f aca="false">AF39*AG39</f>
        <v>738123.75</v>
      </c>
      <c r="AI39" s="34"/>
      <c r="AJ39" s="31"/>
      <c r="AK39" s="40" t="n">
        <f aca="false">IFERROR(AL39/AG39,0)</f>
        <v>484.512</v>
      </c>
      <c r="AL39" s="31" t="n">
        <f aca="false">Inputs!$C$13*(1+Inputs!$B$9)*(1+'Dashboard (2)'!$T$1)*CYPRUS!F12</f>
        <v>1322717.76</v>
      </c>
      <c r="AM39" s="31"/>
      <c r="AN39" s="36"/>
      <c r="AO39" s="24" t="s">
        <v>68</v>
      </c>
      <c r="AP39" s="31" t="n">
        <f aca="false">CYPRUS!F20</f>
        <v>278.48625</v>
      </c>
      <c r="AQ39" s="31" t="n">
        <f aca="false">CYPRUS!G12</f>
        <v>3008</v>
      </c>
      <c r="AR39" s="31" t="n">
        <f aca="false">AP39*AQ39</f>
        <v>837686.64</v>
      </c>
      <c r="AS39" s="34"/>
      <c r="AT39" s="31"/>
      <c r="AU39" s="40" t="n">
        <f aca="false">IFERROR(AV39/AQ39,0)</f>
        <v>499.04736</v>
      </c>
      <c r="AV39" s="31" t="n">
        <f aca="false">Inputs!$C$13*(1+Inputs!$B$9)*(1+'Dashboard (2)'!$T$1)*(1+'Dashboard (2)'!$T$1)*CYPRUS!G12</f>
        <v>1501134.45888</v>
      </c>
      <c r="AW39" s="31"/>
      <c r="AX39" s="36"/>
      <c r="AY39" s="24" t="s">
        <v>68</v>
      </c>
      <c r="AZ39" s="31" t="n">
        <f aca="false">CYPRUS!G20</f>
        <v>286.8408375</v>
      </c>
      <c r="BA39" s="31" t="n">
        <f aca="false">CYPRUS!H12</f>
        <v>3278</v>
      </c>
      <c r="BB39" s="31" t="n">
        <f aca="false">AZ39*BA39</f>
        <v>940264.265325</v>
      </c>
      <c r="BC39" s="34"/>
      <c r="BD39" s="31"/>
      <c r="BE39" s="40" t="n">
        <f aca="false">IFERROR(BF39/BA39,0)</f>
        <v>514.0187808</v>
      </c>
      <c r="BF39" s="31" t="n">
        <f aca="false">Inputs!$C$13*(1+Inputs!$B$9)*(1+'Dashboard (2)'!$T$1)*(1+'Dashboard (2)'!$T$1)*(1+'Dashboard (2)'!$T$1)*CYPRUS!H12</f>
        <v>1684953.5634624</v>
      </c>
      <c r="BG39" s="31"/>
      <c r="BH39" s="36"/>
      <c r="BI39" s="24" t="s">
        <v>68</v>
      </c>
      <c r="BJ39" s="31" t="n">
        <f aca="false">CYPRUS!H20</f>
        <v>295.446062625</v>
      </c>
      <c r="BK39" s="31" t="n">
        <f aca="false">CYPRUS!I12</f>
        <v>3540</v>
      </c>
      <c r="BL39" s="31" t="n">
        <f aca="false">BJ39*BK39</f>
        <v>1045879.0616925</v>
      </c>
      <c r="BM39" s="34"/>
      <c r="BN39" s="31"/>
      <c r="BO39" s="40" t="n">
        <f aca="false">IFERROR(BP39/BK39,0)</f>
        <v>529.439344224</v>
      </c>
      <c r="BP39" s="31" t="n">
        <f aca="false">Inputs!$C$13*(1+Inputs!$B$9)*(1+'Dashboard (2)'!$T$1)*(1+'Dashboard (2)'!$T$1)*(1+'Dashboard (2)'!$T$1)*(1+'Dashboard (2)'!$T$1)*CYPRUS!I12</f>
        <v>1874215.27855296</v>
      </c>
      <c r="BQ39" s="31"/>
      <c r="BR39" s="36"/>
    </row>
    <row r="40" customFormat="false" ht="17.25" hidden="false" customHeight="true" outlineLevel="0" collapsed="false">
      <c r="A40" s="23"/>
      <c r="B40" s="24"/>
      <c r="C40" s="25"/>
      <c r="D40" s="25"/>
      <c r="E40" s="26"/>
      <c r="F40" s="26"/>
      <c r="G40" s="25"/>
      <c r="H40" s="26"/>
      <c r="I40" s="41"/>
      <c r="J40" s="24"/>
      <c r="K40" s="24"/>
      <c r="L40" s="31"/>
      <c r="M40" s="31" t="n">
        <f aca="false">SUM(M38:M39)</f>
        <v>2308</v>
      </c>
      <c r="N40" s="31" t="n">
        <f aca="false">SUM(N38:N39)</f>
        <v>676267</v>
      </c>
      <c r="O40" s="31" t="n">
        <f aca="false">CYPRUS!D26</f>
        <v>401055.88</v>
      </c>
      <c r="P40" s="34" t="n">
        <f aca="false">O40/N40</f>
        <v>0.593043694280514</v>
      </c>
      <c r="Q40" s="34"/>
      <c r="R40" s="35" t="n">
        <f aca="false">SUM(R38:R39)</f>
        <v>1170400</v>
      </c>
      <c r="S40" s="35" t="str">
        <f aca="false">IF(ISNUMBER(Dashboard!Q21),Dashboard!Q21,"no KPI data")</f>
        <v>no KPI data</v>
      </c>
      <c r="T40" s="39" t="s">
        <v>66</v>
      </c>
      <c r="U40" s="24"/>
      <c r="V40" s="31"/>
      <c r="W40" s="31" t="n">
        <f aca="false">SUM(W38:W39)</f>
        <v>2634</v>
      </c>
      <c r="X40" s="31" t="n">
        <f aca="false">SUM(X38:X39)</f>
        <v>811322.4</v>
      </c>
      <c r="Y40" s="34" t="n">
        <f aca="false">Z40/X40</f>
        <v>0.683087023358408</v>
      </c>
      <c r="Z40" s="31" t="n">
        <f aca="false">CYPRUS!E30</f>
        <v>554203.8032</v>
      </c>
      <c r="AA40" s="31"/>
      <c r="AB40" s="31" t="n">
        <f aca="false">SUM(AB38:AB39)</f>
        <v>1403908.8</v>
      </c>
      <c r="AC40" s="31" t="str">
        <f aca="false">IF(ISNUMBER(S40),S40+Dashboard!G21/(1-Inputs!$B$18),"no KPI data")</f>
        <v>no KPI data</v>
      </c>
      <c r="AD40" s="39" t="s">
        <v>66</v>
      </c>
      <c r="AE40" s="24"/>
      <c r="AF40" s="31"/>
      <c r="AG40" s="31" t="n">
        <f aca="false">SUM(AG38:AG39)</f>
        <v>2990</v>
      </c>
      <c r="AH40" s="31" t="n">
        <f aca="false">SUM(AH38:AH39)</f>
        <v>947523.78</v>
      </c>
      <c r="AI40" s="34" t="n">
        <f aca="false">IF(Y40&gt;=Inputs!$B$38,Y40,MIN(Y40+'Dashboard (2)'!$N$2,Inputs!$B$38))</f>
        <v>0.693087023358408</v>
      </c>
      <c r="AJ40" s="31" t="n">
        <f aca="false">AH40*AI40</f>
        <v>656716.436241508</v>
      </c>
      <c r="AK40" s="31"/>
      <c r="AL40" s="31" t="n">
        <f aca="false">SUM(AL38:AL39)</f>
        <v>1640073.12</v>
      </c>
      <c r="AM40" s="31" t="str">
        <f aca="false">IF(ISNUMBER(AC40),AC40*AJ40/Z40,"no KPI data")</f>
        <v>no KPI data</v>
      </c>
      <c r="AN40" s="39" t="s">
        <v>66</v>
      </c>
      <c r="AO40" s="24"/>
      <c r="AP40" s="31"/>
      <c r="AQ40" s="31" t="n">
        <f aca="false">SUM(AQ38:AQ39)</f>
        <v>3295</v>
      </c>
      <c r="AR40" s="31" t="n">
        <f aca="false">SUM(AR38:AR39)</f>
        <v>1076419.534785</v>
      </c>
      <c r="AS40" s="34" t="n">
        <f aca="false">IF(AI40&gt;=Inputs!$B$38,AI40,MIN(AI40+'Dashboard (2)'!$N$2,Inputs!$B$38))</f>
        <v>0.703087023358408</v>
      </c>
      <c r="AT40" s="31" t="n">
        <f aca="false">AR40*AS40</f>
        <v>756816.606596828</v>
      </c>
      <c r="AU40" s="31"/>
      <c r="AV40" s="31" t="n">
        <f aca="false">SUM(AV38:AV39)</f>
        <v>1862943.79488</v>
      </c>
      <c r="AW40" s="31" t="str">
        <f aca="false">IF(ISNUMBER(AM40),AM40*AT40/AJ40,"no KPI data")</f>
        <v>no KPI data</v>
      </c>
      <c r="AX40" s="39" t="s">
        <v>66</v>
      </c>
      <c r="AY40" s="24"/>
      <c r="AZ40" s="31"/>
      <c r="BA40" s="31" t="n">
        <f aca="false">SUM(BA38:BA39)</f>
        <v>3592</v>
      </c>
      <c r="BB40" s="31" t="n">
        <f aca="false">SUM(BB38:BB39)</f>
        <v>1209901.5367551</v>
      </c>
      <c r="BC40" s="34" t="n">
        <f aca="false">IF(AS40&gt;=Inputs!$B$38,AS40,MIN(AS40+'Dashboard (2)'!$N$2,Inputs!$B$38))</f>
        <v>0.713087023358409</v>
      </c>
      <c r="BD40" s="31" t="n">
        <f aca="false">BB40*BC40</f>
        <v>862765.085401458</v>
      </c>
      <c r="BE40" s="31"/>
      <c r="BF40" s="31" t="n">
        <f aca="false">SUM(BF38:BF39)</f>
        <v>2093598.4941984</v>
      </c>
      <c r="BG40" s="31" t="str">
        <f aca="false">IF(ISNUMBER(AW40),AW40*BD40/AT40,"no KPI data")</f>
        <v>no KPI data</v>
      </c>
      <c r="BH40" s="39" t="s">
        <v>66</v>
      </c>
      <c r="BI40" s="24"/>
      <c r="BJ40" s="31"/>
      <c r="BK40" s="31" t="n">
        <f aca="false">SUM(BK38:BK39)</f>
        <v>3879</v>
      </c>
      <c r="BL40" s="31" t="n">
        <f aca="false">SUM(BL38:BL39)</f>
        <v>1346138.53156979</v>
      </c>
      <c r="BM40" s="34" t="n">
        <f aca="false">IF(BC40&gt;=Inputs!$B$38,BC40,MIN(BC40+'Dashboard (2)'!$N$2,Inputs!$B$38))</f>
        <v>0.723087023358409</v>
      </c>
      <c r="BN40" s="31" t="n">
        <f aca="false">BL40*BM40</f>
        <v>973375.303820856</v>
      </c>
      <c r="BO40" s="31"/>
      <c r="BP40" s="31" t="n">
        <f aca="false">SUM(BP38:BP39)</f>
        <v>2329268.39491349</v>
      </c>
      <c r="BQ40" s="31" t="str">
        <f aca="false">IF(ISNUMBER(BG40),BG40*BN40/BD40,"no KPI data")</f>
        <v>no KPI data</v>
      </c>
      <c r="BR40" s="39" t="s">
        <v>66</v>
      </c>
    </row>
    <row r="41" customFormat="false" ht="17.25" hidden="false" customHeight="true" outlineLevel="0" collapsed="false">
      <c r="A41" s="23" t="s">
        <v>89</v>
      </c>
      <c r="B41" s="24" t="s">
        <v>78</v>
      </c>
      <c r="C41" s="25" t="n">
        <f aca="false">Dashboard!C22</f>
        <v>233100</v>
      </c>
      <c r="D41" s="25" t="n">
        <f aca="false">Dashboard!D22</f>
        <v>424347</v>
      </c>
      <c r="E41" s="26" t="n">
        <f aca="false">Dashboard!E22</f>
        <v>0.549314593952591</v>
      </c>
      <c r="F41" s="26" t="n">
        <f aca="false">Dashboard!F22</f>
        <v>0.018</v>
      </c>
      <c r="G41" s="25" t="n">
        <f aca="false">Dashboard!G22</f>
        <v>7638.246</v>
      </c>
      <c r="H41" s="26" t="n">
        <f aca="false">Dashboard!H22</f>
        <v>0.567314593952591</v>
      </c>
      <c r="I41" s="41" t="n">
        <f aca="false">Dashboard!I22</f>
        <v>240738.246</v>
      </c>
      <c r="J41" s="24"/>
      <c r="K41" s="24" t="s">
        <v>83</v>
      </c>
      <c r="L41" s="31" t="n">
        <f aca="false">MALTA!C17</f>
        <v>739</v>
      </c>
      <c r="M41" s="31" t="n">
        <f aca="false">MALTA!D9</f>
        <v>243</v>
      </c>
      <c r="N41" s="31" t="n">
        <f aca="false">L41*M41</f>
        <v>179577</v>
      </c>
      <c r="P41" s="34"/>
      <c r="Q41" s="38" t="n">
        <f aca="false">IFERROR(R41/M41,0)</f>
        <v>1120</v>
      </c>
      <c r="R41" s="35" t="n">
        <f aca="false">Inputs!$C$14*MALTA!D9</f>
        <v>272160</v>
      </c>
      <c r="S41" s="35"/>
      <c r="T41" s="36"/>
      <c r="U41" s="24" t="s">
        <v>83</v>
      </c>
      <c r="V41" s="31" t="n">
        <f aca="false">MALTA!D17</f>
        <v>775.95</v>
      </c>
      <c r="W41" s="31" t="n">
        <f aca="false">MALTA!E9</f>
        <v>260</v>
      </c>
      <c r="X41" s="31" t="n">
        <f aca="false">V41*W41</f>
        <v>201747</v>
      </c>
      <c r="Y41" s="34"/>
      <c r="Z41" s="31"/>
      <c r="AA41" s="40" t="n">
        <f aca="false">IFERROR(AB41/W41,0)</f>
        <v>1176</v>
      </c>
      <c r="AB41" s="31" t="n">
        <f aca="false">Inputs!$C$14*(1+Inputs!$B$9)*MALTA!E9</f>
        <v>305760</v>
      </c>
      <c r="AC41" s="31"/>
      <c r="AD41" s="36"/>
      <c r="AE41" s="24" t="s">
        <v>83</v>
      </c>
      <c r="AF41" s="31" t="n">
        <f aca="false">MALTA!E17</f>
        <v>799.2285</v>
      </c>
      <c r="AG41" s="31" t="n">
        <f aca="false">MALTA!F9</f>
        <v>276</v>
      </c>
      <c r="AH41" s="31" t="n">
        <f aca="false">AF41*AG41</f>
        <v>220587.066</v>
      </c>
      <c r="AI41" s="34"/>
      <c r="AJ41" s="31"/>
      <c r="AK41" s="40" t="n">
        <f aca="false">IFERROR(AL41/AG41,0)</f>
        <v>1211.28</v>
      </c>
      <c r="AL41" s="31" t="n">
        <f aca="false">Inputs!$C$14*(1+Inputs!$B$9)*(1+'Dashboard (2)'!$T$1)*MALTA!F9</f>
        <v>334313.28</v>
      </c>
      <c r="AM41" s="31"/>
      <c r="AN41" s="36"/>
      <c r="AO41" s="24" t="s">
        <v>83</v>
      </c>
      <c r="AP41" s="31" t="n">
        <f aca="false">MALTA!F17</f>
        <v>823.205355</v>
      </c>
      <c r="AQ41" s="31" t="n">
        <f aca="false">MALTA!G9</f>
        <v>292</v>
      </c>
      <c r="AR41" s="31" t="n">
        <f aca="false">AP41*AQ41</f>
        <v>240375.96366</v>
      </c>
      <c r="AS41" s="34"/>
      <c r="AT41" s="31"/>
      <c r="AU41" s="40" t="n">
        <f aca="false">IFERROR(AV41/AQ41,0)</f>
        <v>1247.6184</v>
      </c>
      <c r="AV41" s="31" t="n">
        <f aca="false">Inputs!$C$14*(1+Inputs!$B$9)*(1+'Dashboard (2)'!$T$1)*(1+'Dashboard (2)'!$T$1)*MALTA!G9</f>
        <v>364304.5728</v>
      </c>
      <c r="AW41" s="31"/>
      <c r="AX41" s="36"/>
      <c r="AY41" s="24" t="s">
        <v>83</v>
      </c>
      <c r="AZ41" s="31" t="n">
        <f aca="false">MALTA!G17</f>
        <v>847.90151565</v>
      </c>
      <c r="BA41" s="31" t="n">
        <f aca="false">MALTA!H9</f>
        <v>307</v>
      </c>
      <c r="BB41" s="31" t="n">
        <f aca="false">AZ41*BA41</f>
        <v>260305.76530455</v>
      </c>
      <c r="BC41" s="34"/>
      <c r="BD41" s="31"/>
      <c r="BE41" s="40" t="n">
        <f aca="false">IFERROR(BF41/BA41,0)</f>
        <v>1285.046952</v>
      </c>
      <c r="BF41" s="31" t="n">
        <f aca="false">Inputs!$C$14*(1+Inputs!$B$9)*(1+'Dashboard (2)'!$T$1)*(1+'Dashboard (2)'!$T$1)*(1+'Dashboard (2)'!$T$1)*MALTA!H9</f>
        <v>394509.414264</v>
      </c>
      <c r="BG41" s="31"/>
      <c r="BH41" s="36"/>
      <c r="BI41" s="24" t="s">
        <v>83</v>
      </c>
      <c r="BJ41" s="31" t="n">
        <f aca="false">MALTA!H17</f>
        <v>873.3385611195</v>
      </c>
      <c r="BK41" s="31" t="n">
        <f aca="false">MALTA!I9</f>
        <v>322</v>
      </c>
      <c r="BL41" s="31" t="n">
        <f aca="false">BJ41*BK41</f>
        <v>281215.016680479</v>
      </c>
      <c r="BM41" s="34"/>
      <c r="BN41" s="31"/>
      <c r="BO41" s="40" t="n">
        <f aca="false">IFERROR(BP41/BK41,0)</f>
        <v>1323.59836056</v>
      </c>
      <c r="BP41" s="31" t="n">
        <f aca="false">Inputs!$C$14*(1+Inputs!$B$9)*(1+'Dashboard (2)'!$T$1)*(1+'Dashboard (2)'!$T$1)*(1+'Dashboard (2)'!$T$1)*(1+'Dashboard (2)'!$T$1)*MALTA!I9</f>
        <v>426198.67210032</v>
      </c>
      <c r="BQ41" s="31"/>
      <c r="BR41" s="36"/>
    </row>
    <row r="42" customFormat="false" ht="17.25" hidden="false" customHeight="true" outlineLevel="0" collapsed="false">
      <c r="A42" s="23"/>
      <c r="B42" s="24"/>
      <c r="C42" s="25"/>
      <c r="D42" s="25"/>
      <c r="E42" s="26"/>
      <c r="F42" s="26"/>
      <c r="G42" s="25"/>
      <c r="H42" s="26"/>
      <c r="I42" s="41"/>
      <c r="J42" s="24"/>
      <c r="K42" s="24" t="s">
        <v>68</v>
      </c>
      <c r="L42" s="31" t="n">
        <f aca="false">MALTA!C20</f>
        <v>250</v>
      </c>
      <c r="M42" s="31" t="n">
        <f aca="false">MALTA!D12</f>
        <v>797</v>
      </c>
      <c r="N42" s="31" t="n">
        <f aca="false">L42*M42</f>
        <v>199250</v>
      </c>
      <c r="O42" s="31"/>
      <c r="P42" s="34"/>
      <c r="Q42" s="38" t="n">
        <f aca="false">IFERROR(R42/M42,0)</f>
        <v>448</v>
      </c>
      <c r="R42" s="35" t="n">
        <f aca="false">Inputs!$C$13*MALTA!D12</f>
        <v>357056</v>
      </c>
      <c r="S42" s="35"/>
      <c r="T42" s="36"/>
      <c r="U42" s="24" t="s">
        <v>68</v>
      </c>
      <c r="V42" s="31" t="n">
        <f aca="false">MALTA!D20</f>
        <v>262.5</v>
      </c>
      <c r="W42" s="31" t="n">
        <f aca="false">MALTA!E12</f>
        <v>848</v>
      </c>
      <c r="X42" s="31" t="n">
        <f aca="false">V42*W42</f>
        <v>222600</v>
      </c>
      <c r="Y42" s="34"/>
      <c r="Z42" s="31"/>
      <c r="AA42" s="40" t="n">
        <f aca="false">IFERROR(AB42/W42,0)</f>
        <v>470.4</v>
      </c>
      <c r="AB42" s="31" t="n">
        <f aca="false">Inputs!$C$13*(1+Inputs!$B$9)*MALTA!E12</f>
        <v>398899.2</v>
      </c>
      <c r="AC42" s="31"/>
      <c r="AD42" s="36"/>
      <c r="AE42" s="24" t="s">
        <v>68</v>
      </c>
      <c r="AF42" s="31" t="n">
        <f aca="false">MALTA!E20</f>
        <v>270.375</v>
      </c>
      <c r="AG42" s="31" t="n">
        <f aca="false">MALTA!F12</f>
        <v>948</v>
      </c>
      <c r="AH42" s="31" t="n">
        <f aca="false">AF42*AG42</f>
        <v>256315.5</v>
      </c>
      <c r="AI42" s="34"/>
      <c r="AJ42" s="31"/>
      <c r="AK42" s="40" t="n">
        <f aca="false">IFERROR(AL42/AG42,0)</f>
        <v>484.512</v>
      </c>
      <c r="AL42" s="31" t="n">
        <f aca="false">Inputs!$C$13*(1+Inputs!$B$9)*(1+'Dashboard (2)'!$T$1)*MALTA!F12</f>
        <v>459317.376</v>
      </c>
      <c r="AM42" s="31"/>
      <c r="AN42" s="36"/>
      <c r="AO42" s="24" t="s">
        <v>68</v>
      </c>
      <c r="AP42" s="31" t="n">
        <f aca="false">MALTA!F20</f>
        <v>278.48625</v>
      </c>
      <c r="AQ42" s="31" t="n">
        <f aca="false">MALTA!G12</f>
        <v>1025</v>
      </c>
      <c r="AR42" s="31" t="n">
        <f aca="false">AP42*AQ42</f>
        <v>285448.40625</v>
      </c>
      <c r="AS42" s="34"/>
      <c r="AT42" s="31"/>
      <c r="AU42" s="40" t="n">
        <f aca="false">IFERROR(AV42/AQ42,0)</f>
        <v>499.04736</v>
      </c>
      <c r="AV42" s="31" t="n">
        <f aca="false">Inputs!$C$13*(1+Inputs!$B$9)*(1+'Dashboard (2)'!$T$1)*(1+'Dashboard (2)'!$T$1)*MALTA!G12</f>
        <v>511523.544</v>
      </c>
      <c r="AW42" s="31"/>
      <c r="AX42" s="36"/>
      <c r="AY42" s="24" t="s">
        <v>68</v>
      </c>
      <c r="AZ42" s="31" t="n">
        <f aca="false">MALTA!G20</f>
        <v>286.8408375</v>
      </c>
      <c r="BA42" s="31" t="n">
        <f aca="false">MALTA!H12</f>
        <v>1099</v>
      </c>
      <c r="BB42" s="31" t="n">
        <f aca="false">AZ42*BA42</f>
        <v>315238.0804125</v>
      </c>
      <c r="BC42" s="34"/>
      <c r="BD42" s="31"/>
      <c r="BE42" s="40" t="n">
        <f aca="false">IFERROR(BF42/BA42,0)</f>
        <v>514.0187808</v>
      </c>
      <c r="BF42" s="31" t="n">
        <f aca="false">Inputs!$C$13*(1+Inputs!$B$9)*(1+'Dashboard (2)'!$T$1)*(1+'Dashboard (2)'!$T$1)*(1+'Dashboard (2)'!$T$1)*MALTA!H12</f>
        <v>564906.6400992</v>
      </c>
      <c r="BG42" s="31"/>
      <c r="BH42" s="36"/>
      <c r="BI42" s="24" t="s">
        <v>68</v>
      </c>
      <c r="BJ42" s="31" t="n">
        <f aca="false">MALTA!H20</f>
        <v>295.446062625</v>
      </c>
      <c r="BK42" s="31" t="n">
        <f aca="false">MALTA!I12</f>
        <v>1171</v>
      </c>
      <c r="BL42" s="31" t="n">
        <f aca="false">BJ42*BK42</f>
        <v>345967.339333875</v>
      </c>
      <c r="BM42" s="34"/>
      <c r="BN42" s="31"/>
      <c r="BO42" s="40" t="n">
        <f aca="false">IFERROR(BP42/BK42,0)</f>
        <v>529.439344224</v>
      </c>
      <c r="BP42" s="31" t="n">
        <f aca="false">Inputs!$C$13*(1+Inputs!$B$9)*(1+'Dashboard (2)'!$T$1)*(1+'Dashboard (2)'!$T$1)*(1+'Dashboard (2)'!$T$1)*(1+'Dashboard (2)'!$T$1)*MALTA!I12</f>
        <v>619973.472086304</v>
      </c>
      <c r="BQ42" s="31"/>
      <c r="BR42" s="36"/>
    </row>
    <row r="43" customFormat="false" ht="17.25" hidden="false" customHeight="true" outlineLevel="0" collapsed="false">
      <c r="A43" s="23"/>
      <c r="B43" s="24"/>
      <c r="C43" s="25"/>
      <c r="D43" s="25"/>
      <c r="E43" s="26"/>
      <c r="F43" s="26"/>
      <c r="G43" s="25"/>
      <c r="H43" s="26"/>
      <c r="I43" s="41"/>
      <c r="J43" s="24"/>
      <c r="K43" s="24"/>
      <c r="L43" s="31"/>
      <c r="M43" s="31" t="n">
        <f aca="false">SUM(M41:M42)</f>
        <v>1040</v>
      </c>
      <c r="N43" s="31" t="n">
        <f aca="false">SUM(N41:N42)</f>
        <v>378827</v>
      </c>
      <c r="O43" s="31" t="n">
        <f aca="false">MALTA!D26</f>
        <v>197021.69</v>
      </c>
      <c r="P43" s="34" t="n">
        <f aca="false">O43/N43</f>
        <v>0.520083547371228</v>
      </c>
      <c r="Q43" s="34"/>
      <c r="R43" s="35" t="n">
        <f aca="false">SUM(R41:R42)</f>
        <v>629216</v>
      </c>
      <c r="S43" s="35" t="n">
        <f aca="false">IF(ISNUMBER(Dashboard!Q22),Dashboard!Q22,"no KPI data")</f>
        <v>553873</v>
      </c>
      <c r="T43" s="39" t="s">
        <v>66</v>
      </c>
      <c r="U43" s="24"/>
      <c r="V43" s="31"/>
      <c r="W43" s="31" t="n">
        <f aca="false">SUM(W41:W42)</f>
        <v>1108</v>
      </c>
      <c r="X43" s="31" t="n">
        <f aca="false">SUM(X41:X42)</f>
        <v>424347</v>
      </c>
      <c r="Y43" s="34" t="n">
        <f aca="false">Z43/X43</f>
        <v>0.567314593952591</v>
      </c>
      <c r="Z43" s="31" t="n">
        <f aca="false">MALTA!E30</f>
        <v>240738.246</v>
      </c>
      <c r="AA43" s="31"/>
      <c r="AB43" s="31" t="n">
        <f aca="false">SUM(AB41:AB42)</f>
        <v>704659.2</v>
      </c>
      <c r="AC43" s="31" t="n">
        <f aca="false">IF(ISNUMBER(S43),S43+Dashboard!G22/(1-Inputs!$B$18),"no KPI data")</f>
        <v>565624.147692308</v>
      </c>
      <c r="AD43" s="39" t="s">
        <v>66</v>
      </c>
      <c r="AE43" s="24"/>
      <c r="AF43" s="31"/>
      <c r="AG43" s="31" t="n">
        <f aca="false">SUM(AG41:AG42)</f>
        <v>1224</v>
      </c>
      <c r="AH43" s="31" t="n">
        <f aca="false">SUM(AH41:AH42)</f>
        <v>476902.566</v>
      </c>
      <c r="AI43" s="34" t="n">
        <f aca="false">IF(Y43&gt;=Inputs!$B$38,Y43,MIN(Y43+'Dashboard (2)'!$N$2,Inputs!$B$38))</f>
        <v>0.577314593952591</v>
      </c>
      <c r="AJ43" s="31" t="n">
        <f aca="false">AH43*AI43</f>
        <v>275322.811245239</v>
      </c>
      <c r="AK43" s="31"/>
      <c r="AL43" s="31" t="n">
        <f aca="false">SUM(AL41:AL42)</f>
        <v>793630.656</v>
      </c>
      <c r="AM43" s="31" t="n">
        <f aca="false">IF(ISNUMBER(AC43),AC43*AJ43/Z43,"no KPI data")</f>
        <v>646881.968438194</v>
      </c>
      <c r="AN43" s="39" t="s">
        <v>66</v>
      </c>
      <c r="AO43" s="24"/>
      <c r="AP43" s="31"/>
      <c r="AQ43" s="31" t="n">
        <f aca="false">SUM(AQ41:AQ42)</f>
        <v>1317</v>
      </c>
      <c r="AR43" s="31" t="n">
        <f aca="false">SUM(AR41:AR42)</f>
        <v>525824.36991</v>
      </c>
      <c r="AS43" s="34" t="n">
        <f aca="false">IF(AI43&gt;=Inputs!$B$38,AI43,MIN(AI43+'Dashboard (2)'!$N$2,Inputs!$B$38))</f>
        <v>0.587314593952591</v>
      </c>
      <c r="AT43" s="31" t="n">
        <f aca="false">AR43*AS43</f>
        <v>308824.326304069</v>
      </c>
      <c r="AU43" s="31"/>
      <c r="AV43" s="31" t="n">
        <f aca="false">SUM(AV41:AV42)</f>
        <v>875828.1168</v>
      </c>
      <c r="AW43" s="31" t="n">
        <f aca="false">IF(ISNUMBER(AM43),AM43*AT43/AJ43,"no KPI data")</f>
        <v>725595.119407782</v>
      </c>
      <c r="AX43" s="39" t="s">
        <v>66</v>
      </c>
      <c r="AY43" s="24"/>
      <c r="AZ43" s="31"/>
      <c r="BA43" s="31" t="n">
        <f aca="false">SUM(BA41:BA42)</f>
        <v>1406</v>
      </c>
      <c r="BB43" s="31" t="n">
        <f aca="false">SUM(BB41:BB42)</f>
        <v>575543.84571705</v>
      </c>
      <c r="BC43" s="34" t="n">
        <f aca="false">IF(AS43&gt;=Inputs!$B$38,AS43,MIN(AS43+'Dashboard (2)'!$N$2,Inputs!$B$38))</f>
        <v>0.597314593952591</v>
      </c>
      <c r="BD43" s="31" t="n">
        <f aca="false">BB43*BC43</f>
        <v>343780.738506392</v>
      </c>
      <c r="BE43" s="31"/>
      <c r="BF43" s="31" t="n">
        <f aca="false">SUM(BF41:BF42)</f>
        <v>959416.0543632</v>
      </c>
      <c r="BG43" s="31" t="n">
        <f aca="false">IF(ISNUMBER(AW43),AW43*BD43/AT43,"no KPI data")</f>
        <v>807726.609467406</v>
      </c>
      <c r="BH43" s="39" t="s">
        <v>66</v>
      </c>
      <c r="BI43" s="24"/>
      <c r="BJ43" s="31"/>
      <c r="BK43" s="31" t="n">
        <f aca="false">SUM(BK41:BK42)</f>
        <v>1493</v>
      </c>
      <c r="BL43" s="31" t="n">
        <f aca="false">SUM(BL41:BL42)</f>
        <v>627182.356014354</v>
      </c>
      <c r="BM43" s="34" t="n">
        <f aca="false">IF(BC43&gt;=Inputs!$B$38,BC43,MIN(BC43+'Dashboard (2)'!$N$2,Inputs!$B$38))</f>
        <v>0.607314593952591</v>
      </c>
      <c r="BN43" s="31" t="n">
        <f aca="false">BL43*BM43</f>
        <v>380896.997877087</v>
      </c>
      <c r="BO43" s="31"/>
      <c r="BP43" s="31" t="n">
        <f aca="false">SUM(BP41:BP42)</f>
        <v>1046172.14418662</v>
      </c>
      <c r="BQ43" s="31" t="n">
        <f aca="false">IF(ISNUMBER(BG43),BG43*BN43/BD43,"no KPI data")</f>
        <v>894932.746925413</v>
      </c>
      <c r="BR43" s="39" t="s">
        <v>66</v>
      </c>
    </row>
    <row r="44" customFormat="false" ht="17.25" hidden="false" customHeight="true" outlineLevel="0" collapsed="false">
      <c r="A44" s="23" t="s">
        <v>90</v>
      </c>
      <c r="B44" s="24"/>
      <c r="C44" s="28" t="n">
        <f aca="false">SUM(C6:C41)</f>
        <v>33222361.956</v>
      </c>
      <c r="D44" s="28" t="n">
        <f aca="false">SUM(D6:D41)</f>
        <v>60153414.93</v>
      </c>
      <c r="E44" s="42" t="n">
        <f aca="false">C44/D44</f>
        <v>0.552293863858944</v>
      </c>
      <c r="F44" s="24"/>
      <c r="G44" s="28" t="n">
        <f aca="false">SUM(G6:G41)</f>
        <v>1239483.1689</v>
      </c>
      <c r="H44" s="24"/>
      <c r="I44" s="28" t="n">
        <f aca="false">SUM(I6:I41)</f>
        <v>34461845.1249</v>
      </c>
      <c r="J44" s="24"/>
      <c r="K44" s="43" t="s">
        <v>91</v>
      </c>
      <c r="L44" s="31"/>
      <c r="M44" s="44" t="n">
        <f aca="false">M9+M10+M11+M12+M13+M14+M15+M16+M17+M18+M19+M23+M26+M30+M34+M37+M40+M43</f>
        <v>163170</v>
      </c>
      <c r="N44" s="44" t="n">
        <f aca="false">N9+N10+N11+N12+N13+N14+N15+N16+N17+N18+N19+N23+N26+N30+N34+N37+N40+N43</f>
        <v>54054268.7794796</v>
      </c>
      <c r="O44" s="44" t="n">
        <f aca="false">O9+O10+O11+O12+O13+O14+O15+O16+O17+O18+O19+O23+O26+O30+O34+O37+O40+O43</f>
        <v>30758372.44</v>
      </c>
      <c r="P44" s="45" t="n">
        <f aca="false">O44/N44</f>
        <v>0.569027629723052</v>
      </c>
      <c r="Q44" s="34"/>
      <c r="R44" s="46" t="n">
        <f aca="false">R9+R10+R11+R12+R13+R14+R15+R16+R17+R18+R19+R23+R26+R30+R34+R37+R40+R43</f>
        <v>92209152</v>
      </c>
      <c r="S44" s="46" t="n">
        <f aca="false">N(S9)+N(S10)+N(S11)+N(S12)+N(S13)+N(S14)+N(S15)+N(S16)+N(S17)+N(S18)+N(S19)+N(S23)+N(S26)+N(S30)+N(S34)+N(S37)+N(S40)+N(S43)</f>
        <v>59673168.3904</v>
      </c>
      <c r="T44" s="36"/>
      <c r="U44" s="43" t="s">
        <v>91</v>
      </c>
      <c r="V44" s="31"/>
      <c r="W44" s="44" t="n">
        <f aca="false">W9+W10+W11+W12+W13+W14+W15+W16+W17+W18+W19+W23+W26+W30+W34+W37+W40+W43</f>
        <v>172351</v>
      </c>
      <c r="X44" s="44" t="n">
        <f aca="false">X9+X10+X11+X12+X13+X14+X15+X16+X17+X18+X19+X23+X26+X30+X34+X37+X40+X43</f>
        <v>60153414.93</v>
      </c>
      <c r="Y44" s="45" t="n">
        <f aca="false">Z44/X44</f>
        <v>0.572899230492615</v>
      </c>
      <c r="Z44" s="44" t="n">
        <f aca="false">Z9+Z10+Z11+Z12+Z13+Z14+Z15+Z16+Z17+Z18+Z19+Z23+Z26+Z30+Z34+Z37+Z40+Z43</f>
        <v>34461845.1249</v>
      </c>
      <c r="AA44" s="31"/>
      <c r="AB44" s="44" t="n">
        <f aca="false">AB9+AB10+AB11+AB12+AB13+AB14+AB15+AB16+AB17+AB18+AB19+AB23+AB26+AB30+AB34+AB37+AB40+AB43</f>
        <v>102171325.76</v>
      </c>
      <c r="AC44" s="44" t="n">
        <f aca="false">N(AC9)+N(AC10)+N(AC11)+N(AC12)+N(AC13)+N(AC14)+N(AC15)+N(AC16)+N(AC17)+N(AC18)+N(AC19)+N(AC23)+N(AC26)+N(AC30)+N(AC34)+N(AC37)+N(AC40)+N(AC43)</f>
        <v>61715590.8139926</v>
      </c>
      <c r="AD44" s="36"/>
      <c r="AE44" s="43" t="s">
        <v>91</v>
      </c>
      <c r="AF44" s="31"/>
      <c r="AG44" s="44" t="n">
        <f aca="false">AG9+AG10+AG11+AG12+AG13+AG14+AG15+AG16+AG17+AG18+AG19+AG23+AG26+AG30+AG34+AG37+AG40+AG43</f>
        <v>180821</v>
      </c>
      <c r="AH44" s="44" t="n">
        <f aca="false">AH9+AH10+AH11+AH12+AH13+AH14+AH15+AH16+AH17+AH18+AH19+AH23+AH26+AH30+AH34+AH37+AH40+AH43</f>
        <v>65330590.9982964</v>
      </c>
      <c r="AI44" s="45" t="n">
        <f aca="false">AJ44/AH44</f>
        <v>0.585457347649131</v>
      </c>
      <c r="AJ44" s="44" t="n">
        <f aca="false">AJ9+AJ10+AJ11+AJ12+AJ13+AJ14+AJ15+AJ16+AJ17+AJ18+AJ19+AJ23+AJ26+AJ30+AJ34+AJ37+AJ40+AJ43</f>
        <v>38248274.5262128</v>
      </c>
      <c r="AK44" s="31"/>
      <c r="AL44" s="44" t="n">
        <f aca="false">AL9+AL10+AL11+AL12+AL13+AL14+AL15+AL16+AL17+AL18+AL19+AL23+AL26+AL30+AL34+AL37+AL40+AL43</f>
        <v>110874362.5248</v>
      </c>
      <c r="AM44" s="44" t="n">
        <f aca="false">N(AM9)+N(AM10)+N(AM11)+N(AM12)+N(AM13)+N(AM14)+N(AM15)+N(AM16)+N(AM17)+N(AM18)+N(AM19)+N(AM23)+N(AM26)+N(AM30)+N(AM34)+N(AM37)+N(AM40)+N(AM43)</f>
        <v>68070885.2773046</v>
      </c>
      <c r="AN44" s="36"/>
      <c r="AO44" s="43" t="s">
        <v>91</v>
      </c>
      <c r="AP44" s="31"/>
      <c r="AQ44" s="44" t="n">
        <f aca="false">AQ9+AQ10+AQ11+AQ12+AQ13+AQ14+AQ15+AQ16+AQ17+AQ18+AQ19+AQ23+AQ26+AQ30+AQ34+AQ37+AQ40+AQ43</f>
        <v>189094</v>
      </c>
      <c r="AR44" s="44" t="n">
        <f aca="false">AR9+AR10+AR11+AR12+AR13+AR14+AR15+AR16+AR17+AR18+AR19+AR23+AR26+AR30+AR34+AR37+AR40+AR43</f>
        <v>70826305.1933913</v>
      </c>
      <c r="AS44" s="45" t="n">
        <f aca="false">AT44/AR44</f>
        <v>0.598000218719597</v>
      </c>
      <c r="AT44" s="44" t="n">
        <f aca="false">AT9+AT10+AT11+AT12+AT13+AT14+AT15+AT16+AT17+AT18+AT19+AT23+AT26+AT30+AT34+AT37+AT40+AT43</f>
        <v>42354145.996749</v>
      </c>
      <c r="AU44" s="31"/>
      <c r="AV44" s="44" t="n">
        <f aca="false">AV9+AV10+AV11+AV12+AV13+AV14+AV15+AV16+AV17+AV18+AV19+AV23+AV26+AV30+AV34+AV37+AV40+AV43</f>
        <v>120078128.435776</v>
      </c>
      <c r="AW44" s="44" t="n">
        <f aca="false">N(AW9)+N(AW10)+N(AW11)+N(AW12)+N(AW13)+N(AW14)+N(AW15)+N(AW16)+N(AW17)+N(AW18)+N(AW19)+N(AW23)+N(AW26)+N(AW30)+N(AW34)+N(AW37)+N(AW40)+N(AW43)</f>
        <v>74715821.1317904</v>
      </c>
      <c r="AX44" s="36"/>
      <c r="AY44" s="43" t="s">
        <v>91</v>
      </c>
      <c r="AZ44" s="31"/>
      <c r="BA44" s="44" t="n">
        <f aca="false">BA9+BA10+BA11+BA12+BA13+BA14+BA15+BA16+BA17+BA18+BA19+BA23+BA26+BA30+BA34+BA37+BA40+BA43</f>
        <v>197312</v>
      </c>
      <c r="BB44" s="44" t="n">
        <f aca="false">BB9+BB10+BB11+BB12+BB13+BB14+BB15+BB16+BB17+BB18+BB19+BB23+BB26+BB30+BB34+BB37+BB40+BB43</f>
        <v>76669971.8295092</v>
      </c>
      <c r="BC44" s="45" t="n">
        <f aca="false">BD44/BB44</f>
        <v>0.610512505885668</v>
      </c>
      <c r="BD44" s="44" t="n">
        <f aca="false">BD9+BD10+BD11+BD12+BD13+BD14+BD15+BD16+BD17+BD18+BD19+BD23+BD26+BD30+BD34+BD37+BD40+BD43</f>
        <v>46807976.6278173</v>
      </c>
      <c r="BE44" s="31"/>
      <c r="BF44" s="44" t="n">
        <f aca="false">BF9+BF10+BF11+BF12+BF13+BF14+BF15+BF16+BF17+BF18+BF19+BF23+BF26+BF30+BF34+BF37+BF40+BF43</f>
        <v>129836104.19832</v>
      </c>
      <c r="BG44" s="44" t="n">
        <f aca="false">N(BG9)+N(BG10)+N(BG11)+N(BG12)+N(BG13)+N(BG14)+N(BG15)+N(BG16)+N(BG17)+N(BG18)+N(BG19)+N(BG23)+N(BG26)+N(BG30)+N(BG34)+N(BG37)+N(BG40)+N(BG43)</f>
        <v>81627034.016298</v>
      </c>
      <c r="BH44" s="36"/>
      <c r="BI44" s="43" t="s">
        <v>91</v>
      </c>
      <c r="BJ44" s="31"/>
      <c r="BK44" s="44" t="n">
        <f aca="false">BK9+BK10+BK11+BK12+BK13+BK14+BK15+BK16+BK17+BK18+BK19+BK23+BK26+BK30+BK34+BK37+BK40+BK43</f>
        <v>205337</v>
      </c>
      <c r="BL44" s="44" t="n">
        <f aca="false">BL9+BL10+BL11+BL12+BL13+BL14+BL15+BL16+BL17+BL18+BL19+BL23+BL26+BL30+BL34+BL37+BL40+BL43</f>
        <v>82746973.1082239</v>
      </c>
      <c r="BM44" s="45" t="n">
        <f aca="false">BN44/BL44</f>
        <v>0.622803809726224</v>
      </c>
      <c r="BN44" s="44" t="n">
        <f aca="false">BN9+BN10+BN11+BN12+BN13+BN14+BN15+BN16+BN17+BN18+BN19+BN23+BN26+BN30+BN34+BN37+BN40+BN43</f>
        <v>51535130.0951152</v>
      </c>
      <c r="BO44" s="31"/>
      <c r="BP44" s="44" t="n">
        <f aca="false">BP9+BP10+BP11+BP12+BP13+BP14+BP15+BP16+BP17+BP18+BP19+BP23+BP26+BP30+BP34+BP37+BP40+BP43</f>
        <v>139975614.289204</v>
      </c>
      <c r="BQ44" s="44" t="n">
        <f aca="false">N(BQ9)+N(BQ10)+N(BQ11)+N(BQ12)+N(BQ13)+N(BQ14)+N(BQ15)+N(BQ16)+N(BQ17)+N(BQ18)+N(BQ19)+N(BQ23)+N(BQ26)+N(BQ30)+N(BQ34)+N(BQ37)+N(BQ40)+N(BQ43)</f>
        <v>88831309.9091009</v>
      </c>
      <c r="BR44" s="36"/>
    </row>
    <row r="45" customFormat="false" ht="15" hidden="false" customHeight="false" outlineLevel="0" collapsed="false">
      <c r="N45" s="31"/>
      <c r="U45" s="6" t="s">
        <v>92</v>
      </c>
      <c r="Z45" s="33" t="n">
        <f aca="false">Inputs!$D$23</f>
        <v>2062082.2818</v>
      </c>
      <c r="AE45" s="6" t="s">
        <v>92</v>
      </c>
      <c r="AJ45" s="33" t="n">
        <f aca="false">Inputs!$D$23</f>
        <v>2062082.2818</v>
      </c>
      <c r="AO45" s="6" t="s">
        <v>92</v>
      </c>
      <c r="AT45" s="33" t="n">
        <f aca="false">Inputs!$D$23</f>
        <v>2062082.2818</v>
      </c>
      <c r="AY45" s="6" t="s">
        <v>92</v>
      </c>
      <c r="BD45" s="33" t="n">
        <f aca="false">Inputs!$D$23</f>
        <v>2062082.2818</v>
      </c>
      <c r="BI45" s="6" t="s">
        <v>92</v>
      </c>
      <c r="BN45" s="33" t="n">
        <f aca="false">Inputs!$D$23</f>
        <v>2062082.2818</v>
      </c>
    </row>
    <row r="46" customFormat="false" ht="17.25" hidden="false" customHeight="true" outlineLevel="0" collapsed="false">
      <c r="A46" s="1" t="s">
        <v>93</v>
      </c>
      <c r="C46" s="47" t="n">
        <v>952037.4225</v>
      </c>
      <c r="U46" s="6" t="s">
        <v>94</v>
      </c>
      <c r="Z46" s="33" t="n">
        <f aca="false">Inputs!D21</f>
        <v>35284444.2378</v>
      </c>
      <c r="AE46" s="6" t="s">
        <v>94</v>
      </c>
      <c r="AJ46" s="33" t="n">
        <f aca="false">Inputs!E21</f>
        <v>37530000</v>
      </c>
      <c r="AO46" s="6" t="s">
        <v>94</v>
      </c>
      <c r="AT46" s="33" t="n">
        <f aca="false">Inputs!F21</f>
        <v>41530410</v>
      </c>
      <c r="AY46" s="6" t="s">
        <v>94</v>
      </c>
      <c r="BD46" s="33" t="n">
        <f aca="false">Inputs!G21</f>
        <v>46385705</v>
      </c>
      <c r="BI46" s="6" t="s">
        <v>94</v>
      </c>
      <c r="BN46" s="33" t="n">
        <f aca="false">Inputs!H21</f>
        <v>52096000</v>
      </c>
    </row>
    <row r="47" customFormat="false" ht="17.25" hidden="false" customHeight="true" outlineLevel="0" collapsed="false">
      <c r="A47" s="1" t="s">
        <v>95</v>
      </c>
      <c r="C47" s="48" t="n">
        <f aca="false">G44</f>
        <v>1239483.1689</v>
      </c>
      <c r="U47" s="3" t="s">
        <v>96</v>
      </c>
      <c r="Z47" s="49" t="n">
        <f aca="false">Z44+Z45-Z46</f>
        <v>1239483.16889999</v>
      </c>
      <c r="AE47" s="3" t="s">
        <v>96</v>
      </c>
      <c r="AJ47" s="49" t="n">
        <f aca="false">AJ44+AJ45-AJ46</f>
        <v>2780356.80801281</v>
      </c>
      <c r="AO47" s="3" t="s">
        <v>96</v>
      </c>
      <c r="AT47" s="49" t="n">
        <f aca="false">AT44+AT45-AT46</f>
        <v>2885818.27854897</v>
      </c>
      <c r="AY47" s="3" t="s">
        <v>96</v>
      </c>
      <c r="BD47" s="49" t="n">
        <f aca="false">BD44+BD45-BD46</f>
        <v>2484353.90961727</v>
      </c>
      <c r="BI47" s="3" t="s">
        <v>96</v>
      </c>
      <c r="BN47" s="49" t="n">
        <f aca="false">BN44+BN45-BN46</f>
        <v>1501212.37691522</v>
      </c>
    </row>
    <row r="48" customFormat="false" ht="17.25" hidden="false" customHeight="true" outlineLevel="0" collapsed="false">
      <c r="A48" s="50" t="s">
        <v>97</v>
      </c>
      <c r="C48" s="51" t="n">
        <f aca="false">C46-C47</f>
        <v>-287445.7464</v>
      </c>
      <c r="E48" s="7" t="s">
        <v>98</v>
      </c>
      <c r="U48" s="6" t="s">
        <v>99</v>
      </c>
    </row>
    <row r="50" customFormat="false" ht="17.25" hidden="false" customHeight="true" outlineLevel="0" collapsed="false">
      <c r="A50" s="2" t="s">
        <v>100</v>
      </c>
    </row>
    <row r="51" customFormat="false" ht="270" hidden="false" customHeight="true" outlineLevel="0" collapsed="false">
      <c r="A51" s="52" t="s">
        <v>101</v>
      </c>
    </row>
    <row r="52" customFormat="false" ht="180" hidden="false" customHeight="true" outlineLevel="0" collapsed="false">
      <c r="A52" s="52" t="s">
        <v>102</v>
      </c>
    </row>
    <row r="53" customFormat="false" ht="101.25" hidden="false" customHeight="true" outlineLevel="0" collapsed="false">
      <c r="A53" s="52" t="s">
        <v>103</v>
      </c>
    </row>
    <row r="54" customFormat="false" ht="213.75" hidden="false" customHeight="true" outlineLevel="0" collapsed="false">
      <c r="A54" s="52" t="s">
        <v>104</v>
      </c>
    </row>
    <row r="55" customFormat="false" ht="168.75" hidden="false" customHeight="true" outlineLevel="0" collapsed="false">
      <c r="A55" s="52" t="s">
        <v>105</v>
      </c>
    </row>
    <row r="56" customFormat="false" ht="90" hidden="false" customHeight="true" outlineLevel="0" collapsed="false">
      <c r="A56" s="52" t="s">
        <v>106</v>
      </c>
    </row>
    <row r="57" customFormat="false" ht="15"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8" min="2" style="0" width="14"/>
  </cols>
  <sheetData>
    <row r="1" customFormat="false" ht="15" hidden="false" customHeight="false" outlineLevel="0" collapsed="false">
      <c r="A1" s="53" t="s">
        <v>107</v>
      </c>
    </row>
    <row r="3" customFormat="false" ht="15" hidden="false" customHeight="false" outlineLevel="0" collapsed="false">
      <c r="A3" s="3" t="s">
        <v>108</v>
      </c>
    </row>
    <row r="4" customFormat="false" ht="15" hidden="false" customHeight="false" outlineLevel="0" collapsed="false">
      <c r="A4" s="0" t="s">
        <v>109</v>
      </c>
      <c r="B4" s="54" t="n">
        <v>250</v>
      </c>
      <c r="C4" s="55" t="s">
        <v>110</v>
      </c>
    </row>
    <row r="5" customFormat="false" ht="15" hidden="false" customHeight="false" outlineLevel="0" collapsed="false">
      <c r="A5" s="0" t="s">
        <v>111</v>
      </c>
      <c r="B5" s="54" t="n">
        <v>739</v>
      </c>
      <c r="C5" s="55" t="s">
        <v>112</v>
      </c>
    </row>
    <row r="6" customFormat="false" ht="15" hidden="false" customHeight="false" outlineLevel="0" collapsed="false">
      <c r="A6" s="0" t="s">
        <v>80</v>
      </c>
      <c r="B6" s="54" t="n">
        <v>887</v>
      </c>
    </row>
    <row r="7" customFormat="false" ht="15" hidden="false" customHeight="false" outlineLevel="0" collapsed="false">
      <c r="A7" s="0" t="s">
        <v>113</v>
      </c>
      <c r="B7" s="54" t="n">
        <v>887</v>
      </c>
    </row>
    <row r="9" customFormat="false" ht="15" hidden="false" customHeight="false" outlineLevel="0" collapsed="false">
      <c r="A9" s="0" t="s">
        <v>114</v>
      </c>
      <c r="B9" s="4" t="n">
        <v>0.05</v>
      </c>
    </row>
    <row r="10" customFormat="false" ht="15" hidden="false" customHeight="false" outlineLevel="0" collapsed="false">
      <c r="A10" s="0" t="s">
        <v>115</v>
      </c>
      <c r="B10" s="56" t="n">
        <f aca="false">'Dashboard (2)'!T1</f>
        <v>0.03</v>
      </c>
      <c r="C10" s="55" t="s">
        <v>116</v>
      </c>
    </row>
    <row r="11" customFormat="false" ht="15" hidden="false" customHeight="false" outlineLevel="0" collapsed="false">
      <c r="A11" s="0" t="s">
        <v>117</v>
      </c>
      <c r="B11" s="4" t="n">
        <v>0.03</v>
      </c>
    </row>
    <row r="12" customFormat="false" ht="15" hidden="false" customHeight="false" outlineLevel="0" collapsed="false">
      <c r="A12" s="3" t="s">
        <v>118</v>
      </c>
      <c r="C12" s="3" t="s">
        <v>119</v>
      </c>
    </row>
    <row r="13" customFormat="false" ht="15" hidden="false" customHeight="false" outlineLevel="0" collapsed="false">
      <c r="A13" s="0" t="s">
        <v>120</v>
      </c>
      <c r="B13" s="54" t="n">
        <v>400</v>
      </c>
      <c r="C13" s="57" t="n">
        <f aca="false">B13*$B$16</f>
        <v>448</v>
      </c>
    </row>
    <row r="14" customFormat="false" ht="15" hidden="false" customHeight="false" outlineLevel="0" collapsed="false">
      <c r="A14" s="0" t="s">
        <v>121</v>
      </c>
      <c r="B14" s="54" t="n">
        <v>1000</v>
      </c>
      <c r="C14" s="57" t="n">
        <f aca="false">B14*$B$16</f>
        <v>1120</v>
      </c>
    </row>
    <row r="15" customFormat="false" ht="15" hidden="false" customHeight="false" outlineLevel="0" collapsed="false">
      <c r="A15" s="0" t="s">
        <v>122</v>
      </c>
      <c r="B15" s="54" t="n">
        <v>1200</v>
      </c>
      <c r="C15" s="57" t="n">
        <f aca="false">B15*$B$16</f>
        <v>1344</v>
      </c>
    </row>
    <row r="16" customFormat="false" ht="15" hidden="false" customHeight="false" outlineLevel="0" collapsed="false">
      <c r="A16" s="0" t="s">
        <v>123</v>
      </c>
      <c r="B16" s="58" t="n">
        <v>1.12</v>
      </c>
    </row>
    <row r="18" customFormat="false" ht="15" hidden="false" customHeight="false" outlineLevel="0" collapsed="false">
      <c r="A18" s="0" t="s">
        <v>124</v>
      </c>
      <c r="B18" s="59" t="n">
        <v>0.35</v>
      </c>
    </row>
    <row r="20" customFormat="false" ht="15" hidden="false" customHeight="false" outlineLevel="0" collapsed="false">
      <c r="A20" s="3" t="s">
        <v>125</v>
      </c>
      <c r="C20" s="60" t="s">
        <v>10</v>
      </c>
      <c r="D20" s="60" t="s">
        <v>13</v>
      </c>
      <c r="E20" s="60" t="s">
        <v>15</v>
      </c>
      <c r="F20" s="60" t="s">
        <v>17</v>
      </c>
      <c r="G20" s="60" t="s">
        <v>19</v>
      </c>
      <c r="H20" s="60" t="s">
        <v>21</v>
      </c>
    </row>
    <row r="21" customFormat="false" ht="15" hidden="false" customHeight="false" outlineLevel="0" collapsed="false">
      <c r="A21" s="0" t="s">
        <v>126</v>
      </c>
      <c r="D21" s="54" t="n">
        <v>35284444.2378</v>
      </c>
      <c r="E21" s="54" t="n">
        <v>37530000</v>
      </c>
      <c r="F21" s="54" t="n">
        <v>41530410</v>
      </c>
      <c r="G21" s="54" t="n">
        <v>46385705</v>
      </c>
      <c r="H21" s="54" t="n">
        <v>52096000</v>
      </c>
    </row>
    <row r="22" customFormat="false" ht="15" hidden="false" customHeight="false" outlineLevel="0" collapsed="false">
      <c r="A22" s="0" t="s">
        <v>127</v>
      </c>
      <c r="D22" s="61" t="n">
        <f aca="false">Dashboard!C23</f>
        <v>33222361.956</v>
      </c>
    </row>
    <row r="23" customFormat="false" ht="15" hidden="false" customHeight="false" outlineLevel="0" collapsed="false">
      <c r="A23" s="0" t="s">
        <v>128</v>
      </c>
      <c r="D23" s="61" t="n">
        <f aca="false">D21-D22</f>
        <v>2062082.2818</v>
      </c>
    </row>
    <row r="24" customFormat="false" ht="15" hidden="false" customHeight="false" outlineLevel="0" collapsed="false">
      <c r="A24" s="0" t="s">
        <v>129</v>
      </c>
      <c r="C24" s="62" t="s">
        <v>130</v>
      </c>
      <c r="D24" s="62" t="s">
        <v>131</v>
      </c>
      <c r="E24" s="62" t="s">
        <v>132</v>
      </c>
      <c r="F24" s="62" t="s">
        <v>133</v>
      </c>
      <c r="G24" s="62" t="s">
        <v>134</v>
      </c>
      <c r="H24" s="62" t="s">
        <v>135</v>
      </c>
    </row>
    <row r="25" customFormat="false" ht="15" hidden="false" customHeight="false" outlineLevel="0" collapsed="false">
      <c r="A25" s="3" t="s">
        <v>136</v>
      </c>
    </row>
    <row r="26" customFormat="false" ht="15" hidden="false" customHeight="false" outlineLevel="0" collapsed="false">
      <c r="A26" s="0" t="s">
        <v>137</v>
      </c>
      <c r="C26" s="54" t="n">
        <v>22191</v>
      </c>
      <c r="D26" s="54" t="n">
        <v>23210</v>
      </c>
      <c r="E26" s="54" t="n">
        <v>24336</v>
      </c>
      <c r="F26" s="54" t="n">
        <v>25294</v>
      </c>
      <c r="G26" s="54" t="n">
        <v>26146</v>
      </c>
      <c r="H26" s="54" t="n">
        <v>26923</v>
      </c>
    </row>
    <row r="27" customFormat="false" ht="15" hidden="false" customHeight="false" outlineLevel="0" collapsed="false">
      <c r="A27" s="0" t="s">
        <v>138</v>
      </c>
      <c r="C27" s="54" t="n">
        <v>877</v>
      </c>
      <c r="D27" s="54" t="n">
        <v>963</v>
      </c>
      <c r="E27" s="54" t="n">
        <v>1055</v>
      </c>
      <c r="F27" s="54" t="n">
        <v>1141</v>
      </c>
      <c r="G27" s="54" t="n">
        <v>1218</v>
      </c>
      <c r="H27" s="54" t="n">
        <v>1286</v>
      </c>
    </row>
    <row r="29" customFormat="false" ht="15" hidden="false" customHeight="false" outlineLevel="0" collapsed="false">
      <c r="A29" s="0" t="s">
        <v>139</v>
      </c>
      <c r="C29" s="54" t="n">
        <v>6059</v>
      </c>
      <c r="D29" s="54" t="n">
        <v>6101</v>
      </c>
      <c r="E29" s="54" t="n">
        <v>6064</v>
      </c>
      <c r="F29" s="54" t="n">
        <v>6093</v>
      </c>
      <c r="G29" s="54" t="n">
        <v>6110</v>
      </c>
      <c r="H29" s="54" t="n">
        <v>6124</v>
      </c>
    </row>
    <row r="30" customFormat="false" ht="15" hidden="false" customHeight="false" outlineLevel="0" collapsed="false">
      <c r="A30" s="0" t="s">
        <v>140</v>
      </c>
      <c r="C30" s="54" t="n">
        <v>4277</v>
      </c>
      <c r="D30" s="54" t="n">
        <v>4659</v>
      </c>
      <c r="E30" s="54" t="n">
        <v>4908</v>
      </c>
      <c r="F30" s="54" t="n">
        <v>5187</v>
      </c>
      <c r="G30" s="54" t="n">
        <v>5471</v>
      </c>
      <c r="H30" s="54" t="n">
        <v>5758</v>
      </c>
    </row>
    <row r="32" customFormat="false" ht="15" hidden="false" customHeight="false" outlineLevel="0" collapsed="false">
      <c r="A32" s="6" t="s">
        <v>141</v>
      </c>
    </row>
    <row r="34" customFormat="false" ht="15" hidden="false" customHeight="false" outlineLevel="0" collapsed="false">
      <c r="A34" s="0" t="s">
        <v>142</v>
      </c>
      <c r="B34" s="63" t="n">
        <v>12873997.67</v>
      </c>
      <c r="C34" s="55" t="s">
        <v>143</v>
      </c>
    </row>
    <row r="36" customFormat="false" ht="15" hidden="false" customHeight="false" outlineLevel="0" collapsed="false">
      <c r="A36" s="0" t="s">
        <v>144</v>
      </c>
      <c r="B36" s="64" t="str">
        <f aca="false">'Dashboard (2)'!Q1</f>
        <v>NO</v>
      </c>
      <c r="C36" s="55" t="s">
        <v>145</v>
      </c>
    </row>
    <row r="37" customFormat="false" ht="15" hidden="false" customHeight="false" outlineLevel="0" collapsed="false">
      <c r="A37" s="0" t="s">
        <v>146</v>
      </c>
      <c r="B37" s="59" t="n">
        <v>1</v>
      </c>
    </row>
    <row r="38" customFormat="false" ht="15" hidden="false" customHeight="false" outlineLevel="0" collapsed="false">
      <c r="A38" s="0" t="s">
        <v>147</v>
      </c>
      <c r="B38" s="65" t="n">
        <f aca="false">IF(UPPER(B36)="YES",B37,9.99)</f>
        <v>9.99</v>
      </c>
    </row>
    <row r="40" customFormat="false" ht="15" hidden="false" customHeight="false" outlineLevel="0" collapsed="false">
      <c r="A40" s="0" t="s">
        <v>148</v>
      </c>
      <c r="B40" s="4" t="n">
        <v>0.03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70"/>
    <col collapsed="false" customWidth="true" hidden="false" outlineLevel="0" max="5" min="3" style="0" width="16"/>
    <col collapsed="false" customWidth="true" hidden="false" outlineLevel="0" max="6" min="6" style="0" width="10"/>
  </cols>
  <sheetData>
    <row r="1" customFormat="false" ht="15" hidden="false" customHeight="false" outlineLevel="0" collapsed="false">
      <c r="A1" s="53" t="s">
        <v>149</v>
      </c>
    </row>
    <row r="2" customFormat="false" ht="15" hidden="false" customHeight="false" outlineLevel="0" collapsed="false">
      <c r="A2" s="3" t="s">
        <v>150</v>
      </c>
      <c r="B2" s="53" t="str">
        <f aca="false">IF(COUNTIF(F5:F200,"CHECK")=0,"ALL OK",COUNTIF(F5:F200,"CHECK")&amp;" CHECK")</f>
        <v>ALL OK</v>
      </c>
    </row>
    <row r="4" customFormat="false" ht="15" hidden="false" customHeight="false" outlineLevel="0" collapsed="false">
      <c r="A4" s="60" t="s">
        <v>151</v>
      </c>
      <c r="B4" s="60" t="s">
        <v>152</v>
      </c>
      <c r="C4" s="60" t="s">
        <v>153</v>
      </c>
      <c r="D4" s="60" t="s">
        <v>154</v>
      </c>
      <c r="E4" s="60" t="s">
        <v>155</v>
      </c>
      <c r="F4" s="60" t="s">
        <v>156</v>
      </c>
    </row>
    <row r="5" customFormat="false" ht="15" hidden="false" customHeight="false" outlineLevel="0" collapsed="false">
      <c r="A5" s="0" t="n">
        <v>1</v>
      </c>
      <c r="B5" s="0" t="s">
        <v>157</v>
      </c>
      <c r="C5" s="57" t="n">
        <f aca="false">'Waterfall VP'!T5</f>
        <v>35284444.2378</v>
      </c>
      <c r="D5" s="57" t="n">
        <f aca="false">Inputs!D21</f>
        <v>35284444.2378</v>
      </c>
      <c r="E5" s="57" t="n">
        <f aca="false">C5-D5</f>
        <v>0</v>
      </c>
      <c r="F5" s="0" t="str">
        <f aca="false">IF(ABS(E5)&lt;1,"OK","CHECK")</f>
        <v>OK</v>
      </c>
    </row>
    <row r="6" customFormat="false" ht="15" hidden="false" customHeight="false" outlineLevel="0" collapsed="false">
      <c r="A6" s="0" t="n">
        <v>2</v>
      </c>
      <c r="B6" s="0" t="s">
        <v>158</v>
      </c>
      <c r="C6" s="57" t="n">
        <f aca="false">'Waterfall VP'!P4</f>
        <v>1239483.1689</v>
      </c>
      <c r="D6" s="57" t="n">
        <f aca="false">Dashboard!G23</f>
        <v>1239483.1689</v>
      </c>
      <c r="E6" s="57" t="n">
        <f aca="false">C6-D6</f>
        <v>0</v>
      </c>
      <c r="F6" s="0" t="str">
        <f aca="false">IF(ABS(E6)&lt;1,"OK","CHECK")</f>
        <v>OK</v>
      </c>
    </row>
    <row r="7" customFormat="false" ht="15" hidden="false" customHeight="false" outlineLevel="0" collapsed="false">
      <c r="A7" s="0" t="n">
        <v>3</v>
      </c>
      <c r="B7" s="0" t="s">
        <v>159</v>
      </c>
      <c r="C7" s="57" t="n">
        <f aca="false">'Waterfall VP'!Q4</f>
        <v>-287445.7464427</v>
      </c>
      <c r="D7" s="57" t="n">
        <f aca="false">Dashboard!C25-Dashboard!G23</f>
        <v>-287445.7464</v>
      </c>
      <c r="E7" s="57" t="n">
        <f aca="false">C7-D7</f>
        <v>-4.26993938162923E-005</v>
      </c>
      <c r="F7" s="0" t="str">
        <f aca="false">IF(ABS(E7)&lt;1,"OK","CHECK")</f>
        <v>OK</v>
      </c>
    </row>
    <row r="8" customFormat="false" ht="15" hidden="false" customHeight="false" outlineLevel="0" collapsed="false">
      <c r="A8" s="0" t="n">
        <v>4</v>
      </c>
      <c r="B8" s="0" t="s">
        <v>160</v>
      </c>
      <c r="C8" s="57" t="n">
        <f aca="false">Dashboard!C23+Inputs!D23</f>
        <v>35284444.2378</v>
      </c>
      <c r="D8" s="57" t="n">
        <f aca="false">Inputs!D21</f>
        <v>35284444.2378</v>
      </c>
      <c r="E8" s="57" t="n">
        <f aca="false">C8-D8</f>
        <v>0</v>
      </c>
      <c r="F8" s="0" t="str">
        <f aca="false">IF(ABS(E8)&lt;1,"OK","CHECK")</f>
        <v>OK</v>
      </c>
    </row>
    <row r="9" customFormat="false" ht="15" hidden="false" customHeight="false" outlineLevel="0" collapsed="false">
      <c r="A9" s="0" t="n">
        <v>5</v>
      </c>
      <c r="B9" s="0" t="s">
        <v>161</v>
      </c>
      <c r="C9" s="57" t="n">
        <f aca="false">'Dashboard (2)'!Z44</f>
        <v>34461845.1249</v>
      </c>
      <c r="D9" s="57" t="n">
        <f aca="false">Dashboard!I23</f>
        <v>34461845.1249</v>
      </c>
      <c r="E9" s="57" t="n">
        <f aca="false">C9-D9</f>
        <v>0</v>
      </c>
      <c r="F9" s="0" t="str">
        <f aca="false">IF(ABS(E9)&lt;1,"OK","CHECK")</f>
        <v>OK</v>
      </c>
    </row>
    <row r="10" customFormat="false" ht="15" hidden="false" customHeight="false" outlineLevel="0" collapsed="false">
      <c r="A10" s="0" t="n">
        <v>6</v>
      </c>
      <c r="B10" s="0" t="s">
        <v>162</v>
      </c>
      <c r="C10" s="57" t="n">
        <f aca="false">'Dashboard (2)'!X44-'Dashboard (2)'!X9-'Dashboard (2)'!X10</f>
        <v>39132488.85</v>
      </c>
      <c r="D10" s="57" t="n">
        <f aca="false">Dashboard!D23-Dashboard!D5-Dashboard!D6</f>
        <v>39132488.85</v>
      </c>
      <c r="E10" s="57" t="n">
        <f aca="false">C10-D10</f>
        <v>0</v>
      </c>
      <c r="F10" s="0" t="str">
        <f aca="false">IF(ABS(E10)&lt;1,"OK","CHECK")</f>
        <v>OK</v>
      </c>
    </row>
    <row r="11" customFormat="false" ht="15" hidden="false" customHeight="false" outlineLevel="0" collapsed="false">
      <c r="A11" s="0" t="n">
        <v>7</v>
      </c>
      <c r="B11" s="0" t="s">
        <v>163</v>
      </c>
      <c r="C11" s="57" t="n">
        <f aca="false">Dashboard!G23</f>
        <v>1239483.1689</v>
      </c>
      <c r="D11" s="57" t="n">
        <f aca="false">IUK!E23+UMI!E23+NORWAY!E23+SWEDEN!E23+HUNGARY!E23+FINLAND!E23+ROMANIA!E23+DENMARK!E23+ICELAND!E23+GERMANY!E29+BELGIUM!E29+PORTUGAL!E29+IRELAND!E29+GREECE!E29+CYPRUS!E29+MALTA!E29+Dashboard!G5+Dashboard!G6</f>
        <v>1239483.1689</v>
      </c>
      <c r="E11" s="57" t="n">
        <f aca="false">C11-D11</f>
        <v>0</v>
      </c>
      <c r="F11" s="0" t="str">
        <f aca="false">IF(ABS(E11)&lt;1,"OK","CHECK")</f>
        <v>OK</v>
      </c>
    </row>
    <row r="12" customFormat="false" ht="15" hidden="false" customHeight="false" outlineLevel="0" collapsed="false">
      <c r="A12" s="0" t="n">
        <v>8</v>
      </c>
      <c r="B12" s="0" t="s">
        <v>164</v>
      </c>
      <c r="C12" s="57" t="n">
        <f aca="false">Dashboard!D5</f>
        <v>12535797.12</v>
      </c>
      <c r="D12" s="57" t="n">
        <f aca="false">'Dashboard (2)'!X9</f>
        <v>12535797.12</v>
      </c>
      <c r="E12" s="57" t="n">
        <f aca="false">C12-D12</f>
        <v>0</v>
      </c>
      <c r="F12" s="0" t="str">
        <f aca="false">IF(ABS(E12)&lt;1,"OK","CHECK")</f>
        <v>OK</v>
      </c>
    </row>
    <row r="13" customFormat="false" ht="15" hidden="false" customHeight="false" outlineLevel="0" collapsed="false">
      <c r="A13" s="0" t="n">
        <v>9</v>
      </c>
      <c r="B13" s="0" t="s">
        <v>165</v>
      </c>
      <c r="C13" s="57" t="n">
        <f aca="false">Dashboard!D6</f>
        <v>8485128.96</v>
      </c>
      <c r="D13" s="57" t="n">
        <f aca="false">'Dashboard (2)'!X10</f>
        <v>8485128.96</v>
      </c>
      <c r="E13" s="57" t="n">
        <f aca="false">C13-D13</f>
        <v>0</v>
      </c>
      <c r="F13" s="0" t="str">
        <f aca="false">IF(ABS(E13)&lt;1,"OK","CHECK")</f>
        <v>OK</v>
      </c>
    </row>
    <row r="14" customFormat="false" ht="15" hidden="false" customHeight="false" outlineLevel="0" collapsed="false">
      <c r="A14" s="0" t="n">
        <v>10</v>
      </c>
      <c r="B14" s="0" t="s">
        <v>166</v>
      </c>
      <c r="C14" s="57" t="n">
        <f aca="false">'Dashboard (2)'!BN47</f>
        <v>1501212.37691522</v>
      </c>
      <c r="D14" s="57" t="n">
        <f aca="false">'Dashboard (2)'!BN44+'Dashboard (2)'!BN45-'Dashboard (2)'!BN46</f>
        <v>1501212.37691522</v>
      </c>
      <c r="E14" s="57" t="n">
        <f aca="false">C14-D14</f>
        <v>0</v>
      </c>
      <c r="F14" s="0" t="str">
        <f aca="false">IF(ABS(E14)&lt;1,"OK","CHECK")</f>
        <v>OK</v>
      </c>
    </row>
    <row r="15" customFormat="false" ht="15" hidden="false" customHeight="false" outlineLevel="0" collapsed="false">
      <c r="A15" s="0" t="n">
        <v>11</v>
      </c>
      <c r="B15" s="0" t="s">
        <v>167</v>
      </c>
      <c r="C15" s="57" t="n">
        <f aca="false">SUMPRODUCT(--ISERROR('Dashboard (2)'!A1:BR60))</f>
        <v>0</v>
      </c>
      <c r="D15" s="57" t="n">
        <f aca="false">0</f>
        <v>0</v>
      </c>
      <c r="E15" s="57" t="n">
        <f aca="false">C15-D15</f>
        <v>0</v>
      </c>
      <c r="F15" s="0" t="str">
        <f aca="false">IF(ABS(E15)&lt;1,"OK","CHECK")</f>
        <v>OK</v>
      </c>
    </row>
    <row r="16" customFormat="false" ht="15" hidden="false" customHeight="false" outlineLevel="0" collapsed="false">
      <c r="A16" s="0" t="n">
        <v>12</v>
      </c>
      <c r="B16" s="0" t="s">
        <v>168</v>
      </c>
      <c r="C16" s="57" t="n">
        <f aca="false">SUMPRODUCT(--ISERROR(Dashboard!A1:W40))</f>
        <v>0</v>
      </c>
      <c r="D16" s="57" t="n">
        <f aca="false">0</f>
        <v>0</v>
      </c>
      <c r="E16" s="57" t="n">
        <f aca="false">C16-D16</f>
        <v>0</v>
      </c>
      <c r="F16" s="0" t="str">
        <f aca="false">IF(ABS(E16)&lt;1,"OK","CHECK")</f>
        <v>OK</v>
      </c>
    </row>
    <row r="17" customFormat="false" ht="15" hidden="false" customHeight="false" outlineLevel="0" collapsed="false">
      <c r="A17" s="0" t="n">
        <v>13</v>
      </c>
      <c r="B17" s="0" t="s">
        <v>169</v>
      </c>
      <c r="C17" s="57" t="n">
        <f aca="false">IUK!E24</f>
        <v>6295804.49</v>
      </c>
      <c r="D17" s="57" t="n">
        <f aca="false">AVERAGE(Dashboard!I7,'Dashboard (2)'!Z11)</f>
        <v>6295804.49</v>
      </c>
      <c r="E17" s="57" t="n">
        <f aca="false">C17-D17</f>
        <v>0</v>
      </c>
      <c r="F17" s="0" t="str">
        <f aca="false">IF(ABS(E17)&lt;1,"OK","CHECK")</f>
        <v>OK</v>
      </c>
    </row>
    <row r="18" customFormat="false" ht="15" hidden="false" customHeight="false" outlineLevel="0" collapsed="false">
      <c r="A18" s="0" t="n">
        <v>14</v>
      </c>
      <c r="B18" s="0" t="s">
        <v>170</v>
      </c>
      <c r="C18" s="57" t="n">
        <f aca="false">IF(OR(Dashboard!H7&lt;=Inputs!$B$38+0.0000001,Dashboard!F7=0),1,0)</f>
        <v>1</v>
      </c>
      <c r="D18" s="57" t="n">
        <f aca="false">1</f>
        <v>1</v>
      </c>
      <c r="E18" s="57" t="n">
        <f aca="false">C18-D18</f>
        <v>0</v>
      </c>
      <c r="F18" s="0" t="str">
        <f aca="false">IF(ABS(E18)&lt;1,"OK","CHECK")</f>
        <v>OK</v>
      </c>
    </row>
    <row r="19" customFormat="false" ht="15" hidden="false" customHeight="false" outlineLevel="0" collapsed="false">
      <c r="A19" s="0" t="n">
        <v>15</v>
      </c>
      <c r="B19" s="0" t="s">
        <v>171</v>
      </c>
      <c r="C19" s="57" t="n">
        <f aca="false">IF(OR('Dashboard (2)'!BM11&lt;=Inputs!$B$38+0.0000001,'Dashboard (2)'!BM11='Dashboard (2)'!Y11),1,0)</f>
        <v>1</v>
      </c>
      <c r="D19" s="57" t="n">
        <f aca="false">1</f>
        <v>1</v>
      </c>
      <c r="E19" s="57" t="n">
        <f aca="false">C19-D19</f>
        <v>0</v>
      </c>
      <c r="F19" s="0" t="str">
        <f aca="false">IF(ABS(E19)&lt;1,"OK","CHECK")</f>
        <v>OK</v>
      </c>
    </row>
    <row r="20" customFormat="false" ht="15" hidden="false" customHeight="false" outlineLevel="0" collapsed="false">
      <c r="A20" s="0" t="n">
        <v>16</v>
      </c>
      <c r="B20" s="0" t="s">
        <v>172</v>
      </c>
      <c r="C20" s="57" t="n">
        <f aca="false">UMI!E24</f>
        <v>3062515.68</v>
      </c>
      <c r="D20" s="57" t="n">
        <f aca="false">AVERAGE(Dashboard!I8,'Dashboard (2)'!Z12)</f>
        <v>3062515.68</v>
      </c>
      <c r="E20" s="57" t="n">
        <f aca="false">C20-D20</f>
        <v>0</v>
      </c>
      <c r="F20" s="0" t="str">
        <f aca="false">IF(ABS(E20)&lt;1,"OK","CHECK")</f>
        <v>OK</v>
      </c>
    </row>
    <row r="21" customFormat="false" ht="15" hidden="false" customHeight="false" outlineLevel="0" collapsed="false">
      <c r="A21" s="0" t="n">
        <v>17</v>
      </c>
      <c r="B21" s="0" t="s">
        <v>173</v>
      </c>
      <c r="C21" s="57" t="n">
        <f aca="false">IF(OR(Dashboard!H8&lt;=Inputs!$B$38+0.0000001,Dashboard!F8=0),1,0)</f>
        <v>1</v>
      </c>
      <c r="D21" s="57" t="n">
        <f aca="false">1</f>
        <v>1</v>
      </c>
      <c r="E21" s="57" t="n">
        <f aca="false">C21-D21</f>
        <v>0</v>
      </c>
      <c r="F21" s="0" t="str">
        <f aca="false">IF(ABS(E21)&lt;1,"OK","CHECK")</f>
        <v>OK</v>
      </c>
    </row>
    <row r="22" customFormat="false" ht="15" hidden="false" customHeight="false" outlineLevel="0" collapsed="false">
      <c r="A22" s="0" t="n">
        <v>18</v>
      </c>
      <c r="B22" s="0" t="s">
        <v>174</v>
      </c>
      <c r="C22" s="57" t="n">
        <f aca="false">IF(OR('Dashboard (2)'!BM12&lt;=Inputs!$B$38+0.0000001,'Dashboard (2)'!BM12='Dashboard (2)'!Y12),1,0)</f>
        <v>1</v>
      </c>
      <c r="D22" s="57" t="n">
        <f aca="false">1</f>
        <v>1</v>
      </c>
      <c r="E22" s="57" t="n">
        <f aca="false">C22-D22</f>
        <v>0</v>
      </c>
      <c r="F22" s="0" t="str">
        <f aca="false">IF(ABS(E22)&lt;1,"OK","CHECK")</f>
        <v>OK</v>
      </c>
    </row>
    <row r="23" customFormat="false" ht="15" hidden="false" customHeight="false" outlineLevel="0" collapsed="false">
      <c r="A23" s="0" t="n">
        <v>19</v>
      </c>
      <c r="B23" s="0" t="s">
        <v>175</v>
      </c>
      <c r="C23" s="57" t="n">
        <f aca="false">NORWAY!E24</f>
        <v>1803124.225</v>
      </c>
      <c r="D23" s="57" t="n">
        <f aca="false">AVERAGE(Dashboard!I9,'Dashboard (2)'!Z13)</f>
        <v>1803124.225</v>
      </c>
      <c r="E23" s="57" t="n">
        <f aca="false">C23-D23</f>
        <v>0</v>
      </c>
      <c r="F23" s="0" t="str">
        <f aca="false">IF(ABS(E23)&lt;1,"OK","CHECK")</f>
        <v>OK</v>
      </c>
    </row>
    <row r="24" customFormat="false" ht="15" hidden="false" customHeight="false" outlineLevel="0" collapsed="false">
      <c r="A24" s="0" t="n">
        <v>20</v>
      </c>
      <c r="B24" s="0" t="s">
        <v>176</v>
      </c>
      <c r="C24" s="57" t="n">
        <f aca="false">IF(OR(Dashboard!H9&lt;=Inputs!$B$38+0.0000001,Dashboard!F9=0),1,0)</f>
        <v>1</v>
      </c>
      <c r="D24" s="57" t="n">
        <f aca="false">1</f>
        <v>1</v>
      </c>
      <c r="E24" s="57" t="n">
        <f aca="false">C24-D24</f>
        <v>0</v>
      </c>
      <c r="F24" s="0" t="str">
        <f aca="false">IF(ABS(E24)&lt;1,"OK","CHECK")</f>
        <v>OK</v>
      </c>
    </row>
    <row r="25" customFormat="false" ht="15" hidden="false" customHeight="false" outlineLevel="0" collapsed="false">
      <c r="A25" s="0" t="n">
        <v>21</v>
      </c>
      <c r="B25" s="0" t="s">
        <v>177</v>
      </c>
      <c r="C25" s="57" t="n">
        <f aca="false">IF(OR('Dashboard (2)'!BM13&lt;=Inputs!$B$38+0.0000001,'Dashboard (2)'!BM13='Dashboard (2)'!Y13),1,0)</f>
        <v>1</v>
      </c>
      <c r="D25" s="57" t="n">
        <f aca="false">1</f>
        <v>1</v>
      </c>
      <c r="E25" s="57" t="n">
        <f aca="false">C25-D25</f>
        <v>0</v>
      </c>
      <c r="F25" s="0" t="str">
        <f aca="false">IF(ABS(E25)&lt;1,"OK","CHECK")</f>
        <v>OK</v>
      </c>
    </row>
    <row r="26" customFormat="false" ht="15" hidden="false" customHeight="false" outlineLevel="0" collapsed="false">
      <c r="A26" s="0" t="n">
        <v>22</v>
      </c>
      <c r="B26" s="0" t="s">
        <v>178</v>
      </c>
      <c r="C26" s="57" t="n">
        <f aca="false">SWEDEN!E24</f>
        <v>1507252.58</v>
      </c>
      <c r="D26" s="57" t="n">
        <f aca="false">AVERAGE(Dashboard!I10,'Dashboard (2)'!Z14)</f>
        <v>1507252.58</v>
      </c>
      <c r="E26" s="57" t="n">
        <f aca="false">C26-D26</f>
        <v>0</v>
      </c>
      <c r="F26" s="0" t="str">
        <f aca="false">IF(ABS(E26)&lt;1,"OK","CHECK")</f>
        <v>OK</v>
      </c>
    </row>
    <row r="27" customFormat="false" ht="15" hidden="false" customHeight="false" outlineLevel="0" collapsed="false">
      <c r="A27" s="0" t="n">
        <v>23</v>
      </c>
      <c r="B27" s="0" t="s">
        <v>179</v>
      </c>
      <c r="C27" s="57" t="n">
        <f aca="false">IF(OR(Dashboard!H10&lt;=Inputs!$B$38+0.0000001,Dashboard!F10=0),1,0)</f>
        <v>1</v>
      </c>
      <c r="D27" s="57" t="n">
        <f aca="false">1</f>
        <v>1</v>
      </c>
      <c r="E27" s="57" t="n">
        <f aca="false">C27-D27</f>
        <v>0</v>
      </c>
      <c r="F27" s="0" t="str">
        <f aca="false">IF(ABS(E27)&lt;1,"OK","CHECK")</f>
        <v>OK</v>
      </c>
    </row>
    <row r="28" customFormat="false" ht="15" hidden="false" customHeight="false" outlineLevel="0" collapsed="false">
      <c r="A28" s="0" t="n">
        <v>24</v>
      </c>
      <c r="B28" s="0" t="s">
        <v>180</v>
      </c>
      <c r="C28" s="57" t="n">
        <f aca="false">IF(OR('Dashboard (2)'!BM14&lt;=Inputs!$B$38+0.0000001,'Dashboard (2)'!BM14='Dashboard (2)'!Y14),1,0)</f>
        <v>1</v>
      </c>
      <c r="D28" s="57" t="n">
        <f aca="false">1</f>
        <v>1</v>
      </c>
      <c r="E28" s="57" t="n">
        <f aca="false">C28-D28</f>
        <v>0</v>
      </c>
      <c r="F28" s="0" t="str">
        <f aca="false">IF(ABS(E28)&lt;1,"OK","CHECK")</f>
        <v>OK</v>
      </c>
    </row>
    <row r="29" customFormat="false" ht="15" hidden="false" customHeight="false" outlineLevel="0" collapsed="false">
      <c r="A29" s="0" t="n">
        <v>25</v>
      </c>
      <c r="B29" s="0" t="s">
        <v>181</v>
      </c>
      <c r="C29" s="57" t="n">
        <f aca="false">HUNGARY!E24</f>
        <v>368462.2</v>
      </c>
      <c r="D29" s="57" t="n">
        <f aca="false">AVERAGE(Dashboard!I11,'Dashboard (2)'!Z15)</f>
        <v>368462.2</v>
      </c>
      <c r="E29" s="57" t="n">
        <f aca="false">C29-D29</f>
        <v>0</v>
      </c>
      <c r="F29" s="0" t="str">
        <f aca="false">IF(ABS(E29)&lt;1,"OK","CHECK")</f>
        <v>OK</v>
      </c>
    </row>
    <row r="30" customFormat="false" ht="15" hidden="false" customHeight="false" outlineLevel="0" collapsed="false">
      <c r="A30" s="0" t="n">
        <v>26</v>
      </c>
      <c r="B30" s="0" t="s">
        <v>182</v>
      </c>
      <c r="C30" s="57" t="n">
        <f aca="false">IF(OR(Dashboard!H11&lt;=Inputs!$B$38+0.0000001,Dashboard!F11=0),1,0)</f>
        <v>1</v>
      </c>
      <c r="D30" s="57" t="n">
        <f aca="false">1</f>
        <v>1</v>
      </c>
      <c r="E30" s="57" t="n">
        <f aca="false">C30-D30</f>
        <v>0</v>
      </c>
      <c r="F30" s="0" t="str">
        <f aca="false">IF(ABS(E30)&lt;1,"OK","CHECK")</f>
        <v>OK</v>
      </c>
    </row>
    <row r="31" customFormat="false" ht="15" hidden="false" customHeight="false" outlineLevel="0" collapsed="false">
      <c r="A31" s="0" t="n">
        <v>27</v>
      </c>
      <c r="B31" s="0" t="s">
        <v>183</v>
      </c>
      <c r="C31" s="57" t="n">
        <f aca="false">IF(OR('Dashboard (2)'!BM15&lt;=Inputs!$B$38+0.0000001,'Dashboard (2)'!BM15='Dashboard (2)'!Y15),1,0)</f>
        <v>1</v>
      </c>
      <c r="D31" s="57" t="n">
        <f aca="false">1</f>
        <v>1</v>
      </c>
      <c r="E31" s="57" t="n">
        <f aca="false">C31-D31</f>
        <v>0</v>
      </c>
      <c r="F31" s="0" t="str">
        <f aca="false">IF(ABS(E31)&lt;1,"OK","CHECK")</f>
        <v>OK</v>
      </c>
    </row>
    <row r="32" customFormat="false" ht="15" hidden="false" customHeight="false" outlineLevel="0" collapsed="false">
      <c r="A32" s="0" t="n">
        <v>28</v>
      </c>
      <c r="B32" s="0" t="s">
        <v>184</v>
      </c>
      <c r="C32" s="57" t="n">
        <f aca="false">FINLAND!E24</f>
        <v>366480.3</v>
      </c>
      <c r="D32" s="57" t="n">
        <f aca="false">AVERAGE(Dashboard!I12,'Dashboard (2)'!Z16)</f>
        <v>366480.3</v>
      </c>
      <c r="E32" s="57" t="n">
        <f aca="false">C32-D32</f>
        <v>0</v>
      </c>
      <c r="F32" s="0" t="str">
        <f aca="false">IF(ABS(E32)&lt;1,"OK","CHECK")</f>
        <v>OK</v>
      </c>
    </row>
    <row r="33" customFormat="false" ht="15" hidden="false" customHeight="false" outlineLevel="0" collapsed="false">
      <c r="A33" s="0" t="n">
        <v>29</v>
      </c>
      <c r="B33" s="0" t="s">
        <v>185</v>
      </c>
      <c r="C33" s="57" t="n">
        <f aca="false">IF(OR(Dashboard!H12&lt;=Inputs!$B$38+0.0000001,Dashboard!F12=0),1,0)</f>
        <v>1</v>
      </c>
      <c r="D33" s="57" t="n">
        <f aca="false">1</f>
        <v>1</v>
      </c>
      <c r="E33" s="57" t="n">
        <f aca="false">C33-D33</f>
        <v>0</v>
      </c>
      <c r="F33" s="0" t="str">
        <f aca="false">IF(ABS(E33)&lt;1,"OK","CHECK")</f>
        <v>OK</v>
      </c>
    </row>
    <row r="34" customFormat="false" ht="15" hidden="false" customHeight="false" outlineLevel="0" collapsed="false">
      <c r="A34" s="0" t="n">
        <v>30</v>
      </c>
      <c r="B34" s="0" t="s">
        <v>186</v>
      </c>
      <c r="C34" s="57" t="n">
        <f aca="false">IF(OR('Dashboard (2)'!BM16&lt;=Inputs!$B$38+0.0000001,'Dashboard (2)'!BM16='Dashboard (2)'!Y16),1,0)</f>
        <v>1</v>
      </c>
      <c r="D34" s="57" t="n">
        <f aca="false">1</f>
        <v>1</v>
      </c>
      <c r="E34" s="57" t="n">
        <f aca="false">C34-D34</f>
        <v>0</v>
      </c>
      <c r="F34" s="0" t="str">
        <f aca="false">IF(ABS(E34)&lt;1,"OK","CHECK")</f>
        <v>OK</v>
      </c>
    </row>
    <row r="35" customFormat="false" ht="15" hidden="false" customHeight="false" outlineLevel="0" collapsed="false">
      <c r="A35" s="0" t="n">
        <v>31</v>
      </c>
      <c r="B35" s="0" t="s">
        <v>187</v>
      </c>
      <c r="C35" s="57" t="n">
        <f aca="false">ROMANIA!E24</f>
        <v>205300.095</v>
      </c>
      <c r="D35" s="57" t="n">
        <f aca="false">AVERAGE(Dashboard!I13,'Dashboard (2)'!Z17)</f>
        <v>205300.095</v>
      </c>
      <c r="E35" s="57" t="n">
        <f aca="false">C35-D35</f>
        <v>0</v>
      </c>
      <c r="F35" s="0" t="str">
        <f aca="false">IF(ABS(E35)&lt;1,"OK","CHECK")</f>
        <v>OK</v>
      </c>
    </row>
    <row r="36" customFormat="false" ht="15" hidden="false" customHeight="false" outlineLevel="0" collapsed="false">
      <c r="A36" s="0" t="n">
        <v>32</v>
      </c>
      <c r="B36" s="0" t="s">
        <v>188</v>
      </c>
      <c r="C36" s="57" t="n">
        <f aca="false">IF(OR(Dashboard!H13&lt;=Inputs!$B$38+0.0000001,Dashboard!F13=0),1,0)</f>
        <v>1</v>
      </c>
      <c r="D36" s="57" t="n">
        <f aca="false">1</f>
        <v>1</v>
      </c>
      <c r="E36" s="57" t="n">
        <f aca="false">C36-D36</f>
        <v>0</v>
      </c>
      <c r="F36" s="0" t="str">
        <f aca="false">IF(ABS(E36)&lt;1,"OK","CHECK")</f>
        <v>OK</v>
      </c>
    </row>
    <row r="37" customFormat="false" ht="15" hidden="false" customHeight="false" outlineLevel="0" collapsed="false">
      <c r="A37" s="0" t="n">
        <v>33</v>
      </c>
      <c r="B37" s="0" t="s">
        <v>189</v>
      </c>
      <c r="C37" s="57" t="n">
        <f aca="false">IF(OR('Dashboard (2)'!BM17&lt;=Inputs!$B$38+0.0000001,'Dashboard (2)'!BM17='Dashboard (2)'!Y17),1,0)</f>
        <v>1</v>
      </c>
      <c r="D37" s="57" t="n">
        <f aca="false">1</f>
        <v>1</v>
      </c>
      <c r="E37" s="57" t="n">
        <f aca="false">C37-D37</f>
        <v>0</v>
      </c>
      <c r="F37" s="0" t="str">
        <f aca="false">IF(ABS(E37)&lt;1,"OK","CHECK")</f>
        <v>OK</v>
      </c>
    </row>
    <row r="38" customFormat="false" ht="15" hidden="false" customHeight="false" outlineLevel="0" collapsed="false">
      <c r="A38" s="0" t="n">
        <v>34</v>
      </c>
      <c r="B38" s="0" t="s">
        <v>190</v>
      </c>
      <c r="C38" s="57" t="n">
        <f aca="false">DENMARK!E24</f>
        <v>192060.4</v>
      </c>
      <c r="D38" s="57" t="n">
        <f aca="false">AVERAGE(Dashboard!I14,'Dashboard (2)'!Z18)</f>
        <v>192060.4</v>
      </c>
      <c r="E38" s="57" t="n">
        <f aca="false">C38-D38</f>
        <v>0</v>
      </c>
      <c r="F38" s="0" t="str">
        <f aca="false">IF(ABS(E38)&lt;1,"OK","CHECK")</f>
        <v>OK</v>
      </c>
    </row>
    <row r="39" customFormat="false" ht="15" hidden="false" customHeight="false" outlineLevel="0" collapsed="false">
      <c r="A39" s="0" t="n">
        <v>35</v>
      </c>
      <c r="B39" s="0" t="s">
        <v>191</v>
      </c>
      <c r="C39" s="57" t="n">
        <f aca="false">IF(OR(Dashboard!H14&lt;=Inputs!$B$38+0.0000001,Dashboard!F14=0),1,0)</f>
        <v>1</v>
      </c>
      <c r="D39" s="57" t="n">
        <f aca="false">1</f>
        <v>1</v>
      </c>
      <c r="E39" s="57" t="n">
        <f aca="false">C39-D39</f>
        <v>0</v>
      </c>
      <c r="F39" s="0" t="str">
        <f aca="false">IF(ABS(E39)&lt;1,"OK","CHECK")</f>
        <v>OK</v>
      </c>
    </row>
    <row r="40" customFormat="false" ht="15" hidden="false" customHeight="false" outlineLevel="0" collapsed="false">
      <c r="A40" s="0" t="n">
        <v>36</v>
      </c>
      <c r="B40" s="0" t="s">
        <v>192</v>
      </c>
      <c r="C40" s="57" t="n">
        <f aca="false">IF(OR('Dashboard (2)'!BM18&lt;=Inputs!$B$38+0.0000001,'Dashboard (2)'!BM18='Dashboard (2)'!Y18),1,0)</f>
        <v>1</v>
      </c>
      <c r="D40" s="57" t="n">
        <f aca="false">1</f>
        <v>1</v>
      </c>
      <c r="E40" s="57" t="n">
        <f aca="false">C40-D40</f>
        <v>0</v>
      </c>
      <c r="F40" s="0" t="str">
        <f aca="false">IF(ABS(E40)&lt;1,"OK","CHECK")</f>
        <v>OK</v>
      </c>
    </row>
    <row r="41" customFormat="false" ht="15" hidden="false" customHeight="false" outlineLevel="0" collapsed="false">
      <c r="A41" s="0" t="n">
        <v>37</v>
      </c>
      <c r="B41" s="0" t="s">
        <v>193</v>
      </c>
      <c r="C41" s="57" t="n">
        <f aca="false">ICELAND!E24</f>
        <v>106674.275</v>
      </c>
      <c r="D41" s="57" t="n">
        <f aca="false">AVERAGE(Dashboard!I15,'Dashboard (2)'!Z19)</f>
        <v>106674.275</v>
      </c>
      <c r="E41" s="57" t="n">
        <f aca="false">C41-D41</f>
        <v>0</v>
      </c>
      <c r="F41" s="0" t="str">
        <f aca="false">IF(ABS(E41)&lt;1,"OK","CHECK")</f>
        <v>OK</v>
      </c>
    </row>
    <row r="42" customFormat="false" ht="15" hidden="false" customHeight="false" outlineLevel="0" collapsed="false">
      <c r="A42" s="0" t="n">
        <v>38</v>
      </c>
      <c r="B42" s="0" t="s">
        <v>194</v>
      </c>
      <c r="C42" s="57" t="n">
        <f aca="false">IF(OR(Dashboard!H15&lt;=Inputs!$B$38+0.0000001,Dashboard!F15=0),1,0)</f>
        <v>1</v>
      </c>
      <c r="D42" s="57" t="n">
        <f aca="false">1</f>
        <v>1</v>
      </c>
      <c r="E42" s="57" t="n">
        <f aca="false">C42-D42</f>
        <v>0</v>
      </c>
      <c r="F42" s="0" t="str">
        <f aca="false">IF(ABS(E42)&lt;1,"OK","CHECK")</f>
        <v>OK</v>
      </c>
    </row>
    <row r="43" customFormat="false" ht="15" hidden="false" customHeight="false" outlineLevel="0" collapsed="false">
      <c r="A43" s="0" t="n">
        <v>39</v>
      </c>
      <c r="B43" s="0" t="s">
        <v>195</v>
      </c>
      <c r="C43" s="57" t="n">
        <f aca="false">IF(OR('Dashboard (2)'!BM19&lt;=Inputs!$B$38+0.0000001,'Dashboard (2)'!BM19='Dashboard (2)'!Y19),1,0)</f>
        <v>1</v>
      </c>
      <c r="D43" s="57" t="n">
        <f aca="false">1</f>
        <v>1</v>
      </c>
      <c r="E43" s="57" t="n">
        <f aca="false">C43-D43</f>
        <v>0</v>
      </c>
      <c r="F43" s="0" t="str">
        <f aca="false">IF(ABS(E43)&lt;1,"OK","CHECK")</f>
        <v>OK</v>
      </c>
    </row>
    <row r="44" customFormat="false" ht="15" hidden="false" customHeight="false" outlineLevel="0" collapsed="false">
      <c r="A44" s="0" t="n">
        <v>40</v>
      </c>
      <c r="B44" s="0" t="s">
        <v>196</v>
      </c>
      <c r="C44" s="57" t="n">
        <f aca="false">GERMANY!E30</f>
        <v>2993651.0798</v>
      </c>
      <c r="D44" s="57" t="n">
        <f aca="false">AVERAGE(Dashboard!I16,'Dashboard (2)'!Z23)</f>
        <v>2993651.0798</v>
      </c>
      <c r="E44" s="57" t="n">
        <f aca="false">C44-D44</f>
        <v>0</v>
      </c>
      <c r="F44" s="0" t="str">
        <f aca="false">IF(ABS(E44)&lt;1,"OK","CHECK")</f>
        <v>OK</v>
      </c>
    </row>
    <row r="45" customFormat="false" ht="15" hidden="false" customHeight="false" outlineLevel="0" collapsed="false">
      <c r="A45" s="0" t="n">
        <v>41</v>
      </c>
      <c r="B45" s="0" t="s">
        <v>197</v>
      </c>
      <c r="C45" s="57" t="n">
        <f aca="false">IF(OR(Dashboard!H16&lt;=Inputs!$B$38+0.0000001,Dashboard!F16=0),1,0)</f>
        <v>1</v>
      </c>
      <c r="D45" s="57" t="n">
        <f aca="false">1</f>
        <v>1</v>
      </c>
      <c r="E45" s="57" t="n">
        <f aca="false">C45-D45</f>
        <v>0</v>
      </c>
      <c r="F45" s="0" t="str">
        <f aca="false">IF(ABS(E45)&lt;1,"OK","CHECK")</f>
        <v>OK</v>
      </c>
    </row>
    <row r="46" customFormat="false" ht="15" hidden="false" customHeight="false" outlineLevel="0" collapsed="false">
      <c r="A46" s="0" t="n">
        <v>42</v>
      </c>
      <c r="B46" s="0" t="s">
        <v>198</v>
      </c>
      <c r="C46" s="57" t="n">
        <f aca="false">IF(OR('Dashboard (2)'!BM23&lt;=Inputs!$B$38+0.0000001,'Dashboard (2)'!BM23='Dashboard (2)'!Y23),1,0)</f>
        <v>1</v>
      </c>
      <c r="D46" s="57" t="n">
        <f aca="false">1</f>
        <v>1</v>
      </c>
      <c r="E46" s="57" t="n">
        <f aca="false">C46-D46</f>
        <v>0</v>
      </c>
      <c r="F46" s="0" t="str">
        <f aca="false">IF(ABS(E46)&lt;1,"OK","CHECK")</f>
        <v>OK</v>
      </c>
    </row>
    <row r="47" customFormat="false" ht="15" hidden="false" customHeight="false" outlineLevel="0" collapsed="false">
      <c r="A47" s="0" t="n">
        <v>43</v>
      </c>
      <c r="B47" s="0" t="s">
        <v>199</v>
      </c>
      <c r="C47" s="57" t="n">
        <f aca="false">BELGIUM!E30</f>
        <v>2345890.3695</v>
      </c>
      <c r="D47" s="57" t="n">
        <f aca="false">AVERAGE(Dashboard!I17,'Dashboard (2)'!Z26)</f>
        <v>2345890.3695</v>
      </c>
      <c r="E47" s="57" t="n">
        <f aca="false">C47-D47</f>
        <v>0</v>
      </c>
      <c r="F47" s="0" t="str">
        <f aca="false">IF(ABS(E47)&lt;1,"OK","CHECK")</f>
        <v>OK</v>
      </c>
    </row>
    <row r="48" customFormat="false" ht="15" hidden="false" customHeight="false" outlineLevel="0" collapsed="false">
      <c r="A48" s="0" t="n">
        <v>44</v>
      </c>
      <c r="B48" s="0" t="s">
        <v>200</v>
      </c>
      <c r="C48" s="57" t="n">
        <f aca="false">IF(OR(Dashboard!H17&lt;=Inputs!$B$38+0.0000001,Dashboard!F17=0),1,0)</f>
        <v>1</v>
      </c>
      <c r="D48" s="57" t="n">
        <f aca="false">1</f>
        <v>1</v>
      </c>
      <c r="E48" s="57" t="n">
        <f aca="false">C48-D48</f>
        <v>0</v>
      </c>
      <c r="F48" s="0" t="str">
        <f aca="false">IF(ABS(E48)&lt;1,"OK","CHECK")</f>
        <v>OK</v>
      </c>
    </row>
    <row r="49" customFormat="false" ht="15" hidden="false" customHeight="false" outlineLevel="0" collapsed="false">
      <c r="A49" s="0" t="n">
        <v>45</v>
      </c>
      <c r="B49" s="0" t="s">
        <v>201</v>
      </c>
      <c r="C49" s="57" t="n">
        <f aca="false">IF(OR('Dashboard (2)'!BM26&lt;=Inputs!$B$38+0.0000001,'Dashboard (2)'!BM26='Dashboard (2)'!Y26),1,0)</f>
        <v>1</v>
      </c>
      <c r="D49" s="57" t="n">
        <f aca="false">1</f>
        <v>1</v>
      </c>
      <c r="E49" s="57" t="n">
        <f aca="false">C49-D49</f>
        <v>0</v>
      </c>
      <c r="F49" s="0" t="str">
        <f aca="false">IF(ABS(E49)&lt;1,"OK","CHECK")</f>
        <v>OK</v>
      </c>
    </row>
    <row r="50" customFormat="false" ht="15" hidden="false" customHeight="false" outlineLevel="0" collapsed="false">
      <c r="A50" s="0" t="n">
        <v>46</v>
      </c>
      <c r="B50" s="0" t="s">
        <v>202</v>
      </c>
      <c r="C50" s="57" t="n">
        <f aca="false">PORTUGAL!E30</f>
        <v>1926457.8217</v>
      </c>
      <c r="D50" s="57" t="n">
        <f aca="false">AVERAGE(Dashboard!I18,'Dashboard (2)'!Z30)</f>
        <v>1926457.8217</v>
      </c>
      <c r="E50" s="57" t="n">
        <f aca="false">C50-D50</f>
        <v>0</v>
      </c>
      <c r="F50" s="0" t="str">
        <f aca="false">IF(ABS(E50)&lt;1,"OK","CHECK")</f>
        <v>OK</v>
      </c>
    </row>
    <row r="51" customFormat="false" ht="15" hidden="false" customHeight="false" outlineLevel="0" collapsed="false">
      <c r="A51" s="0" t="n">
        <v>47</v>
      </c>
      <c r="B51" s="0" t="s">
        <v>203</v>
      </c>
      <c r="C51" s="57" t="n">
        <f aca="false">IF(OR(Dashboard!H18&lt;=Inputs!$B$38+0.0000001,Dashboard!F18=0),1,0)</f>
        <v>1</v>
      </c>
      <c r="D51" s="57" t="n">
        <f aca="false">1</f>
        <v>1</v>
      </c>
      <c r="E51" s="57" t="n">
        <f aca="false">C51-D51</f>
        <v>0</v>
      </c>
      <c r="F51" s="0" t="str">
        <f aca="false">IF(ABS(E51)&lt;1,"OK","CHECK")</f>
        <v>OK</v>
      </c>
    </row>
    <row r="52" customFormat="false" ht="15" hidden="false" customHeight="false" outlineLevel="0" collapsed="false">
      <c r="A52" s="0" t="n">
        <v>48</v>
      </c>
      <c r="B52" s="0" t="s">
        <v>204</v>
      </c>
      <c r="C52" s="57" t="n">
        <f aca="false">IF(OR('Dashboard (2)'!BM30&lt;=Inputs!$B$38+0.0000001,'Dashboard (2)'!BM30='Dashboard (2)'!Y30),1,0)</f>
        <v>1</v>
      </c>
      <c r="D52" s="57" t="n">
        <f aca="false">1</f>
        <v>1</v>
      </c>
      <c r="E52" s="57" t="n">
        <f aca="false">C52-D52</f>
        <v>0</v>
      </c>
      <c r="F52" s="0" t="str">
        <f aca="false">IF(ABS(E52)&lt;1,"OK","CHECK")</f>
        <v>OK</v>
      </c>
    </row>
    <row r="53" customFormat="false" ht="15" hidden="false" customHeight="false" outlineLevel="0" collapsed="false">
      <c r="A53" s="0" t="n">
        <v>49</v>
      </c>
      <c r="B53" s="0" t="s">
        <v>205</v>
      </c>
      <c r="C53" s="57" t="n">
        <f aca="false">IRELAND!E30</f>
        <v>1290623.255</v>
      </c>
      <c r="D53" s="57" t="n">
        <f aca="false">AVERAGE(Dashboard!I19,'Dashboard (2)'!Z34)</f>
        <v>1290623.255</v>
      </c>
      <c r="E53" s="57" t="n">
        <f aca="false">C53-D53</f>
        <v>0</v>
      </c>
      <c r="F53" s="0" t="str">
        <f aca="false">IF(ABS(E53)&lt;1,"OK","CHECK")</f>
        <v>OK</v>
      </c>
    </row>
    <row r="54" customFormat="false" ht="15" hidden="false" customHeight="false" outlineLevel="0" collapsed="false">
      <c r="A54" s="0" t="n">
        <v>50</v>
      </c>
      <c r="B54" s="0" t="s">
        <v>206</v>
      </c>
      <c r="C54" s="57" t="n">
        <f aca="false">IF(OR(Dashboard!H19&lt;=Inputs!$B$38+0.0000001,Dashboard!F19=0),1,0)</f>
        <v>1</v>
      </c>
      <c r="D54" s="57" t="n">
        <f aca="false">1</f>
        <v>1</v>
      </c>
      <c r="E54" s="57" t="n">
        <f aca="false">C54-D54</f>
        <v>0</v>
      </c>
      <c r="F54" s="0" t="str">
        <f aca="false">IF(ABS(E54)&lt;1,"OK","CHECK")</f>
        <v>OK</v>
      </c>
    </row>
    <row r="55" customFormat="false" ht="15" hidden="false" customHeight="false" outlineLevel="0" collapsed="false">
      <c r="A55" s="0" t="n">
        <v>51</v>
      </c>
      <c r="B55" s="0" t="s">
        <v>207</v>
      </c>
      <c r="C55" s="57" t="n">
        <f aca="false">IF(OR('Dashboard (2)'!BM34&lt;=Inputs!$B$38+0.0000001,'Dashboard (2)'!BM34='Dashboard (2)'!Y34),1,0)</f>
        <v>1</v>
      </c>
      <c r="D55" s="57" t="n">
        <f aca="false">1</f>
        <v>1</v>
      </c>
      <c r="E55" s="57" t="n">
        <f aca="false">C55-D55</f>
        <v>0</v>
      </c>
      <c r="F55" s="0" t="str">
        <f aca="false">IF(ABS(E55)&lt;1,"OK","CHECK")</f>
        <v>OK</v>
      </c>
    </row>
    <row r="56" customFormat="false" ht="15" hidden="false" customHeight="false" outlineLevel="0" collapsed="false">
      <c r="A56" s="0" t="n">
        <v>52</v>
      </c>
      <c r="B56" s="0" t="s">
        <v>208</v>
      </c>
      <c r="C56" s="57" t="n">
        <f aca="false">GREECE!E30</f>
        <v>595224.3791</v>
      </c>
      <c r="D56" s="57" t="n">
        <f aca="false">AVERAGE(Dashboard!I20,'Dashboard (2)'!Z37)</f>
        <v>595224.3791</v>
      </c>
      <c r="E56" s="57" t="n">
        <f aca="false">C56-D56</f>
        <v>0</v>
      </c>
      <c r="F56" s="0" t="str">
        <f aca="false">IF(ABS(E56)&lt;1,"OK","CHECK")</f>
        <v>OK</v>
      </c>
    </row>
    <row r="57" customFormat="false" ht="15" hidden="false" customHeight="false" outlineLevel="0" collapsed="false">
      <c r="A57" s="0" t="n">
        <v>53</v>
      </c>
      <c r="B57" s="0" t="s">
        <v>209</v>
      </c>
      <c r="C57" s="57" t="n">
        <f aca="false">IF(OR(Dashboard!H20&lt;=Inputs!$B$38+0.0000001,Dashboard!F20=0),1,0)</f>
        <v>1</v>
      </c>
      <c r="D57" s="57" t="n">
        <f aca="false">1</f>
        <v>1</v>
      </c>
      <c r="E57" s="57" t="n">
        <f aca="false">C57-D57</f>
        <v>0</v>
      </c>
      <c r="F57" s="0" t="str">
        <f aca="false">IF(ABS(E57)&lt;1,"OK","CHECK")</f>
        <v>OK</v>
      </c>
    </row>
    <row r="58" customFormat="false" ht="15" hidden="false" customHeight="false" outlineLevel="0" collapsed="false">
      <c r="A58" s="0" t="n">
        <v>54</v>
      </c>
      <c r="B58" s="0" t="s">
        <v>210</v>
      </c>
      <c r="C58" s="57" t="n">
        <f aca="false">IF(OR('Dashboard (2)'!BM37&lt;=Inputs!$B$38+0.0000001,'Dashboard (2)'!BM37='Dashboard (2)'!Y37),1,0)</f>
        <v>1</v>
      </c>
      <c r="D58" s="57" t="n">
        <f aca="false">1</f>
        <v>1</v>
      </c>
      <c r="E58" s="57" t="n">
        <f aca="false">C58-D58</f>
        <v>0</v>
      </c>
      <c r="F58" s="0" t="str">
        <f aca="false">IF(ABS(E58)&lt;1,"OK","CHECK")</f>
        <v>OK</v>
      </c>
    </row>
    <row r="59" customFormat="false" ht="15" hidden="false" customHeight="false" outlineLevel="0" collapsed="false">
      <c r="A59" s="0" t="n">
        <v>55</v>
      </c>
      <c r="B59" s="0" t="s">
        <v>211</v>
      </c>
      <c r="C59" s="57" t="n">
        <f aca="false">CYPRUS!E30</f>
        <v>554203.8032</v>
      </c>
      <c r="D59" s="57" t="n">
        <f aca="false">AVERAGE(Dashboard!I21,'Dashboard (2)'!Z40)</f>
        <v>554203.8032</v>
      </c>
      <c r="E59" s="57" t="n">
        <f aca="false">C59-D59</f>
        <v>0</v>
      </c>
      <c r="F59" s="0" t="str">
        <f aca="false">IF(ABS(E59)&lt;1,"OK","CHECK")</f>
        <v>OK</v>
      </c>
    </row>
    <row r="60" customFormat="false" ht="15" hidden="false" customHeight="false" outlineLevel="0" collapsed="false">
      <c r="A60" s="0" t="n">
        <v>56</v>
      </c>
      <c r="B60" s="0" t="s">
        <v>212</v>
      </c>
      <c r="C60" s="57" t="n">
        <f aca="false">IF(OR(Dashboard!H21&lt;=Inputs!$B$38+0.0000001,Dashboard!F21=0),1,0)</f>
        <v>1</v>
      </c>
      <c r="D60" s="57" t="n">
        <f aca="false">1</f>
        <v>1</v>
      </c>
      <c r="E60" s="57" t="n">
        <f aca="false">C60-D60</f>
        <v>0</v>
      </c>
      <c r="F60" s="0" t="str">
        <f aca="false">IF(ABS(E60)&lt;1,"OK","CHECK")</f>
        <v>OK</v>
      </c>
    </row>
    <row r="61" customFormat="false" ht="15" hidden="false" customHeight="false" outlineLevel="0" collapsed="false">
      <c r="A61" s="0" t="n">
        <v>57</v>
      </c>
      <c r="B61" s="0" t="s">
        <v>213</v>
      </c>
      <c r="C61" s="57" t="n">
        <f aca="false">IF(OR('Dashboard (2)'!BM40&lt;=Inputs!$B$38+0.0000001,'Dashboard (2)'!BM40='Dashboard (2)'!Y40),1,0)</f>
        <v>1</v>
      </c>
      <c r="D61" s="57" t="n">
        <f aca="false">1</f>
        <v>1</v>
      </c>
      <c r="E61" s="57" t="n">
        <f aca="false">C61-D61</f>
        <v>0</v>
      </c>
      <c r="F61" s="0" t="str">
        <f aca="false">IF(ABS(E61)&lt;1,"OK","CHECK")</f>
        <v>OK</v>
      </c>
    </row>
    <row r="62" customFormat="false" ht="15" hidden="false" customHeight="false" outlineLevel="0" collapsed="false">
      <c r="A62" s="0" t="n">
        <v>58</v>
      </c>
      <c r="B62" s="0" t="s">
        <v>214</v>
      </c>
      <c r="C62" s="57" t="n">
        <f aca="false">MALTA!E30</f>
        <v>240738.246</v>
      </c>
      <c r="D62" s="57" t="n">
        <f aca="false">AVERAGE(Dashboard!I22,'Dashboard (2)'!Z43)</f>
        <v>240738.246</v>
      </c>
      <c r="E62" s="57" t="n">
        <f aca="false">C62-D62</f>
        <v>0</v>
      </c>
      <c r="F62" s="0" t="str">
        <f aca="false">IF(ABS(E62)&lt;1,"OK","CHECK")</f>
        <v>OK</v>
      </c>
    </row>
    <row r="63" customFormat="false" ht="15" hidden="false" customHeight="false" outlineLevel="0" collapsed="false">
      <c r="A63" s="0" t="n">
        <v>59</v>
      </c>
      <c r="B63" s="0" t="s">
        <v>215</v>
      </c>
      <c r="C63" s="57" t="n">
        <f aca="false">IF(OR(Dashboard!H22&lt;=Inputs!$B$38+0.0000001,Dashboard!F22=0),1,0)</f>
        <v>1</v>
      </c>
      <c r="D63" s="57" t="n">
        <f aca="false">1</f>
        <v>1</v>
      </c>
      <c r="E63" s="57" t="n">
        <f aca="false">C63-D63</f>
        <v>0</v>
      </c>
      <c r="F63" s="0" t="str">
        <f aca="false">IF(ABS(E63)&lt;1,"OK","CHECK")</f>
        <v>OK</v>
      </c>
    </row>
    <row r="64" customFormat="false" ht="15" hidden="false" customHeight="false" outlineLevel="0" collapsed="false">
      <c r="A64" s="0" t="n">
        <v>60</v>
      </c>
      <c r="B64" s="0" t="s">
        <v>216</v>
      </c>
      <c r="C64" s="57" t="n">
        <f aca="false">IF(OR('Dashboard (2)'!BM43&lt;=Inputs!$B$38+0.0000001,'Dashboard (2)'!BM43='Dashboard (2)'!Y43),1,0)</f>
        <v>1</v>
      </c>
      <c r="D64" s="57" t="n">
        <f aca="false">1</f>
        <v>1</v>
      </c>
      <c r="E64" s="57" t="n">
        <f aca="false">C64-D64</f>
        <v>0</v>
      </c>
      <c r="F64" s="0" t="str">
        <f aca="false">IF(ABS(E64)&lt;1,"OK","CHECK")</f>
        <v>OK</v>
      </c>
    </row>
    <row r="65" customFormat="false" ht="15" hidden="false" customHeight="false" outlineLevel="0" collapsed="false">
      <c r="A65" s="0" t="s">
        <v>217</v>
      </c>
      <c r="B65" s="0" t="s">
        <v>218</v>
      </c>
      <c r="C65" s="0" t="n">
        <f aca="false">COUNTIF(Dashboard!H7:H22,"&gt;1")</f>
        <v>2</v>
      </c>
      <c r="F65" s="0" t="s">
        <v>219</v>
      </c>
    </row>
    <row r="66" customFormat="false" ht="15" hidden="false" customHeight="false" outlineLevel="0" collapsed="false">
      <c r="A66" s="0" t="n">
        <v>62</v>
      </c>
      <c r="B66" s="0" t="s">
        <v>220</v>
      </c>
      <c r="C66" s="57" t="n">
        <f aca="false">'UIO V19'!H79</f>
        <v>82746973.1082239</v>
      </c>
      <c r="D66" s="57" t="n">
        <f aca="false">'Dashboard (2)'!BL44</f>
        <v>82746973.1082239</v>
      </c>
      <c r="E66" s="57" t="n">
        <f aca="false">C66-D66</f>
        <v>0</v>
      </c>
      <c r="F66" s="0" t="str">
        <f aca="false">IF(ABS(E66)&lt;1,"OK","CHECK")</f>
        <v>OK</v>
      </c>
    </row>
    <row r="67" customFormat="false" ht="15" hidden="false" customHeight="false" outlineLevel="0" collapsed="false">
      <c r="A67" s="0" t="n">
        <v>63</v>
      </c>
      <c r="B67" s="6" t="s">
        <v>221</v>
      </c>
      <c r="C67" s="57" t="n">
        <f aca="false">'UIO V19'!H122</f>
        <v>51535130.0951152</v>
      </c>
      <c r="D67" s="57" t="n">
        <f aca="false">'Dashboard (2)'!BN44</f>
        <v>51535130.0951152</v>
      </c>
      <c r="E67" s="57" t="n">
        <f aca="false">C67-D67</f>
        <v>0</v>
      </c>
      <c r="F67" s="0" t="str">
        <f aca="false">IF(ABS(E67)&lt;1,"OK","CHECK")</f>
        <v>OK</v>
      </c>
    </row>
    <row r="68" customFormat="false" ht="15" hidden="false" customHeight="false" outlineLevel="0" collapsed="false">
      <c r="A68" s="0" t="n">
        <v>64</v>
      </c>
      <c r="B68" s="6" t="s">
        <v>222</v>
      </c>
      <c r="C68" s="57" t="n">
        <f aca="false">'UIO V20'!D120</f>
        <v>34461845.1249</v>
      </c>
      <c r="D68" s="57" t="n">
        <f aca="false">'Dashboard (2)'!Z44</f>
        <v>34461845.1249</v>
      </c>
      <c r="E68" s="57" t="n">
        <f aca="false">C68-D68</f>
        <v>0</v>
      </c>
      <c r="F68" s="0" t="str">
        <f aca="false">IF(ABS(E68)&lt;1,"OK","CHECK")</f>
        <v>OK</v>
      </c>
    </row>
    <row r="69" customFormat="false" ht="15" hidden="false" customHeight="false" outlineLevel="0" collapsed="false">
      <c r="A69" s="0" t="n">
        <v>65</v>
      </c>
      <c r="B69" s="0" t="s">
        <v>223</v>
      </c>
      <c r="C69" s="57" t="n">
        <f aca="false">'UIO V20'!H59+'UIO V20'!H60</f>
        <v>27080783.3016019</v>
      </c>
      <c r="D69" s="57" t="n">
        <f aca="false">'Dashboard (2)'!BL9+'Dashboard (2)'!BL10</f>
        <v>27080783.3016019</v>
      </c>
      <c r="E69" s="57" t="n">
        <f aca="false">C69-D69</f>
        <v>0</v>
      </c>
      <c r="F69" s="0" t="str">
        <f aca="false">IF(ABS(E69)&lt;1,"OK","CHECK")</f>
        <v>OK</v>
      </c>
    </row>
    <row r="71" customFormat="false" ht="15" hidden="false" customHeight="false" outlineLevel="0" collapsed="false">
      <c r="B71" s="6" t="s">
        <v>224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4"/>
    <col collapsed="false" customWidth="true" hidden="false" outlineLevel="0" max="10" min="3" style="0" width="14"/>
  </cols>
  <sheetData>
    <row r="1" customFormat="false" ht="17.35" hidden="false" customHeight="false" outlineLevel="0" collapsed="false">
      <c r="A1" s="66" t="s">
        <v>225</v>
      </c>
    </row>
    <row r="3" customFormat="false" ht="15.75" hidden="false" customHeight="true" outlineLevel="0" collapsed="false">
      <c r="A3" s="67" t="s">
        <v>226</v>
      </c>
      <c r="B3" s="67"/>
      <c r="C3" s="67"/>
      <c r="D3" s="67"/>
      <c r="E3" s="67"/>
      <c r="F3" s="67"/>
      <c r="G3" s="67"/>
      <c r="H3" s="67"/>
      <c r="I3" s="67"/>
      <c r="J3" s="67"/>
    </row>
    <row r="4" customFormat="false" ht="30.75" hidden="false" customHeight="true" outlineLevel="0" collapsed="false">
      <c r="A4" s="68" t="s">
        <v>227</v>
      </c>
      <c r="B4" s="68"/>
      <c r="C4" s="68"/>
      <c r="D4" s="68"/>
      <c r="E4" s="68"/>
      <c r="F4" s="68"/>
      <c r="G4" s="68"/>
      <c r="H4" s="68"/>
      <c r="I4" s="68"/>
      <c r="J4" s="68"/>
    </row>
    <row r="5" customFormat="false" ht="15.75" hidden="false" customHeight="true" outlineLevel="0" collapsed="false">
      <c r="A5" s="67" t="s">
        <v>228</v>
      </c>
      <c r="B5" s="67"/>
      <c r="C5" s="67"/>
      <c r="D5" s="67"/>
      <c r="E5" s="67"/>
      <c r="F5" s="67"/>
      <c r="G5" s="67"/>
      <c r="H5" s="67"/>
      <c r="I5" s="67"/>
      <c r="J5" s="67"/>
    </row>
    <row r="6" customFormat="false" ht="30.75" hidden="false" customHeight="true" outlineLevel="0" collapsed="false">
      <c r="A6" s="68" t="s">
        <v>229</v>
      </c>
      <c r="B6" s="68"/>
      <c r="C6" s="68"/>
      <c r="D6" s="68"/>
      <c r="E6" s="68"/>
      <c r="F6" s="68"/>
      <c r="G6" s="68"/>
      <c r="H6" s="68"/>
      <c r="I6" s="68"/>
      <c r="J6" s="68"/>
    </row>
    <row r="7" customFormat="false" ht="30.75" hidden="false" customHeight="true" outlineLevel="0" collapsed="false">
      <c r="A7" s="68" t="s">
        <v>230</v>
      </c>
      <c r="B7" s="68"/>
      <c r="C7" s="68"/>
      <c r="D7" s="68"/>
      <c r="E7" s="68"/>
      <c r="F7" s="68"/>
      <c r="G7" s="68"/>
      <c r="H7" s="68"/>
      <c r="I7" s="68"/>
      <c r="J7" s="68"/>
    </row>
    <row r="8" customFormat="false" ht="30.75" hidden="false" customHeight="true" outlineLevel="0" collapsed="false">
      <c r="A8" s="68" t="s">
        <v>231</v>
      </c>
      <c r="B8" s="68"/>
      <c r="C8" s="68"/>
      <c r="D8" s="68"/>
      <c r="E8" s="68"/>
      <c r="F8" s="68"/>
      <c r="G8" s="68"/>
      <c r="H8" s="68"/>
      <c r="I8" s="68"/>
      <c r="J8" s="68"/>
    </row>
    <row r="10" customFormat="false" ht="15" hidden="false" customHeight="false" outlineLevel="0" collapsed="false">
      <c r="A10" s="3" t="s">
        <v>232</v>
      </c>
    </row>
    <row r="11" customFormat="false" ht="30" hidden="false" customHeight="true" outlineLevel="0" collapsed="false">
      <c r="A11" s="69" t="s">
        <v>233</v>
      </c>
      <c r="B11" s="69" t="s">
        <v>23</v>
      </c>
      <c r="C11" s="69" t="s">
        <v>234</v>
      </c>
      <c r="D11" s="69" t="s">
        <v>235</v>
      </c>
      <c r="E11" s="69" t="s">
        <v>236</v>
      </c>
      <c r="F11" s="69" t="s">
        <v>237</v>
      </c>
      <c r="G11" s="69" t="s">
        <v>238</v>
      </c>
      <c r="H11" s="69" t="s">
        <v>239</v>
      </c>
      <c r="I11" s="69" t="s">
        <v>240</v>
      </c>
    </row>
    <row r="12" customFormat="false" ht="15" hidden="false" customHeight="false" outlineLevel="0" collapsed="false">
      <c r="A12" s="0" t="s">
        <v>58</v>
      </c>
      <c r="B12" s="0" t="s">
        <v>241</v>
      </c>
      <c r="C12" s="61" t="n">
        <f aca="false">Inputs!C26</f>
        <v>22191</v>
      </c>
      <c r="D12" s="61" t="n">
        <f aca="false">Inputs!D26</f>
        <v>23210</v>
      </c>
      <c r="E12" s="61" t="n">
        <f aca="false">Inputs!E26</f>
        <v>24336</v>
      </c>
      <c r="F12" s="61" t="n">
        <f aca="false">Inputs!F26</f>
        <v>25294</v>
      </c>
      <c r="G12" s="61" t="n">
        <f aca="false">Inputs!G26</f>
        <v>26146</v>
      </c>
      <c r="H12" s="61" t="n">
        <f aca="false">Inputs!H26</f>
        <v>26923</v>
      </c>
      <c r="I12" s="56" t="n">
        <f aca="false">IF(C12=0,"",H12/C12-1)</f>
        <v>0.213239601640305</v>
      </c>
    </row>
    <row r="13" customFormat="false" ht="15" hidden="false" customHeight="false" outlineLevel="0" collapsed="false">
      <c r="A13" s="0" t="s">
        <v>58</v>
      </c>
      <c r="B13" s="0" t="s">
        <v>242</v>
      </c>
      <c r="C13" s="61" t="n">
        <f aca="false">Inputs!C27</f>
        <v>877</v>
      </c>
      <c r="D13" s="61" t="n">
        <f aca="false">Inputs!D27</f>
        <v>963</v>
      </c>
      <c r="E13" s="61" t="n">
        <f aca="false">Inputs!E27</f>
        <v>1055</v>
      </c>
      <c r="F13" s="61" t="n">
        <f aca="false">Inputs!F27</f>
        <v>1141</v>
      </c>
      <c r="G13" s="61" t="n">
        <f aca="false">Inputs!G27</f>
        <v>1218</v>
      </c>
      <c r="H13" s="61" t="n">
        <f aca="false">Inputs!H27</f>
        <v>1286</v>
      </c>
      <c r="I13" s="56" t="n">
        <f aca="false">IF(C13=0,"",H13/C13-1)</f>
        <v>0.46636259977195</v>
      </c>
    </row>
    <row r="14" customFormat="false" ht="15" hidden="false" customHeight="false" outlineLevel="0" collapsed="false">
      <c r="A14" s="0" t="s">
        <v>64</v>
      </c>
      <c r="B14" s="0" t="s">
        <v>243</v>
      </c>
      <c r="C14" s="61" t="n">
        <f aca="false">Inputs!C29</f>
        <v>6059</v>
      </c>
      <c r="D14" s="61" t="n">
        <f aca="false">Inputs!D29</f>
        <v>6101</v>
      </c>
      <c r="E14" s="61" t="n">
        <f aca="false">Inputs!E29</f>
        <v>6064</v>
      </c>
      <c r="F14" s="61" t="n">
        <f aca="false">Inputs!F29</f>
        <v>6093</v>
      </c>
      <c r="G14" s="61" t="n">
        <f aca="false">Inputs!G29</f>
        <v>6110</v>
      </c>
      <c r="H14" s="61" t="n">
        <f aca="false">Inputs!H29</f>
        <v>6124</v>
      </c>
      <c r="I14" s="56" t="n">
        <f aca="false">IF(C14=0,"",H14/C14-1)</f>
        <v>0.0107278428783628</v>
      </c>
    </row>
    <row r="15" customFormat="false" ht="15" hidden="false" customHeight="false" outlineLevel="0" collapsed="false">
      <c r="A15" s="0" t="s">
        <v>64</v>
      </c>
      <c r="B15" s="0" t="s">
        <v>244</v>
      </c>
      <c r="C15" s="61" t="n">
        <f aca="false">Inputs!C30</f>
        <v>4277</v>
      </c>
      <c r="D15" s="61" t="n">
        <f aca="false">Inputs!D30</f>
        <v>4659</v>
      </c>
      <c r="E15" s="61" t="n">
        <f aca="false">Inputs!E30</f>
        <v>4908</v>
      </c>
      <c r="F15" s="61" t="n">
        <f aca="false">Inputs!F30</f>
        <v>5187</v>
      </c>
      <c r="G15" s="61" t="n">
        <f aca="false">Inputs!G30</f>
        <v>5471</v>
      </c>
      <c r="H15" s="61" t="n">
        <f aca="false">Inputs!H30</f>
        <v>5758</v>
      </c>
      <c r="I15" s="56" t="n">
        <f aca="false">IF(C15=0,"",H15/C15-1)</f>
        <v>0.34627075052607</v>
      </c>
    </row>
    <row r="16" customFormat="false" ht="15" hidden="false" customHeight="false" outlineLevel="0" collapsed="false">
      <c r="A16" s="0" t="s">
        <v>67</v>
      </c>
      <c r="B16" s="0" t="s">
        <v>245</v>
      </c>
      <c r="C16" s="61" t="n">
        <f aca="false">IUK!D9</f>
        <v>47783</v>
      </c>
      <c r="D16" s="61" t="n">
        <f aca="false">IUK!E9</f>
        <v>49280</v>
      </c>
      <c r="E16" s="61" t="n">
        <f aca="false">IUK!F9</f>
        <v>50202</v>
      </c>
      <c r="F16" s="61" t="n">
        <f aca="false">IUK!G9</f>
        <v>51096</v>
      </c>
      <c r="G16" s="61" t="n">
        <f aca="false">IUK!H9</f>
        <v>51963</v>
      </c>
      <c r="H16" s="61" t="n">
        <f aca="false">IUK!I9</f>
        <v>52804</v>
      </c>
      <c r="I16" s="56" t="n">
        <f aca="false">IF(C16=0,"",H16/C16-1)</f>
        <v>0.105079212272147</v>
      </c>
    </row>
    <row r="17" customFormat="false" ht="15" hidden="false" customHeight="false" outlineLevel="0" collapsed="false">
      <c r="A17" s="0" t="s">
        <v>69</v>
      </c>
      <c r="B17" s="0" t="s">
        <v>245</v>
      </c>
      <c r="C17" s="61" t="n">
        <f aca="false">UMI!D9</f>
        <v>18542</v>
      </c>
      <c r="D17" s="61" t="n">
        <f aca="false">UMI!E9</f>
        <v>18886</v>
      </c>
      <c r="E17" s="61" t="n">
        <f aca="false">UMI!F9</f>
        <v>19319</v>
      </c>
      <c r="F17" s="61" t="n">
        <f aca="false">UMI!G9</f>
        <v>19669</v>
      </c>
      <c r="G17" s="61" t="n">
        <f aca="false">UMI!H9</f>
        <v>20009</v>
      </c>
      <c r="H17" s="61" t="n">
        <f aca="false">UMI!I9</f>
        <v>20339</v>
      </c>
      <c r="I17" s="56" t="n">
        <f aca="false">IF(C17=0,"",H17/C17-1)</f>
        <v>0.0969151116384424</v>
      </c>
    </row>
    <row r="18" customFormat="false" ht="15" hidden="false" customHeight="false" outlineLevel="0" collapsed="false">
      <c r="A18" s="0" t="s">
        <v>70</v>
      </c>
      <c r="B18" s="0" t="s">
        <v>245</v>
      </c>
      <c r="C18" s="61" t="n">
        <f aca="false">NORWAY!D9</f>
        <v>7929</v>
      </c>
      <c r="D18" s="61" t="n">
        <f aca="false">NORWAY!E9</f>
        <v>8111</v>
      </c>
      <c r="E18" s="61" t="n">
        <f aca="false">NORWAY!F9</f>
        <v>8218</v>
      </c>
      <c r="F18" s="61" t="n">
        <f aca="false">NORWAY!G9</f>
        <v>8426</v>
      </c>
      <c r="G18" s="61" t="n">
        <f aca="false">NORWAY!H9</f>
        <v>8628</v>
      </c>
      <c r="H18" s="61" t="n">
        <f aca="false">NORWAY!I9</f>
        <v>8824</v>
      </c>
      <c r="I18" s="56" t="n">
        <f aca="false">IF(C18=0,"",H18/C18-1)</f>
        <v>0.112876781435238</v>
      </c>
    </row>
    <row r="19" customFormat="false" ht="15" hidden="false" customHeight="false" outlineLevel="0" collapsed="false">
      <c r="A19" s="0" t="s">
        <v>71</v>
      </c>
      <c r="B19" s="0" t="s">
        <v>245</v>
      </c>
      <c r="C19" s="61" t="n">
        <f aca="false">SWEDEN!D9</f>
        <v>8443</v>
      </c>
      <c r="D19" s="61" t="n">
        <f aca="false">SWEDEN!E9</f>
        <v>9090</v>
      </c>
      <c r="E19" s="61" t="n">
        <f aca="false">SWEDEN!F9</f>
        <v>9737</v>
      </c>
      <c r="F19" s="61" t="n">
        <f aca="false">SWEDEN!G9</f>
        <v>10320</v>
      </c>
      <c r="G19" s="61" t="n">
        <f aca="false">SWEDEN!H9</f>
        <v>10885</v>
      </c>
      <c r="H19" s="61" t="n">
        <f aca="false">SWEDEN!I9</f>
        <v>11433</v>
      </c>
      <c r="I19" s="56" t="n">
        <f aca="false">IF(C19=0,"",H19/C19-1)</f>
        <v>0.354139523865924</v>
      </c>
    </row>
    <row r="20" customFormat="false" ht="15" hidden="false" customHeight="false" outlineLevel="0" collapsed="false">
      <c r="A20" s="0" t="s">
        <v>72</v>
      </c>
      <c r="B20" s="0" t="s">
        <v>245</v>
      </c>
      <c r="C20" s="61" t="n">
        <f aca="false">HUNGARY!D9</f>
        <v>3734</v>
      </c>
      <c r="D20" s="61" t="n">
        <f aca="false">HUNGARY!E9</f>
        <v>3992</v>
      </c>
      <c r="E20" s="61" t="n">
        <f aca="false">HUNGARY!F9</f>
        <v>4242</v>
      </c>
      <c r="F20" s="61" t="n">
        <f aca="false">HUNGARY!G9</f>
        <v>4390</v>
      </c>
      <c r="G20" s="61" t="n">
        <f aca="false">HUNGARY!H9</f>
        <v>4533</v>
      </c>
      <c r="H20" s="61" t="n">
        <f aca="false">HUNGARY!I9</f>
        <v>4672</v>
      </c>
      <c r="I20" s="56" t="n">
        <f aca="false">IF(C20=0,"",H20/C20-1)</f>
        <v>0.251205141938939</v>
      </c>
    </row>
    <row r="21" customFormat="false" ht="15" hidden="false" customHeight="false" outlineLevel="0" collapsed="false">
      <c r="A21" s="0" t="s">
        <v>73</v>
      </c>
      <c r="B21" s="0" t="s">
        <v>245</v>
      </c>
      <c r="C21" s="61" t="n">
        <f aca="false">FINLAND!D9</f>
        <v>1204</v>
      </c>
      <c r="D21" s="61" t="n">
        <f aca="false">FINLAND!E9</f>
        <v>1308</v>
      </c>
      <c r="E21" s="61" t="n">
        <f aca="false">FINLAND!F9</f>
        <v>1409</v>
      </c>
      <c r="F21" s="61" t="n">
        <f aca="false">FINLAND!G9</f>
        <v>1522</v>
      </c>
      <c r="G21" s="61" t="n">
        <f aca="false">FINLAND!H9</f>
        <v>1631</v>
      </c>
      <c r="H21" s="61" t="n">
        <f aca="false">FINLAND!I9</f>
        <v>1737</v>
      </c>
      <c r="I21" s="56" t="n">
        <f aca="false">IF(C21=0,"",H21/C21-1)</f>
        <v>0.442691029900332</v>
      </c>
    </row>
    <row r="22" customFormat="false" ht="15" hidden="false" customHeight="false" outlineLevel="0" collapsed="false">
      <c r="A22" s="0" t="s">
        <v>74</v>
      </c>
      <c r="B22" s="0" t="s">
        <v>245</v>
      </c>
      <c r="C22" s="61" t="n">
        <f aca="false">ROMANIA!D9</f>
        <v>1071</v>
      </c>
      <c r="D22" s="61" t="n">
        <f aca="false">ROMANIA!E9</f>
        <v>1209</v>
      </c>
      <c r="E22" s="61" t="n">
        <f aca="false">ROMANIA!F9</f>
        <v>1343</v>
      </c>
      <c r="F22" s="61" t="n">
        <f aca="false">ROMANIA!G9</f>
        <v>1475</v>
      </c>
      <c r="G22" s="61" t="n">
        <f aca="false">ROMANIA!H9</f>
        <v>1603</v>
      </c>
      <c r="H22" s="61" t="n">
        <f aca="false">ROMANIA!I9</f>
        <v>1727</v>
      </c>
      <c r="I22" s="56" t="n">
        <f aca="false">IF(C22=0,"",H22/C22-1)</f>
        <v>0.612511671335201</v>
      </c>
    </row>
    <row r="23" customFormat="false" ht="15" hidden="false" customHeight="false" outlineLevel="0" collapsed="false">
      <c r="A23" s="0" t="s">
        <v>75</v>
      </c>
      <c r="B23" s="0" t="s">
        <v>245</v>
      </c>
      <c r="C23" s="61" t="n">
        <f aca="false">DENMARK!D9</f>
        <v>850</v>
      </c>
      <c r="D23" s="61" t="n">
        <f aca="false">DENMARK!E9</f>
        <v>944</v>
      </c>
      <c r="E23" s="61" t="n">
        <f aca="false">DENMARK!F9</f>
        <v>1036</v>
      </c>
      <c r="F23" s="61" t="n">
        <f aca="false">DENMARK!G9</f>
        <v>1140</v>
      </c>
      <c r="G23" s="61" t="n">
        <f aca="false">DENMARK!H9</f>
        <v>1241</v>
      </c>
      <c r="H23" s="61" t="n">
        <f aca="false">DENMARK!I9</f>
        <v>1339</v>
      </c>
      <c r="I23" s="56" t="n">
        <f aca="false">IF(C23=0,"",H23/C23-1)</f>
        <v>0.575294117647059</v>
      </c>
    </row>
    <row r="24" customFormat="false" ht="15" hidden="false" customHeight="false" outlineLevel="0" collapsed="false">
      <c r="A24" s="0" t="s">
        <v>76</v>
      </c>
      <c r="B24" s="0" t="s">
        <v>245</v>
      </c>
      <c r="C24" s="61" t="n">
        <f aca="false">ICELAND!D9</f>
        <v>406</v>
      </c>
      <c r="D24" s="61" t="n">
        <f aca="false">ICELAND!E9</f>
        <v>439</v>
      </c>
      <c r="E24" s="61" t="n">
        <f aca="false">ICELAND!F9</f>
        <v>471</v>
      </c>
      <c r="F24" s="61" t="n">
        <f aca="false">ICELAND!G9</f>
        <v>549</v>
      </c>
      <c r="G24" s="61" t="n">
        <f aca="false">ICELAND!H9</f>
        <v>625</v>
      </c>
      <c r="H24" s="61" t="n">
        <f aca="false">ICELAND!I9</f>
        <v>698</v>
      </c>
      <c r="I24" s="56" t="n">
        <f aca="false">IF(C24=0,"",H24/C24-1)</f>
        <v>0.719211822660099</v>
      </c>
    </row>
    <row r="25" customFormat="false" ht="15" hidden="false" customHeight="false" outlineLevel="0" collapsed="false">
      <c r="A25" s="0" t="s">
        <v>77</v>
      </c>
      <c r="B25" s="0" t="s">
        <v>243</v>
      </c>
      <c r="C25" s="61" t="n">
        <f aca="false">GERMANY!D9</f>
        <v>697</v>
      </c>
      <c r="D25" s="61" t="n">
        <f aca="false">GERMANY!E9</f>
        <v>1066</v>
      </c>
      <c r="E25" s="61" t="n">
        <f aca="false">GERMANY!F9</f>
        <v>1422</v>
      </c>
      <c r="F25" s="61" t="n">
        <f aca="false">GERMANY!G9</f>
        <v>2003</v>
      </c>
      <c r="G25" s="61" t="n">
        <f aca="false">GERMANY!H9</f>
        <v>2841</v>
      </c>
      <c r="H25" s="61" t="n">
        <f aca="false">GERMANY!I9</f>
        <v>3756</v>
      </c>
      <c r="I25" s="56" t="n">
        <f aca="false">IF(C25=0,"",H25/C25-1)</f>
        <v>4.38880918220947</v>
      </c>
    </row>
    <row r="26" customFormat="false" ht="15" hidden="false" customHeight="false" outlineLevel="0" collapsed="false">
      <c r="A26" s="0" t="s">
        <v>77</v>
      </c>
      <c r="B26" s="0" t="s">
        <v>244</v>
      </c>
      <c r="C26" s="61" t="n">
        <f aca="false">GERMANY!D10</f>
        <v>35</v>
      </c>
      <c r="D26" s="61" t="n">
        <f aca="false">GERMANY!E10</f>
        <v>34</v>
      </c>
      <c r="E26" s="61" t="n">
        <f aca="false">GERMANY!F10</f>
        <v>33</v>
      </c>
      <c r="F26" s="61" t="n">
        <f aca="false">GERMANY!G10</f>
        <v>32</v>
      </c>
      <c r="G26" s="61" t="n">
        <f aca="false">GERMANY!H10</f>
        <v>31</v>
      </c>
      <c r="H26" s="61" t="n">
        <f aca="false">GERMANY!I10</f>
        <v>30</v>
      </c>
      <c r="I26" s="56" t="n">
        <f aca="false">IF(C26=0,"",H26/C26-1)</f>
        <v>-0.142857142857143</v>
      </c>
    </row>
    <row r="27" customFormat="false" ht="15" hidden="false" customHeight="false" outlineLevel="0" collapsed="false">
      <c r="A27" s="0" t="s">
        <v>77</v>
      </c>
      <c r="B27" s="0" t="s">
        <v>245</v>
      </c>
      <c r="C27" s="61" t="n">
        <f aca="false">GERMANY!D12</f>
        <v>13048</v>
      </c>
      <c r="D27" s="61" t="n">
        <f aca="false">GERMANY!E12</f>
        <v>13657</v>
      </c>
      <c r="E27" s="61" t="n">
        <f aca="false">GERMANY!F12</f>
        <v>14247</v>
      </c>
      <c r="F27" s="61" t="n">
        <f aca="false">GERMANY!G12</f>
        <v>14820</v>
      </c>
      <c r="G27" s="61" t="n">
        <f aca="false">GERMANY!H12</f>
        <v>15375</v>
      </c>
      <c r="H27" s="61" t="n">
        <f aca="false">GERMANY!I12</f>
        <v>15914</v>
      </c>
      <c r="I27" s="56" t="n">
        <f aca="false">IF(C27=0,"",H27/C27-1)</f>
        <v>0.219650521152667</v>
      </c>
    </row>
    <row r="28" customFormat="false" ht="15" hidden="false" customHeight="false" outlineLevel="0" collapsed="false">
      <c r="A28" s="0" t="s">
        <v>81</v>
      </c>
      <c r="B28" s="0" t="s">
        <v>243</v>
      </c>
      <c r="C28" s="61" t="n">
        <f aca="false">BELGIUM!D9</f>
        <v>113</v>
      </c>
      <c r="D28" s="61" t="n">
        <f aca="false">BELGIUM!E9</f>
        <v>145</v>
      </c>
      <c r="E28" s="61" t="n">
        <f aca="false">BELGIUM!F9</f>
        <v>176</v>
      </c>
      <c r="F28" s="61" t="n">
        <f aca="false">BELGIUM!G9</f>
        <v>206</v>
      </c>
      <c r="G28" s="61" t="n">
        <f aca="false">BELGIUM!H9</f>
        <v>235</v>
      </c>
      <c r="H28" s="61" t="n">
        <f aca="false">BELGIUM!I9</f>
        <v>263</v>
      </c>
      <c r="I28" s="56" t="n">
        <f aca="false">IF(C28=0,"",H28/C28-1)</f>
        <v>1.32743362831858</v>
      </c>
    </row>
    <row r="29" customFormat="false" ht="15" hidden="false" customHeight="false" outlineLevel="0" collapsed="false">
      <c r="A29" s="0" t="s">
        <v>81</v>
      </c>
      <c r="B29" s="0" t="s">
        <v>245</v>
      </c>
      <c r="C29" s="61" t="n">
        <f aca="false">BELGIUM!D12</f>
        <v>9452</v>
      </c>
      <c r="D29" s="61" t="n">
        <f aca="false">BELGIUM!E12</f>
        <v>10008</v>
      </c>
      <c r="E29" s="61" t="n">
        <f aca="false">BELGIUM!F12</f>
        <v>10548</v>
      </c>
      <c r="F29" s="61" t="n">
        <f aca="false">BELGIUM!G12</f>
        <v>11072</v>
      </c>
      <c r="G29" s="61" t="n">
        <f aca="false">BELGIUM!H12</f>
        <v>11580</v>
      </c>
      <c r="H29" s="61" t="n">
        <f aca="false">BELGIUM!I12</f>
        <v>12073</v>
      </c>
      <c r="I29" s="56" t="n">
        <f aca="false">IF(C29=0,"",H29/C29-1)</f>
        <v>0.277295810410495</v>
      </c>
    </row>
    <row r="30" customFormat="false" ht="15" hidden="false" customHeight="false" outlineLevel="0" collapsed="false">
      <c r="A30" s="0" t="s">
        <v>82</v>
      </c>
      <c r="B30" s="0" t="s">
        <v>243</v>
      </c>
      <c r="C30" s="61" t="n">
        <f aca="false">PORTUGAL!D9</f>
        <v>2206</v>
      </c>
      <c r="D30" s="61" t="n">
        <f aca="false">PORTUGAL!E9</f>
        <v>2596</v>
      </c>
      <c r="E30" s="61" t="n">
        <f aca="false">PORTUGAL!F9</f>
        <v>2974</v>
      </c>
      <c r="F30" s="61" t="n">
        <f aca="false">PORTUGAL!G9</f>
        <v>3341</v>
      </c>
      <c r="G30" s="61" t="n">
        <f aca="false">PORTUGAL!H9</f>
        <v>3697</v>
      </c>
      <c r="H30" s="61" t="n">
        <f aca="false">PORTUGAL!I9</f>
        <v>4042</v>
      </c>
      <c r="I30" s="56" t="n">
        <f aca="false">IF(C30=0,"",H30/C30-1)</f>
        <v>0.832275611967362</v>
      </c>
    </row>
    <row r="31" customFormat="false" ht="15" hidden="false" customHeight="false" outlineLevel="0" collapsed="false">
      <c r="A31" s="0" t="s">
        <v>82</v>
      </c>
      <c r="B31" s="0" t="s">
        <v>244</v>
      </c>
      <c r="C31" s="61" t="n">
        <f aca="false">PORTUGAL!D10</f>
        <v>0</v>
      </c>
      <c r="D31" s="61" t="n">
        <f aca="false">PORTUGAL!E10</f>
        <v>96</v>
      </c>
      <c r="E31" s="61" t="n">
        <f aca="false">PORTUGAL!F10</f>
        <v>201</v>
      </c>
      <c r="F31" s="61" t="n">
        <f aca="false">PORTUGAL!G10</f>
        <v>303</v>
      </c>
      <c r="G31" s="61" t="n">
        <f aca="false">PORTUGAL!H10</f>
        <v>402</v>
      </c>
      <c r="H31" s="61" t="n">
        <f aca="false">PORTUGAL!I10</f>
        <v>498</v>
      </c>
      <c r="I31" s="56" t="str">
        <f aca="false">IF(C31=0,"",H31/C31-1)</f>
        <v/>
      </c>
    </row>
    <row r="32" customFormat="false" ht="15" hidden="false" customHeight="false" outlineLevel="0" collapsed="false">
      <c r="A32" s="0" t="s">
        <v>82</v>
      </c>
      <c r="B32" s="0" t="s">
        <v>242</v>
      </c>
      <c r="C32" s="61" t="n">
        <f aca="false">PORTUGAL!D11</f>
        <v>269</v>
      </c>
      <c r="D32" s="61" t="n">
        <f aca="false">PORTUGAL!E11</f>
        <v>261</v>
      </c>
      <c r="E32" s="61" t="n">
        <f aca="false">PORTUGAL!F11</f>
        <v>253</v>
      </c>
      <c r="F32" s="61" t="n">
        <f aca="false">PORTUGAL!G11</f>
        <v>245</v>
      </c>
      <c r="G32" s="61" t="n">
        <f aca="false">PORTUGAL!H11</f>
        <v>238</v>
      </c>
      <c r="H32" s="61" t="n">
        <f aca="false">PORTUGAL!I11</f>
        <v>231</v>
      </c>
      <c r="I32" s="56" t="n">
        <f aca="false">IF(C32=0,"",H32/C32-1)</f>
        <v>-0.141263940520446</v>
      </c>
    </row>
    <row r="33" customFormat="false" ht="15" hidden="false" customHeight="false" outlineLevel="0" collapsed="false">
      <c r="A33" s="0" t="s">
        <v>82</v>
      </c>
      <c r="B33" s="0" t="s">
        <v>245</v>
      </c>
      <c r="C33" s="61" t="n">
        <f aca="false">PORTUGAL!D12</f>
        <v>4733</v>
      </c>
      <c r="D33" s="61" t="n">
        <f aca="false">PORTUGAL!E12</f>
        <v>5491</v>
      </c>
      <c r="E33" s="61" t="n">
        <f aca="false">PORTUGAL!F12</f>
        <v>6226</v>
      </c>
      <c r="F33" s="61" t="n">
        <f aca="false">PORTUGAL!G12</f>
        <v>6879</v>
      </c>
      <c r="G33" s="61" t="n">
        <f aca="false">PORTUGAL!H12</f>
        <v>7513</v>
      </c>
      <c r="H33" s="61" t="n">
        <f aca="false">PORTUGAL!I12</f>
        <v>8128</v>
      </c>
      <c r="I33" s="56" t="n">
        <f aca="false">IF(C33=0,"",H33/C33-1)</f>
        <v>0.717304035495457</v>
      </c>
    </row>
    <row r="34" customFormat="false" ht="15" hidden="false" customHeight="false" outlineLevel="0" collapsed="false">
      <c r="A34" s="0" t="s">
        <v>85</v>
      </c>
      <c r="B34" s="0" t="s">
        <v>243</v>
      </c>
      <c r="C34" s="61" t="n">
        <f aca="false">IRELAND!D9</f>
        <v>731</v>
      </c>
      <c r="D34" s="61" t="n">
        <f aca="false">IRELAND!E9</f>
        <v>925</v>
      </c>
      <c r="E34" s="61" t="n">
        <f aca="false">IRELAND!F9</f>
        <v>1113</v>
      </c>
      <c r="F34" s="61" t="n">
        <f aca="false">IRELAND!G9</f>
        <v>1296</v>
      </c>
      <c r="G34" s="61" t="n">
        <f aca="false">IRELAND!H9</f>
        <v>1473</v>
      </c>
      <c r="H34" s="61" t="n">
        <f aca="false">IRELAND!I9</f>
        <v>1645</v>
      </c>
      <c r="I34" s="56" t="n">
        <f aca="false">IF(C34=0,"",H34/C34-1)</f>
        <v>1.25034199726402</v>
      </c>
    </row>
    <row r="35" customFormat="false" ht="15" hidden="false" customHeight="false" outlineLevel="0" collapsed="false">
      <c r="A35" s="0" t="s">
        <v>85</v>
      </c>
      <c r="B35" s="0" t="s">
        <v>244</v>
      </c>
      <c r="C35" s="61" t="n">
        <f aca="false">IRELAND!D10</f>
        <v>0</v>
      </c>
      <c r="D35" s="61" t="n">
        <f aca="false">IRELAND!E10</f>
        <v>36</v>
      </c>
      <c r="E35" s="61" t="n">
        <f aca="false">IRELAND!F10</f>
        <v>71</v>
      </c>
      <c r="F35" s="61" t="n">
        <f aca="false">IRELAND!G10</f>
        <v>105</v>
      </c>
      <c r="G35" s="61" t="n">
        <f aca="false">IRELAND!H10</f>
        <v>138</v>
      </c>
      <c r="H35" s="61" t="n">
        <f aca="false">IRELAND!I10</f>
        <v>170</v>
      </c>
      <c r="I35" s="56" t="str">
        <f aca="false">IF(C35=0,"",H35/C35-1)</f>
        <v/>
      </c>
    </row>
    <row r="36" customFormat="false" ht="15" hidden="false" customHeight="false" outlineLevel="0" collapsed="false">
      <c r="A36" s="0" t="s">
        <v>85</v>
      </c>
      <c r="B36" s="0" t="s">
        <v>242</v>
      </c>
      <c r="C36" s="61" t="n">
        <f aca="false">IRELAND!D11</f>
        <v>92</v>
      </c>
      <c r="D36" s="61" t="n">
        <f aca="false">IRELAND!E11</f>
        <v>89</v>
      </c>
      <c r="E36" s="61" t="n">
        <f aca="false">IRELAND!F11</f>
        <v>86</v>
      </c>
      <c r="F36" s="61" t="n">
        <f aca="false">IRELAND!G11</f>
        <v>83</v>
      </c>
      <c r="G36" s="61" t="n">
        <f aca="false">IRELAND!H11</f>
        <v>81</v>
      </c>
      <c r="H36" s="61" t="n">
        <f aca="false">IRELAND!I11</f>
        <v>79</v>
      </c>
      <c r="I36" s="56" t="n">
        <f aca="false">IF(C36=0,"",H36/C36-1)</f>
        <v>-0.141304347826087</v>
      </c>
    </row>
    <row r="37" customFormat="false" ht="15" hidden="false" customHeight="false" outlineLevel="0" collapsed="false">
      <c r="A37" s="0" t="s">
        <v>85</v>
      </c>
      <c r="B37" s="0" t="s">
        <v>245</v>
      </c>
      <c r="C37" s="61" t="n">
        <f aca="false">IRELAND!D12</f>
        <v>1338</v>
      </c>
      <c r="D37" s="61" t="n">
        <f aca="false">IRELAND!E12</f>
        <v>1728</v>
      </c>
      <c r="E37" s="61" t="n">
        <f aca="false">IRELAND!F12</f>
        <v>2106</v>
      </c>
      <c r="F37" s="61" t="n">
        <f aca="false">IRELAND!G12</f>
        <v>2473</v>
      </c>
      <c r="G37" s="61" t="n">
        <f aca="false">IRELAND!H12</f>
        <v>2829</v>
      </c>
      <c r="H37" s="61" t="n">
        <f aca="false">IRELAND!I12</f>
        <v>3174</v>
      </c>
      <c r="I37" s="56" t="n">
        <f aca="false">IF(C37=0,"",H37/C37-1)</f>
        <v>1.37219730941704</v>
      </c>
    </row>
    <row r="38" customFormat="false" ht="15" hidden="false" customHeight="false" outlineLevel="0" collapsed="false">
      <c r="A38" s="0" t="s">
        <v>86</v>
      </c>
      <c r="B38" s="0" t="s">
        <v>243</v>
      </c>
      <c r="C38" s="61" t="n">
        <f aca="false">GREECE!D9</f>
        <v>37</v>
      </c>
      <c r="D38" s="61" t="n">
        <f aca="false">GREECE!E9</f>
        <v>56</v>
      </c>
      <c r="E38" s="61" t="n">
        <f aca="false">GREECE!F9</f>
        <v>74</v>
      </c>
      <c r="F38" s="61" t="n">
        <f aca="false">GREECE!G9</f>
        <v>92</v>
      </c>
      <c r="G38" s="61" t="n">
        <f aca="false">GREECE!H9</f>
        <v>109</v>
      </c>
      <c r="H38" s="61" t="n">
        <f aca="false">GREECE!I9</f>
        <v>126</v>
      </c>
      <c r="I38" s="56" t="n">
        <f aca="false">IF(C38=0,"",H38/C38-1)</f>
        <v>2.40540540540541</v>
      </c>
    </row>
    <row r="39" customFormat="false" ht="15" hidden="false" customHeight="false" outlineLevel="0" collapsed="false">
      <c r="A39" s="0" t="s">
        <v>86</v>
      </c>
      <c r="B39" s="0" t="s">
        <v>244</v>
      </c>
      <c r="C39" s="61" t="n">
        <f aca="false">GREECE!D10</f>
        <v>0</v>
      </c>
      <c r="D39" s="61" t="n">
        <f aca="false">GREECE!E10</f>
        <v>5</v>
      </c>
      <c r="E39" s="61" t="n">
        <f aca="false">GREECE!F10</f>
        <v>10</v>
      </c>
      <c r="F39" s="61" t="n">
        <f aca="false">GREECE!G10</f>
        <v>15</v>
      </c>
      <c r="G39" s="61" t="n">
        <f aca="false">GREECE!H10</f>
        <v>20</v>
      </c>
      <c r="H39" s="61" t="n">
        <f aca="false">GREECE!I10</f>
        <v>24</v>
      </c>
      <c r="I39" s="56" t="str">
        <f aca="false">IF(C39=0,"",H39/C39-1)</f>
        <v/>
      </c>
    </row>
    <row r="40" customFormat="false" ht="15" hidden="false" customHeight="false" outlineLevel="0" collapsed="false">
      <c r="A40" s="0" t="s">
        <v>86</v>
      </c>
      <c r="B40" s="0" t="s">
        <v>245</v>
      </c>
      <c r="C40" s="61" t="n">
        <f aca="false">GREECE!D12</f>
        <v>3705</v>
      </c>
      <c r="D40" s="61" t="n">
        <f aca="false">GREECE!E12</f>
        <v>4224</v>
      </c>
      <c r="E40" s="61" t="n">
        <f aca="false">GREECE!F12</f>
        <v>4727</v>
      </c>
      <c r="F40" s="61" t="n">
        <f aca="false">GREECE!G12</f>
        <v>5215</v>
      </c>
      <c r="G40" s="61" t="n">
        <f aca="false">GREECE!H12</f>
        <v>5689</v>
      </c>
      <c r="H40" s="61" t="n">
        <f aca="false">GREECE!I12</f>
        <v>6148</v>
      </c>
      <c r="I40" s="56" t="n">
        <f aca="false">IF(C40=0,"",H40/C40-1)</f>
        <v>0.659379217273954</v>
      </c>
    </row>
    <row r="41" customFormat="false" ht="15" hidden="false" customHeight="false" outlineLevel="0" collapsed="false">
      <c r="A41" s="0" t="s">
        <v>88</v>
      </c>
      <c r="B41" s="0" t="s">
        <v>243</v>
      </c>
      <c r="C41" s="61" t="n">
        <f aca="false">CYPRUS!D9</f>
        <v>203</v>
      </c>
      <c r="D41" s="61" t="n">
        <f aca="false">CYPRUS!E9</f>
        <v>227</v>
      </c>
      <c r="E41" s="61" t="n">
        <f aca="false">CYPRUS!F9</f>
        <v>250</v>
      </c>
      <c r="F41" s="61" t="n">
        <f aca="false">CYPRUS!G9</f>
        <v>272</v>
      </c>
      <c r="G41" s="61" t="n">
        <f aca="false">CYPRUS!H9</f>
        <v>294</v>
      </c>
      <c r="H41" s="61" t="n">
        <f aca="false">CYPRUS!I9</f>
        <v>315</v>
      </c>
      <c r="I41" s="56" t="n">
        <f aca="false">IF(C41=0,"",H41/C41-1)</f>
        <v>0.551724137931035</v>
      </c>
    </row>
    <row r="42" customFormat="false" ht="15" hidden="false" customHeight="false" outlineLevel="0" collapsed="false">
      <c r="A42" s="0" t="s">
        <v>88</v>
      </c>
      <c r="B42" s="0" t="s">
        <v>244</v>
      </c>
      <c r="C42" s="61" t="n">
        <f aca="false">CYPRUS!D10</f>
        <v>0</v>
      </c>
      <c r="D42" s="61" t="n">
        <f aca="false">CYPRUS!E10</f>
        <v>5</v>
      </c>
      <c r="E42" s="61" t="n">
        <f aca="false">CYPRUS!F10</f>
        <v>10</v>
      </c>
      <c r="F42" s="61" t="n">
        <f aca="false">CYPRUS!G10</f>
        <v>15</v>
      </c>
      <c r="G42" s="61" t="n">
        <f aca="false">CYPRUS!H10</f>
        <v>20</v>
      </c>
      <c r="H42" s="61" t="n">
        <f aca="false">CYPRUS!I10</f>
        <v>24</v>
      </c>
      <c r="I42" s="56" t="str">
        <f aca="false">IF(C42=0,"",H42/C42-1)</f>
        <v/>
      </c>
    </row>
    <row r="43" customFormat="false" ht="15" hidden="false" customHeight="false" outlineLevel="0" collapsed="false">
      <c r="A43" s="0" t="s">
        <v>88</v>
      </c>
      <c r="B43" s="0" t="s">
        <v>245</v>
      </c>
      <c r="C43" s="61" t="n">
        <f aca="false">CYPRUS!D12</f>
        <v>2105</v>
      </c>
      <c r="D43" s="61" t="n">
        <f aca="false">CYPRUS!E12</f>
        <v>2402</v>
      </c>
      <c r="E43" s="61" t="n">
        <f aca="false">CYPRUS!F12</f>
        <v>2730</v>
      </c>
      <c r="F43" s="61" t="n">
        <f aca="false">CYPRUS!G12</f>
        <v>3008</v>
      </c>
      <c r="G43" s="61" t="n">
        <f aca="false">CYPRUS!H12</f>
        <v>3278</v>
      </c>
      <c r="H43" s="61" t="n">
        <f aca="false">CYPRUS!I12</f>
        <v>3540</v>
      </c>
      <c r="I43" s="56" t="n">
        <f aca="false">IF(C43=0,"",H43/C43-1)</f>
        <v>0.681710213776722</v>
      </c>
    </row>
    <row r="44" customFormat="false" ht="15" hidden="false" customHeight="false" outlineLevel="0" collapsed="false">
      <c r="A44" s="0" t="s">
        <v>89</v>
      </c>
      <c r="B44" s="0" t="s">
        <v>243</v>
      </c>
      <c r="C44" s="61" t="n">
        <f aca="false">MALTA!D9</f>
        <v>243</v>
      </c>
      <c r="D44" s="61" t="n">
        <f aca="false">MALTA!E9</f>
        <v>260</v>
      </c>
      <c r="E44" s="61" t="n">
        <f aca="false">MALTA!F9</f>
        <v>276</v>
      </c>
      <c r="F44" s="61" t="n">
        <f aca="false">MALTA!G9</f>
        <v>292</v>
      </c>
      <c r="G44" s="61" t="n">
        <f aca="false">MALTA!H9</f>
        <v>307</v>
      </c>
      <c r="H44" s="61" t="n">
        <f aca="false">MALTA!I9</f>
        <v>322</v>
      </c>
      <c r="I44" s="56" t="n">
        <f aca="false">IF(C44=0,"",H44/C44-1)</f>
        <v>0.325102880658436</v>
      </c>
    </row>
    <row r="45" customFormat="false" ht="15" hidden="false" customHeight="false" outlineLevel="0" collapsed="false">
      <c r="A45" s="0" t="s">
        <v>89</v>
      </c>
      <c r="B45" s="0" t="s">
        <v>245</v>
      </c>
      <c r="C45" s="61" t="n">
        <f aca="false">MALTA!D12</f>
        <v>797</v>
      </c>
      <c r="D45" s="61" t="n">
        <f aca="false">MALTA!E12</f>
        <v>848</v>
      </c>
      <c r="E45" s="61" t="n">
        <f aca="false">MALTA!F12</f>
        <v>948</v>
      </c>
      <c r="F45" s="61" t="n">
        <f aca="false">MALTA!G12</f>
        <v>1025</v>
      </c>
      <c r="G45" s="61" t="n">
        <f aca="false">MALTA!H12</f>
        <v>1099</v>
      </c>
      <c r="H45" s="61" t="n">
        <f aca="false">MALTA!I12</f>
        <v>1171</v>
      </c>
      <c r="I45" s="56" t="n">
        <f aca="false">IF(C45=0,"",H45/C45-1)</f>
        <v>0.469259723964868</v>
      </c>
    </row>
    <row r="46" customFormat="false" ht="15" hidden="false" customHeight="false" outlineLevel="0" collapsed="false">
      <c r="A46" s="3" t="s">
        <v>246</v>
      </c>
      <c r="C46" s="70" t="n">
        <f aca="false">SUM(C12:C45)</f>
        <v>163170</v>
      </c>
      <c r="D46" s="70" t="n">
        <f aca="false">SUM(D12:D45)</f>
        <v>172351</v>
      </c>
      <c r="E46" s="70" t="n">
        <f aca="false">SUM(E12:E45)</f>
        <v>180821</v>
      </c>
      <c r="F46" s="70" t="n">
        <f aca="false">SUM(F12:F45)</f>
        <v>189094</v>
      </c>
      <c r="G46" s="70" t="n">
        <f aca="false">SUM(G12:G45)</f>
        <v>197312</v>
      </c>
      <c r="H46" s="70" t="n">
        <f aca="false">SUM(H12:H45)</f>
        <v>205337</v>
      </c>
      <c r="I46" s="71" t="n">
        <f aca="false">H46/C46-1</f>
        <v>0.258423729852301</v>
      </c>
    </row>
    <row r="47" customFormat="false" ht="15" hidden="false" customHeight="false" outlineLevel="0" collapsed="false">
      <c r="A47" s="0" t="s">
        <v>247</v>
      </c>
      <c r="C47" s="61" t="n">
        <f aca="false">SUMIF($B$12:$B$45,"Pick-up (D-Max)",C12:C45)</f>
        <v>125140</v>
      </c>
      <c r="D47" s="61" t="n">
        <f aca="false">SUMIF($B$12:$B$45,"Pick-up (D-Max)",D12:D45)</f>
        <v>131617</v>
      </c>
      <c r="E47" s="61" t="n">
        <f aca="false">SUMIF($B$12:$B$45,"Pick-up (D-Max)",E12:E45)</f>
        <v>137509</v>
      </c>
      <c r="F47" s="61" t="n">
        <f aca="false">SUMIF($B$12:$B$45,"Pick-up (D-Max)",F12:F45)</f>
        <v>143079</v>
      </c>
      <c r="G47" s="61" t="n">
        <f aca="false">SUMIF($B$12:$B$45,"Pick-up (D-Max)",G12:G45)</f>
        <v>148481</v>
      </c>
      <c r="H47" s="61" t="n">
        <f aca="false">SUMIF($B$12:$B$45,"Pick-up (D-Max)",H12:H45)</f>
        <v>153721</v>
      </c>
    </row>
    <row r="48" customFormat="false" ht="15" hidden="false" customHeight="false" outlineLevel="0" collapsed="false">
      <c r="A48" s="0" t="s">
        <v>248</v>
      </c>
      <c r="C48" s="61" t="n">
        <f aca="false">C46-C47</f>
        <v>38030</v>
      </c>
      <c r="D48" s="61" t="n">
        <f aca="false">D46-D47</f>
        <v>40734</v>
      </c>
      <c r="E48" s="61" t="n">
        <f aca="false">E46-E47</f>
        <v>43312</v>
      </c>
      <c r="F48" s="61" t="n">
        <f aca="false">F46-F47</f>
        <v>46015</v>
      </c>
      <c r="G48" s="61" t="n">
        <f aca="false">G46-G47</f>
        <v>48831</v>
      </c>
      <c r="H48" s="61" t="n">
        <f aca="false">H46-H47</f>
        <v>51616</v>
      </c>
    </row>
    <row r="50" customFormat="false" ht="15" hidden="false" customHeight="false" outlineLevel="0" collapsed="false">
      <c r="A50" s="3" t="s">
        <v>249</v>
      </c>
    </row>
    <row r="51" customFormat="false" ht="30" hidden="false" customHeight="true" outlineLevel="0" collapsed="false">
      <c r="A51" s="69"/>
      <c r="B51" s="69"/>
      <c r="C51" s="69" t="s">
        <v>234</v>
      </c>
      <c r="D51" s="69" t="s">
        <v>235</v>
      </c>
      <c r="E51" s="69" t="s">
        <v>236</v>
      </c>
      <c r="F51" s="69" t="s">
        <v>237</v>
      </c>
      <c r="G51" s="69" t="s">
        <v>238</v>
      </c>
      <c r="H51" s="69" t="s">
        <v>239</v>
      </c>
      <c r="I51" s="69"/>
    </row>
    <row r="52" customFormat="false" ht="15" hidden="false" customHeight="false" outlineLevel="0" collapsed="false">
      <c r="A52" s="0" t="s">
        <v>250</v>
      </c>
      <c r="C52" s="61" t="n">
        <f aca="false">C47</f>
        <v>125140</v>
      </c>
      <c r="D52" s="61" t="n">
        <f aca="false">D47</f>
        <v>131617</v>
      </c>
      <c r="E52" s="61" t="n">
        <f aca="false">E47</f>
        <v>137509</v>
      </c>
      <c r="F52" s="61" t="n">
        <f aca="false">F47</f>
        <v>143079</v>
      </c>
      <c r="G52" s="61" t="n">
        <f aca="false">G47</f>
        <v>148481</v>
      </c>
      <c r="H52" s="61" t="n">
        <f aca="false">H47</f>
        <v>153721</v>
      </c>
    </row>
    <row r="53" customFormat="false" ht="15" hidden="false" customHeight="false" outlineLevel="0" collapsed="false">
      <c r="A53" s="0" t="s">
        <v>251</v>
      </c>
      <c r="D53" s="61" t="n">
        <f aca="false">C52*Inputs!$B$40</f>
        <v>3754.2</v>
      </c>
      <c r="E53" s="61" t="n">
        <f aca="false">D52*Inputs!$B$40</f>
        <v>3948.51</v>
      </c>
      <c r="F53" s="61" t="n">
        <f aca="false">E52*Inputs!$B$40</f>
        <v>4125.27</v>
      </c>
      <c r="G53" s="61" t="n">
        <f aca="false">F52*Inputs!$B$40</f>
        <v>4292.37</v>
      </c>
      <c r="H53" s="61" t="n">
        <f aca="false">G52*Inputs!$B$40</f>
        <v>4454.43</v>
      </c>
    </row>
    <row r="54" customFormat="false" ht="15" hidden="false" customHeight="false" outlineLevel="0" collapsed="false">
      <c r="A54" s="0" t="s">
        <v>252</v>
      </c>
      <c r="D54" s="61" t="n">
        <f aca="false">D52-C52+D53</f>
        <v>10231.2</v>
      </c>
      <c r="E54" s="61" t="n">
        <f aca="false">E52-D52+E53</f>
        <v>9840.51</v>
      </c>
      <c r="F54" s="61" t="n">
        <f aca="false">F52-E52+F53</f>
        <v>9695.27</v>
      </c>
      <c r="G54" s="61" t="n">
        <f aca="false">G52-F52+G53</f>
        <v>9694.37</v>
      </c>
      <c r="H54" s="61" t="n">
        <f aca="false">H52-G52+H53</f>
        <v>9694.43</v>
      </c>
    </row>
    <row r="55" customFormat="false" ht="15" hidden="false" customHeight="false" outlineLevel="0" collapsed="false">
      <c r="A55" s="6" t="s">
        <v>253</v>
      </c>
    </row>
    <row r="57" customFormat="false" ht="15" hidden="false" customHeight="false" outlineLevel="0" collapsed="false">
      <c r="A57" s="3" t="s">
        <v>254</v>
      </c>
      <c r="C57" s="72" t="n">
        <v>1</v>
      </c>
      <c r="D57" s="72" t="n">
        <f aca="false">C57*(1+Inputs!$B$9)</f>
        <v>1.05</v>
      </c>
      <c r="E57" s="72" t="n">
        <f aca="false">D57*(1+'Dashboard (2)'!$T$1)</f>
        <v>1.0815</v>
      </c>
      <c r="F57" s="72" t="n">
        <f aca="false">E57*(1+'Dashboard (2)'!$T$1)</f>
        <v>1.113945</v>
      </c>
      <c r="G57" s="72" t="n">
        <f aca="false">F57*(1+'Dashboard (2)'!$T$1)</f>
        <v>1.14736335</v>
      </c>
      <c r="H57" s="72" t="n">
        <f aca="false">G57*(1+'Dashboard (2)'!$T$1)</f>
        <v>1.1817842505</v>
      </c>
    </row>
    <row r="59" customFormat="false" ht="15" hidden="false" customHeight="false" outlineLevel="0" collapsed="false">
      <c r="A59" s="3" t="s">
        <v>255</v>
      </c>
    </row>
    <row r="60" customFormat="false" ht="30" hidden="false" customHeight="true" outlineLevel="0" collapsed="false">
      <c r="A60" s="69" t="s">
        <v>233</v>
      </c>
      <c r="B60" s="69"/>
      <c r="C60" s="69" t="s">
        <v>234</v>
      </c>
      <c r="D60" s="69" t="s">
        <v>235</v>
      </c>
      <c r="E60" s="69" t="s">
        <v>236</v>
      </c>
      <c r="F60" s="69" t="s">
        <v>237</v>
      </c>
      <c r="G60" s="69" t="s">
        <v>238</v>
      </c>
      <c r="H60" s="69" t="s">
        <v>239</v>
      </c>
      <c r="I60" s="69"/>
    </row>
    <row r="61" customFormat="false" ht="15" hidden="false" customHeight="false" outlineLevel="0" collapsed="false">
      <c r="A61" s="0" t="s">
        <v>58</v>
      </c>
      <c r="C61" s="61" t="n">
        <f aca="false">'Dashboard (2)'!N9</f>
        <v>11529408</v>
      </c>
      <c r="D61" s="61" t="n">
        <f aca="false">'Dashboard (2)'!X9</f>
        <v>12535797.12</v>
      </c>
      <c r="E61" s="61" t="n">
        <f aca="false">'Dashboard (2)'!AH9</f>
        <v>13579597.7856</v>
      </c>
      <c r="F61" s="61" t="n">
        <f aca="false">'Dashboard (2)'!AR9</f>
        <v>14579697.139392</v>
      </c>
      <c r="G61" s="61" t="n">
        <f aca="false">'Dashboard (2)'!BB9</f>
        <v>15559891.8860986</v>
      </c>
      <c r="H61" s="61" t="n">
        <f aca="false">'Dashboard (2)'!BL9</f>
        <v>16534859.6521061</v>
      </c>
    </row>
    <row r="62" customFormat="false" ht="15" hidden="false" customHeight="false" outlineLevel="0" collapsed="false">
      <c r="A62" s="0" t="s">
        <v>64</v>
      </c>
      <c r="C62" s="61" t="n">
        <f aca="false">'Dashboard (2)'!N10</f>
        <v>7762638.77947955</v>
      </c>
      <c r="D62" s="61" t="n">
        <f aca="false">'Dashboard (2)'!X10</f>
        <v>8485128.96</v>
      </c>
      <c r="E62" s="61" t="n">
        <f aca="false">'Dashboard (2)'!AH10</f>
        <v>8911877.32319643</v>
      </c>
      <c r="F62" s="61" t="n">
        <f aca="false">'Dashboard (2)'!AR10</f>
        <v>9436908.08346933</v>
      </c>
      <c r="G62" s="61" t="n">
        <f aca="false">'Dashboard (2)'!BB10</f>
        <v>9979388.0753633</v>
      </c>
      <c r="H62" s="61" t="n">
        <f aca="false">'Dashboard (2)'!BL10</f>
        <v>10545923.6494958</v>
      </c>
    </row>
    <row r="63" customFormat="false" ht="15" hidden="false" customHeight="false" outlineLevel="0" collapsed="false">
      <c r="A63" s="0" t="s">
        <v>67</v>
      </c>
      <c r="C63" s="61" t="n">
        <f aca="false">'Dashboard (2)'!N11</f>
        <v>11945750</v>
      </c>
      <c r="D63" s="61" t="n">
        <f aca="false">'Dashboard (2)'!X11</f>
        <v>12936000</v>
      </c>
      <c r="E63" s="61" t="n">
        <f aca="false">'Dashboard (2)'!AH11</f>
        <v>13573365.75</v>
      </c>
      <c r="F63" s="61" t="n">
        <f aca="false">'Dashboard (2)'!AR11</f>
        <v>14229533.43</v>
      </c>
      <c r="G63" s="61" t="n">
        <f aca="false">'Dashboard (2)'!BB11</f>
        <v>14905110.4390125</v>
      </c>
      <c r="H63" s="61" t="n">
        <f aca="false">'Dashboard (2)'!BL11</f>
        <v>15600733.8908505</v>
      </c>
    </row>
    <row r="64" customFormat="false" ht="15" hidden="false" customHeight="false" outlineLevel="0" collapsed="false">
      <c r="A64" s="0" t="s">
        <v>69</v>
      </c>
      <c r="C64" s="61" t="n">
        <f aca="false">'Dashboard (2)'!N12</f>
        <v>4635500</v>
      </c>
      <c r="D64" s="61" t="n">
        <f aca="false">'Dashboard (2)'!X12</f>
        <v>4957575</v>
      </c>
      <c r="E64" s="61" t="n">
        <f aca="false">'Dashboard (2)'!AH12</f>
        <v>5223374.625</v>
      </c>
      <c r="F64" s="61" t="n">
        <f aca="false">'Dashboard (2)'!AR12</f>
        <v>5477546.05125</v>
      </c>
      <c r="G64" s="61" t="n">
        <f aca="false">'Dashboard (2)'!BB12</f>
        <v>5739398.3175375</v>
      </c>
      <c r="H64" s="61" t="n">
        <f aca="false">'Dashboard (2)'!BL12</f>
        <v>6009077.46772987</v>
      </c>
    </row>
    <row r="65" customFormat="false" ht="15" hidden="false" customHeight="false" outlineLevel="0" collapsed="false">
      <c r="A65" s="0" t="s">
        <v>70</v>
      </c>
      <c r="C65" s="61" t="n">
        <f aca="false">'Dashboard (2)'!N13</f>
        <v>1982250</v>
      </c>
      <c r="D65" s="61" t="n">
        <f aca="false">'Dashboard (2)'!X13</f>
        <v>2129137.5</v>
      </c>
      <c r="E65" s="61" t="n">
        <f aca="false">'Dashboard (2)'!AH13</f>
        <v>2221941.75</v>
      </c>
      <c r="F65" s="61" t="n">
        <f aca="false">'Dashboard (2)'!AR13</f>
        <v>2346525.1425</v>
      </c>
      <c r="G65" s="61" t="n">
        <f aca="false">'Dashboard (2)'!BB13</f>
        <v>2474862.74595</v>
      </c>
      <c r="H65" s="61" t="n">
        <f aca="false">'Dashboard (2)'!BL13</f>
        <v>2607016.056603</v>
      </c>
    </row>
    <row r="66" customFormat="false" ht="15" hidden="false" customHeight="false" outlineLevel="0" collapsed="false">
      <c r="A66" s="0" t="s">
        <v>71</v>
      </c>
      <c r="C66" s="61" t="n">
        <f aca="false">'Dashboard (2)'!N14</f>
        <v>2110750</v>
      </c>
      <c r="D66" s="61" t="n">
        <f aca="false">'Dashboard (2)'!X14</f>
        <v>2386125</v>
      </c>
      <c r="E66" s="61" t="n">
        <f aca="false">'Dashboard (2)'!AH14</f>
        <v>2632641.375</v>
      </c>
      <c r="F66" s="61" t="n">
        <f aca="false">'Dashboard (2)'!AR14</f>
        <v>2873978.1</v>
      </c>
      <c r="G66" s="61" t="n">
        <f aca="false">'Dashboard (2)'!BB14</f>
        <v>3122262.5161875</v>
      </c>
      <c r="H66" s="61" t="n">
        <f aca="false">'Dashboard (2)'!BL14</f>
        <v>3377834.83399162</v>
      </c>
    </row>
    <row r="67" customFormat="false" ht="15" hidden="false" customHeight="false" outlineLevel="0" collapsed="false">
      <c r="A67" s="0" t="s">
        <v>72</v>
      </c>
      <c r="C67" s="61" t="n">
        <f aca="false">'Dashboard (2)'!N15</f>
        <v>933500</v>
      </c>
      <c r="D67" s="61" t="n">
        <f aca="false">'Dashboard (2)'!X15</f>
        <v>1047900</v>
      </c>
      <c r="E67" s="61" t="n">
        <f aca="false">'Dashboard (2)'!AH15</f>
        <v>1146930.75</v>
      </c>
      <c r="F67" s="61" t="n">
        <f aca="false">'Dashboard (2)'!AR15</f>
        <v>1222554.6375</v>
      </c>
      <c r="G67" s="61" t="n">
        <f aca="false">'Dashboard (2)'!BB15</f>
        <v>1300249.5163875</v>
      </c>
      <c r="H67" s="61" t="n">
        <f aca="false">'Dashboard (2)'!BL15</f>
        <v>1380324.004584</v>
      </c>
    </row>
    <row r="68" customFormat="false" ht="15" hidden="false" customHeight="false" outlineLevel="0" collapsed="false">
      <c r="A68" s="0" t="s">
        <v>73</v>
      </c>
      <c r="C68" s="61" t="n">
        <f aca="false">'Dashboard (2)'!N16</f>
        <v>301000</v>
      </c>
      <c r="D68" s="61" t="n">
        <f aca="false">'Dashboard (2)'!X16</f>
        <v>343350</v>
      </c>
      <c r="E68" s="61" t="n">
        <f aca="false">'Dashboard (2)'!AH16</f>
        <v>380958.375</v>
      </c>
      <c r="F68" s="61" t="n">
        <f aca="false">'Dashboard (2)'!AR16</f>
        <v>423856.0725</v>
      </c>
      <c r="G68" s="61" t="n">
        <f aca="false">'Dashboard (2)'!BB16</f>
        <v>467837.4059625</v>
      </c>
      <c r="H68" s="61" t="n">
        <f aca="false">'Dashboard (2)'!BL16</f>
        <v>513189.810779625</v>
      </c>
    </row>
    <row r="69" customFormat="false" ht="15" hidden="false" customHeight="false" outlineLevel="0" collapsed="false">
      <c r="A69" s="0" t="s">
        <v>74</v>
      </c>
      <c r="C69" s="61" t="n">
        <f aca="false">'Dashboard (2)'!N17</f>
        <v>267750</v>
      </c>
      <c r="D69" s="61" t="n">
        <f aca="false">'Dashboard (2)'!X17</f>
        <v>317362.5</v>
      </c>
      <c r="E69" s="61" t="n">
        <f aca="false">'Dashboard (2)'!AH17</f>
        <v>363113.625</v>
      </c>
      <c r="F69" s="61" t="n">
        <f aca="false">'Dashboard (2)'!AR17</f>
        <v>410767.21875</v>
      </c>
      <c r="G69" s="61" t="n">
        <f aca="false">'Dashboard (2)'!BB17</f>
        <v>459805.8625125</v>
      </c>
      <c r="H69" s="61" t="n">
        <f aca="false">'Dashboard (2)'!BL17</f>
        <v>510235.350153375</v>
      </c>
    </row>
    <row r="70" customFormat="false" ht="15" hidden="false" customHeight="false" outlineLevel="0" collapsed="false">
      <c r="A70" s="0" t="s">
        <v>75</v>
      </c>
      <c r="C70" s="61" t="n">
        <f aca="false">'Dashboard (2)'!N18</f>
        <v>212500</v>
      </c>
      <c r="D70" s="61" t="n">
        <f aca="false">'Dashboard (2)'!X18</f>
        <v>247800</v>
      </c>
      <c r="E70" s="61" t="n">
        <f aca="false">'Dashboard (2)'!AH18</f>
        <v>280108.5</v>
      </c>
      <c r="F70" s="61" t="n">
        <f aca="false">'Dashboard (2)'!AR18</f>
        <v>317474.325</v>
      </c>
      <c r="G70" s="61" t="n">
        <f aca="false">'Dashboard (2)'!BB18</f>
        <v>355969.4793375</v>
      </c>
      <c r="H70" s="61" t="n">
        <f aca="false">'Dashboard (2)'!BL18</f>
        <v>395602.277854875</v>
      </c>
    </row>
    <row r="71" customFormat="false" ht="15" hidden="false" customHeight="false" outlineLevel="0" collapsed="false">
      <c r="A71" s="0" t="s">
        <v>76</v>
      </c>
      <c r="C71" s="61" t="n">
        <f aca="false">'Dashboard (2)'!N19</f>
        <v>101500</v>
      </c>
      <c r="D71" s="61" t="n">
        <f aca="false">'Dashboard (2)'!X19</f>
        <v>115237.5</v>
      </c>
      <c r="E71" s="61" t="n">
        <f aca="false">'Dashboard (2)'!AH19</f>
        <v>127346.625</v>
      </c>
      <c r="F71" s="61" t="n">
        <f aca="false">'Dashboard (2)'!AR19</f>
        <v>152888.95125</v>
      </c>
      <c r="G71" s="61" t="n">
        <f aca="false">'Dashboard (2)'!BB19</f>
        <v>179275.5234375</v>
      </c>
      <c r="H71" s="61" t="n">
        <f aca="false">'Dashboard (2)'!BL19</f>
        <v>206221.35171225</v>
      </c>
    </row>
    <row r="72" customFormat="false" ht="15" hidden="false" customHeight="false" outlineLevel="0" collapsed="false">
      <c r="A72" s="0" t="s">
        <v>77</v>
      </c>
      <c r="C72" s="61" t="n">
        <f aca="false">'Dashboard (2)'!N23</f>
        <v>3808128</v>
      </c>
      <c r="D72" s="61" t="n">
        <f aca="false">'Dashboard (2)'!X23</f>
        <v>4443791.1</v>
      </c>
      <c r="E72" s="61" t="n">
        <f aca="false">'Dashboard (2)'!AH23</f>
        <v>5020192.1385</v>
      </c>
      <c r="F72" s="61" t="n">
        <f aca="false">'Dashboard (2)'!AR23</f>
        <v>5807664.765945</v>
      </c>
      <c r="G72" s="61" t="n">
        <f aca="false">'Dashboard (2)'!BB23</f>
        <v>6850615.1325591</v>
      </c>
      <c r="H72" s="61" t="n">
        <f aca="false">'Dashboard (2)'!BL23</f>
        <v>8013435.5550849</v>
      </c>
    </row>
    <row r="73" customFormat="false" ht="15" hidden="false" customHeight="false" outlineLevel="0" collapsed="false">
      <c r="A73" s="0" t="s">
        <v>81</v>
      </c>
      <c r="C73" s="61" t="n">
        <f aca="false">'Dashboard (2)'!N26</f>
        <v>2446507</v>
      </c>
      <c r="D73" s="61" t="n">
        <f aca="false">'Dashboard (2)'!X26</f>
        <v>2739612.75</v>
      </c>
      <c r="E73" s="61" t="n">
        <f aca="false">'Dashboard (2)'!AH26</f>
        <v>2992579.716</v>
      </c>
      <c r="F73" s="61" t="n">
        <f aca="false">'Dashboard (2)'!AR26</f>
        <v>3252980.06313</v>
      </c>
      <c r="G73" s="61" t="n">
        <f aca="false">'Dashboard (2)'!BB26</f>
        <v>3520873.75442775</v>
      </c>
      <c r="H73" s="61" t="n">
        <f aca="false">'Dashboard (2)'!BL26</f>
        <v>3796608.35564605</v>
      </c>
    </row>
    <row r="74" customFormat="false" ht="15" hidden="false" customHeight="false" outlineLevel="0" collapsed="false">
      <c r="A74" s="0" t="s">
        <v>82</v>
      </c>
      <c r="C74" s="61" t="n">
        <f aca="false">'Dashboard (2)'!N30</f>
        <v>3052087</v>
      </c>
      <c r="D74" s="61" t="n">
        <f aca="false">'Dashboard (2)'!X30</f>
        <v>3788245.65</v>
      </c>
      <c r="E74" s="61" t="n">
        <f aca="false">'Dashboard (2)'!AH30</f>
        <v>4495778.196</v>
      </c>
      <c r="F74" s="61" t="n">
        <f aca="false">'Dashboard (2)'!AR30</f>
        <v>5207497.934625</v>
      </c>
      <c r="G74" s="61" t="n">
        <f aca="false">'Dashboard (2)'!BB30</f>
        <v>5941062.34202355</v>
      </c>
      <c r="H74" s="61" t="n">
        <f aca="false">'Dashboard (2)'!BL30</f>
        <v>6695588.93847208</v>
      </c>
    </row>
    <row r="75" customFormat="false" ht="15" hidden="false" customHeight="false" outlineLevel="0" collapsed="false">
      <c r="A75" s="0" t="s">
        <v>85</v>
      </c>
      <c r="C75" s="61" t="n">
        <f aca="false">'Dashboard (2)'!N34</f>
        <v>956313</v>
      </c>
      <c r="D75" s="61" t="n">
        <f aca="false">'Dashboard (2)'!X34</f>
        <v>1287772.5</v>
      </c>
      <c r="E75" s="61" t="n">
        <f aca="false">'Dashboard (2)'!AH34</f>
        <v>1609559.679</v>
      </c>
      <c r="F75" s="61" t="n">
        <f aca="false">'Dashboard (2)'!AR34</f>
        <v>1941327.64875</v>
      </c>
      <c r="G75" s="61" t="n">
        <f aca="false">'Dashboard (2)'!BB34</f>
        <v>2283310.4346675</v>
      </c>
      <c r="H75" s="61" t="n">
        <f aca="false">'Dashboard (2)'!BL34</f>
        <v>2635400.15073151</v>
      </c>
    </row>
    <row r="76" customFormat="false" ht="15" hidden="false" customHeight="false" outlineLevel="0" collapsed="false">
      <c r="A76" s="0" t="s">
        <v>86</v>
      </c>
      <c r="C76" s="61" t="n">
        <f aca="false">'Dashboard (2)'!N37</f>
        <v>953593</v>
      </c>
      <c r="D76" s="61" t="n">
        <f aca="false">'Dashboard (2)'!X37</f>
        <v>1156909.95</v>
      </c>
      <c r="E76" s="61" t="n">
        <f aca="false">'Dashboard (2)'!AH37</f>
        <v>1346798.439</v>
      </c>
      <c r="F76" s="61" t="n">
        <f aca="false">'Dashboard (2)'!AR37</f>
        <v>1542861.724635</v>
      </c>
      <c r="G76" s="61" t="n">
        <f aca="false">'Dashboard (2)'!BB37</f>
        <v>1744613.01557235</v>
      </c>
      <c r="H76" s="61" t="n">
        <f aca="false">'Dashboard (2)'!BL37</f>
        <v>1951600.8748442</v>
      </c>
    </row>
    <row r="77" customFormat="false" ht="15" hidden="false" customHeight="false" outlineLevel="0" collapsed="false">
      <c r="A77" s="0" t="s">
        <v>88</v>
      </c>
      <c r="C77" s="61" t="n">
        <f aca="false">'Dashboard (2)'!N40</f>
        <v>676267</v>
      </c>
      <c r="D77" s="61" t="n">
        <f aca="false">'Dashboard (2)'!X40</f>
        <v>811322.4</v>
      </c>
      <c r="E77" s="61" t="n">
        <f aca="false">'Dashboard (2)'!AH40</f>
        <v>947523.78</v>
      </c>
      <c r="F77" s="61" t="n">
        <f aca="false">'Dashboard (2)'!AR40</f>
        <v>1076419.534785</v>
      </c>
      <c r="G77" s="61" t="n">
        <f aca="false">'Dashboard (2)'!BB40</f>
        <v>1209901.5367551</v>
      </c>
      <c r="H77" s="61" t="n">
        <f aca="false">'Dashboard (2)'!BL40</f>
        <v>1346138.53156979</v>
      </c>
    </row>
    <row r="78" customFormat="false" ht="15" hidden="false" customHeight="false" outlineLevel="0" collapsed="false">
      <c r="A78" s="0" t="s">
        <v>89</v>
      </c>
      <c r="C78" s="61" t="n">
        <f aca="false">'Dashboard (2)'!N43</f>
        <v>378827</v>
      </c>
      <c r="D78" s="61" t="n">
        <f aca="false">'Dashboard (2)'!X43</f>
        <v>424347</v>
      </c>
      <c r="E78" s="61" t="n">
        <f aca="false">'Dashboard (2)'!AH43</f>
        <v>476902.566</v>
      </c>
      <c r="F78" s="61" t="n">
        <f aca="false">'Dashboard (2)'!AR43</f>
        <v>525824.36991</v>
      </c>
      <c r="G78" s="61" t="n">
        <f aca="false">'Dashboard (2)'!BB43</f>
        <v>575543.84571705</v>
      </c>
      <c r="H78" s="61" t="n">
        <f aca="false">'Dashboard (2)'!BL43</f>
        <v>627182.356014354</v>
      </c>
    </row>
    <row r="79" customFormat="false" ht="15" hidden="false" customHeight="false" outlineLevel="0" collapsed="false">
      <c r="A79" s="3" t="s">
        <v>246</v>
      </c>
      <c r="C79" s="70" t="n">
        <f aca="false">SUM(C61:C78)</f>
        <v>54054268.7794796</v>
      </c>
      <c r="D79" s="70" t="n">
        <f aca="false">SUM(D61:D78)</f>
        <v>60153414.93</v>
      </c>
      <c r="E79" s="70" t="n">
        <f aca="false">SUM(E61:E78)</f>
        <v>65330590.9982964</v>
      </c>
      <c r="F79" s="70" t="n">
        <f aca="false">SUM(F61:F78)</f>
        <v>70826305.1933913</v>
      </c>
      <c r="G79" s="70" t="n">
        <f aca="false">SUM(G61:G78)</f>
        <v>76669971.8295092</v>
      </c>
      <c r="H79" s="70" t="n">
        <f aca="false">SUM(H61:H78)</f>
        <v>82746973.1082239</v>
      </c>
    </row>
    <row r="81" customFormat="false" ht="15" hidden="false" customHeight="false" outlineLevel="0" collapsed="false">
      <c r="A81" s="3" t="s">
        <v>256</v>
      </c>
    </row>
    <row r="82" customFormat="false" ht="30" hidden="false" customHeight="true" outlineLevel="0" collapsed="false">
      <c r="A82" s="69" t="s">
        <v>233</v>
      </c>
      <c r="B82" s="69"/>
      <c r="C82" s="69" t="s">
        <v>234</v>
      </c>
      <c r="D82" s="69" t="s">
        <v>235</v>
      </c>
      <c r="E82" s="69" t="s">
        <v>236</v>
      </c>
      <c r="F82" s="69" t="s">
        <v>237</v>
      </c>
      <c r="G82" s="69" t="s">
        <v>238</v>
      </c>
      <c r="H82" s="69" t="s">
        <v>239</v>
      </c>
      <c r="I82" s="69"/>
    </row>
    <row r="83" customFormat="false" ht="15" hidden="false" customHeight="false" outlineLevel="0" collapsed="false">
      <c r="A83" s="0" t="s">
        <v>58</v>
      </c>
      <c r="D83" s="56" t="n">
        <f aca="false">'Dashboard (2)'!Y9</f>
        <v>0.586340373542995</v>
      </c>
      <c r="E83" s="56" t="n">
        <f aca="false">'Dashboard (2)'!AI9</f>
        <v>0.596340373542995</v>
      </c>
      <c r="F83" s="56" t="n">
        <f aca="false">'Dashboard (2)'!AS9</f>
        <v>0.606340373542995</v>
      </c>
      <c r="G83" s="56" t="n">
        <f aca="false">'Dashboard (2)'!BC9</f>
        <v>0.616340373542995</v>
      </c>
      <c r="H83" s="56" t="n">
        <f aca="false">'Dashboard (2)'!BM9</f>
        <v>0.626340373542995</v>
      </c>
    </row>
    <row r="84" customFormat="false" ht="15" hidden="false" customHeight="false" outlineLevel="0" collapsed="false">
      <c r="A84" s="0" t="s">
        <v>64</v>
      </c>
      <c r="D84" s="56" t="n">
        <f aca="false">'Dashboard (2)'!Y10</f>
        <v>0.383864284792202</v>
      </c>
      <c r="E84" s="56" t="n">
        <f aca="false">'Dashboard (2)'!AI10</f>
        <v>0.393864284792202</v>
      </c>
      <c r="F84" s="56" t="n">
        <f aca="false">'Dashboard (2)'!AS10</f>
        <v>0.403864284792202</v>
      </c>
      <c r="G84" s="56" t="n">
        <f aca="false">'Dashboard (2)'!BC10</f>
        <v>0.413864284792202</v>
      </c>
      <c r="H84" s="56" t="n">
        <f aca="false">'Dashboard (2)'!BM10</f>
        <v>0.423864284792202</v>
      </c>
    </row>
    <row r="85" customFormat="false" ht="15" hidden="false" customHeight="false" outlineLevel="0" collapsed="false">
      <c r="A85" s="0" t="s">
        <v>67</v>
      </c>
      <c r="D85" s="56" t="n">
        <f aca="false">'Dashboard (2)'!Y11</f>
        <v>0.486688658781695</v>
      </c>
      <c r="E85" s="56" t="n">
        <f aca="false">'Dashboard (2)'!AI11</f>
        <v>0.496688658781695</v>
      </c>
      <c r="F85" s="56" t="n">
        <f aca="false">'Dashboard (2)'!AS11</f>
        <v>0.506688658781695</v>
      </c>
      <c r="G85" s="56" t="n">
        <f aca="false">'Dashboard (2)'!BC11</f>
        <v>0.516688658781695</v>
      </c>
      <c r="H85" s="56" t="n">
        <f aca="false">'Dashboard (2)'!BM11</f>
        <v>0.526688658781695</v>
      </c>
    </row>
    <row r="86" customFormat="false" ht="15" hidden="false" customHeight="false" outlineLevel="0" collapsed="false">
      <c r="A86" s="0" t="s">
        <v>69</v>
      </c>
      <c r="D86" s="56" t="n">
        <f aca="false">'Dashboard (2)'!Y12</f>
        <v>0.617744699777613</v>
      </c>
      <c r="E86" s="56" t="n">
        <f aca="false">'Dashboard (2)'!AI12</f>
        <v>0.627744699777613</v>
      </c>
      <c r="F86" s="56" t="n">
        <f aca="false">'Dashboard (2)'!AS12</f>
        <v>0.637744699777613</v>
      </c>
      <c r="G86" s="56" t="n">
        <f aca="false">'Dashboard (2)'!BC12</f>
        <v>0.647744699777613</v>
      </c>
      <c r="H86" s="56" t="n">
        <f aca="false">'Dashboard (2)'!BM12</f>
        <v>0.657744699777613</v>
      </c>
    </row>
    <row r="87" customFormat="false" ht="15" hidden="false" customHeight="false" outlineLevel="0" collapsed="false">
      <c r="A87" s="0" t="s">
        <v>70</v>
      </c>
      <c r="D87" s="56" t="n">
        <f aca="false">'Dashboard (2)'!Y13</f>
        <v>0.846880121645502</v>
      </c>
      <c r="E87" s="56" t="n">
        <f aca="false">'Dashboard (2)'!AI13</f>
        <v>0.856880121645502</v>
      </c>
      <c r="F87" s="56" t="n">
        <f aca="false">'Dashboard (2)'!AS13</f>
        <v>0.866880121645502</v>
      </c>
      <c r="G87" s="56" t="n">
        <f aca="false">'Dashboard (2)'!BC13</f>
        <v>0.876880121645502</v>
      </c>
      <c r="H87" s="56" t="n">
        <f aca="false">'Dashboard (2)'!BM13</f>
        <v>0.886880121645502</v>
      </c>
    </row>
    <row r="88" customFormat="false" ht="15" hidden="false" customHeight="false" outlineLevel="0" collapsed="false">
      <c r="A88" s="0" t="s">
        <v>71</v>
      </c>
      <c r="D88" s="56" t="n">
        <f aca="false">'Dashboard (2)'!Y14</f>
        <v>0.631673772329614</v>
      </c>
      <c r="E88" s="56" t="n">
        <f aca="false">'Dashboard (2)'!AI14</f>
        <v>0.641673772329614</v>
      </c>
      <c r="F88" s="56" t="n">
        <f aca="false">'Dashboard (2)'!AS14</f>
        <v>0.651673772329614</v>
      </c>
      <c r="G88" s="56" t="n">
        <f aca="false">'Dashboard (2)'!BC14</f>
        <v>0.661673772329614</v>
      </c>
      <c r="H88" s="56" t="n">
        <f aca="false">'Dashboard (2)'!BM14</f>
        <v>0.671673772329614</v>
      </c>
    </row>
    <row r="89" customFormat="false" ht="15" hidden="false" customHeight="false" outlineLevel="0" collapsed="false">
      <c r="A89" s="0" t="s">
        <v>72</v>
      </c>
      <c r="D89" s="56" t="n">
        <f aca="false">'Dashboard (2)'!Y15</f>
        <v>0.351619620192767</v>
      </c>
      <c r="E89" s="56" t="n">
        <f aca="false">'Dashboard (2)'!AI15</f>
        <v>0.361619620192767</v>
      </c>
      <c r="F89" s="56" t="n">
        <f aca="false">'Dashboard (2)'!AS15</f>
        <v>0.371619620192767</v>
      </c>
      <c r="G89" s="56" t="n">
        <f aca="false">'Dashboard (2)'!BC15</f>
        <v>0.381619620192767</v>
      </c>
      <c r="H89" s="56" t="n">
        <f aca="false">'Dashboard (2)'!BM15</f>
        <v>0.391619620192767</v>
      </c>
    </row>
    <row r="90" customFormat="false" ht="15" hidden="false" customHeight="false" outlineLevel="0" collapsed="false">
      <c r="A90" s="0" t="s">
        <v>73</v>
      </c>
      <c r="D90" s="56" t="n">
        <f aca="false">'Dashboard (2)'!Y16</f>
        <v>1.06736653560507</v>
      </c>
      <c r="E90" s="56" t="n">
        <f aca="false">'Dashboard (2)'!AI16</f>
        <v>1.07736653560507</v>
      </c>
      <c r="F90" s="56" t="n">
        <f aca="false">'Dashboard (2)'!AS16</f>
        <v>1.08736653560507</v>
      </c>
      <c r="G90" s="56" t="n">
        <f aca="false">'Dashboard (2)'!BC16</f>
        <v>1.09736653560507</v>
      </c>
      <c r="H90" s="56" t="n">
        <f aca="false">'Dashboard (2)'!BM16</f>
        <v>1.10736653560507</v>
      </c>
    </row>
    <row r="91" customFormat="false" ht="15" hidden="false" customHeight="false" outlineLevel="0" collapsed="false">
      <c r="A91" s="0" t="s">
        <v>74</v>
      </c>
      <c r="D91" s="56" t="n">
        <f aca="false">'Dashboard (2)'!Y17</f>
        <v>0.646894623655914</v>
      </c>
      <c r="E91" s="56" t="n">
        <f aca="false">'Dashboard (2)'!AI17</f>
        <v>0.656894623655914</v>
      </c>
      <c r="F91" s="56" t="n">
        <f aca="false">'Dashboard (2)'!AS17</f>
        <v>0.666894623655914</v>
      </c>
      <c r="G91" s="56" t="n">
        <f aca="false">'Dashboard (2)'!BC17</f>
        <v>0.676894623655914</v>
      </c>
      <c r="H91" s="56" t="n">
        <f aca="false">'Dashboard (2)'!BM17</f>
        <v>0.686894623655914</v>
      </c>
    </row>
    <row r="92" customFormat="false" ht="15" hidden="false" customHeight="false" outlineLevel="0" collapsed="false">
      <c r="A92" s="0" t="s">
        <v>75</v>
      </c>
      <c r="D92" s="56" t="n">
        <f aca="false">'Dashboard (2)'!Y18</f>
        <v>0.775062146892655</v>
      </c>
      <c r="E92" s="56" t="n">
        <f aca="false">'Dashboard (2)'!AI18</f>
        <v>0.785062146892655</v>
      </c>
      <c r="F92" s="56" t="n">
        <f aca="false">'Dashboard (2)'!AS18</f>
        <v>0.795062146892655</v>
      </c>
      <c r="G92" s="56" t="n">
        <f aca="false">'Dashboard (2)'!BC18</f>
        <v>0.805062146892655</v>
      </c>
      <c r="H92" s="56" t="n">
        <f aca="false">'Dashboard (2)'!BM18</f>
        <v>0.815062146892655</v>
      </c>
    </row>
    <row r="93" customFormat="false" ht="15" hidden="false" customHeight="false" outlineLevel="0" collapsed="false">
      <c r="A93" s="0" t="s">
        <v>76</v>
      </c>
      <c r="D93" s="56" t="n">
        <f aca="false">'Dashboard (2)'!Y19</f>
        <v>0.925690638897928</v>
      </c>
      <c r="E93" s="56" t="n">
        <f aca="false">'Dashboard (2)'!AI19</f>
        <v>0.935690638897928</v>
      </c>
      <c r="F93" s="56" t="n">
        <f aca="false">'Dashboard (2)'!AS19</f>
        <v>0.945690638897928</v>
      </c>
      <c r="G93" s="56" t="n">
        <f aca="false">'Dashboard (2)'!BC19</f>
        <v>0.955690638897928</v>
      </c>
      <c r="H93" s="56" t="n">
        <f aca="false">'Dashboard (2)'!BM19</f>
        <v>0.965690638897928</v>
      </c>
    </row>
    <row r="94" customFormat="false" ht="15" hidden="false" customHeight="false" outlineLevel="0" collapsed="false">
      <c r="A94" s="0" t="s">
        <v>77</v>
      </c>
      <c r="D94" s="56" t="n">
        <f aca="false">'Dashboard (2)'!Y23</f>
        <v>0.673670524206235</v>
      </c>
      <c r="E94" s="56" t="n">
        <f aca="false">'Dashboard (2)'!AI23</f>
        <v>0.683670524206235</v>
      </c>
      <c r="F94" s="56" t="n">
        <f aca="false">'Dashboard (2)'!AS23</f>
        <v>0.693670524206235</v>
      </c>
      <c r="G94" s="56" t="n">
        <f aca="false">'Dashboard (2)'!BC23</f>
        <v>0.703670524206235</v>
      </c>
      <c r="H94" s="56" t="n">
        <f aca="false">'Dashboard (2)'!BM23</f>
        <v>0.713670524206235</v>
      </c>
    </row>
    <row r="95" customFormat="false" ht="15" hidden="false" customHeight="false" outlineLevel="0" collapsed="false">
      <c r="A95" s="0" t="s">
        <v>81</v>
      </c>
      <c r="D95" s="56" t="n">
        <f aca="false">'Dashboard (2)'!Y26</f>
        <v>0.856285389057267</v>
      </c>
      <c r="E95" s="56" t="n">
        <f aca="false">'Dashboard (2)'!AI26</f>
        <v>0.866285389057267</v>
      </c>
      <c r="F95" s="56" t="n">
        <f aca="false">'Dashboard (2)'!AS26</f>
        <v>0.876285389057267</v>
      </c>
      <c r="G95" s="56" t="n">
        <f aca="false">'Dashboard (2)'!BC26</f>
        <v>0.886285389057267</v>
      </c>
      <c r="H95" s="56" t="n">
        <f aca="false">'Dashboard (2)'!BM26</f>
        <v>0.896285389057267</v>
      </c>
    </row>
    <row r="96" customFormat="false" ht="15" hidden="false" customHeight="false" outlineLevel="0" collapsed="false">
      <c r="A96" s="0" t="s">
        <v>82</v>
      </c>
      <c r="D96" s="56" t="n">
        <f aca="false">'Dashboard (2)'!Y30</f>
        <v>0.508535612441078</v>
      </c>
      <c r="E96" s="56" t="n">
        <f aca="false">'Dashboard (2)'!AI30</f>
        <v>0.518535612441078</v>
      </c>
      <c r="F96" s="56" t="n">
        <f aca="false">'Dashboard (2)'!AS30</f>
        <v>0.528535612441078</v>
      </c>
      <c r="G96" s="56" t="n">
        <f aca="false">'Dashboard (2)'!BC30</f>
        <v>0.538535612441078</v>
      </c>
      <c r="H96" s="56" t="n">
        <f aca="false">'Dashboard (2)'!BM30</f>
        <v>0.548535612441078</v>
      </c>
    </row>
    <row r="97" customFormat="false" ht="15" hidden="false" customHeight="false" outlineLevel="0" collapsed="false">
      <c r="A97" s="0" t="s">
        <v>85</v>
      </c>
      <c r="D97" s="56" t="n">
        <f aca="false">'Dashboard (2)'!Y34</f>
        <v>1.00221371010796</v>
      </c>
      <c r="E97" s="56" t="n">
        <f aca="false">'Dashboard (2)'!AI34</f>
        <v>1.01221371010796</v>
      </c>
      <c r="F97" s="56" t="n">
        <f aca="false">'Dashboard (2)'!AS34</f>
        <v>1.02221371010796</v>
      </c>
      <c r="G97" s="56" t="n">
        <f aca="false">'Dashboard (2)'!BC34</f>
        <v>1.03221371010796</v>
      </c>
      <c r="H97" s="56" t="n">
        <f aca="false">'Dashboard (2)'!BM34</f>
        <v>1.04221371010796</v>
      </c>
    </row>
    <row r="98" customFormat="false" ht="15" hidden="false" customHeight="false" outlineLevel="0" collapsed="false">
      <c r="A98" s="0" t="s">
        <v>86</v>
      </c>
      <c r="D98" s="56" t="n">
        <f aca="false">'Dashboard (2)'!Y37</f>
        <v>0.514494995137694</v>
      </c>
      <c r="E98" s="56" t="n">
        <f aca="false">'Dashboard (2)'!AI37</f>
        <v>0.524494995137694</v>
      </c>
      <c r="F98" s="56" t="n">
        <f aca="false">'Dashboard (2)'!AS37</f>
        <v>0.534494995137694</v>
      </c>
      <c r="G98" s="56" t="n">
        <f aca="false">'Dashboard (2)'!BC37</f>
        <v>0.544494995137694</v>
      </c>
      <c r="H98" s="56" t="n">
        <f aca="false">'Dashboard (2)'!BM37</f>
        <v>0.554494995137694</v>
      </c>
    </row>
    <row r="99" customFormat="false" ht="15" hidden="false" customHeight="false" outlineLevel="0" collapsed="false">
      <c r="A99" s="0" t="s">
        <v>88</v>
      </c>
      <c r="D99" s="56" t="n">
        <f aca="false">'Dashboard (2)'!Y40</f>
        <v>0.683087023358408</v>
      </c>
      <c r="E99" s="56" t="n">
        <f aca="false">'Dashboard (2)'!AI40</f>
        <v>0.693087023358408</v>
      </c>
      <c r="F99" s="56" t="n">
        <f aca="false">'Dashboard (2)'!AS40</f>
        <v>0.703087023358408</v>
      </c>
      <c r="G99" s="56" t="n">
        <f aca="false">'Dashboard (2)'!BC40</f>
        <v>0.713087023358409</v>
      </c>
      <c r="H99" s="56" t="n">
        <f aca="false">'Dashboard (2)'!BM40</f>
        <v>0.723087023358409</v>
      </c>
    </row>
    <row r="100" customFormat="false" ht="15" hidden="false" customHeight="false" outlineLevel="0" collapsed="false">
      <c r="A100" s="0" t="s">
        <v>89</v>
      </c>
      <c r="D100" s="56" t="n">
        <f aca="false">'Dashboard (2)'!Y43</f>
        <v>0.567314593952591</v>
      </c>
      <c r="E100" s="56" t="n">
        <f aca="false">'Dashboard (2)'!AI43</f>
        <v>0.577314593952591</v>
      </c>
      <c r="F100" s="56" t="n">
        <f aca="false">'Dashboard (2)'!AS43</f>
        <v>0.587314593952591</v>
      </c>
      <c r="G100" s="56" t="n">
        <f aca="false">'Dashboard (2)'!BC43</f>
        <v>0.597314593952591</v>
      </c>
      <c r="H100" s="56" t="n">
        <f aca="false">'Dashboard (2)'!BM43</f>
        <v>0.607314593952591</v>
      </c>
    </row>
    <row r="102" customFormat="false" ht="15" hidden="false" customHeight="false" outlineLevel="0" collapsed="false">
      <c r="A102" s="3" t="s">
        <v>257</v>
      </c>
    </row>
    <row r="103" customFormat="false" ht="30" hidden="false" customHeight="true" outlineLevel="0" collapsed="false">
      <c r="A103" s="69" t="s">
        <v>233</v>
      </c>
      <c r="B103" s="69"/>
      <c r="C103" s="69" t="s">
        <v>234</v>
      </c>
      <c r="D103" s="69" t="s">
        <v>235</v>
      </c>
      <c r="E103" s="69" t="s">
        <v>236</v>
      </c>
      <c r="F103" s="69" t="s">
        <v>237</v>
      </c>
      <c r="G103" s="69" t="s">
        <v>238</v>
      </c>
      <c r="H103" s="69" t="s">
        <v>239</v>
      </c>
      <c r="I103" s="69"/>
    </row>
    <row r="104" customFormat="false" ht="15" hidden="false" customHeight="false" outlineLevel="0" collapsed="false">
      <c r="A104" s="0" t="s">
        <v>58</v>
      </c>
      <c r="D104" s="61" t="n">
        <f aca="false">'Dashboard (2)'!Z9</f>
        <v>7350243.966</v>
      </c>
      <c r="E104" s="61" t="n">
        <f aca="false">'Dashboard (2)'!AJ9</f>
        <v>8098062.41602833</v>
      </c>
      <c r="F104" s="61" t="n">
        <f aca="false">'Dashboard (2)'!AT9</f>
        <v>8840259.00964268</v>
      </c>
      <c r="G104" s="61" t="n">
        <f aca="false">'Dashboard (2)'!BD9</f>
        <v>9590189.5773666</v>
      </c>
      <c r="H104" s="61" t="n">
        <f aca="false">'Dashboard (2)'!BN9</f>
        <v>10356450.1709811</v>
      </c>
    </row>
    <row r="105" customFormat="false" ht="15" hidden="false" customHeight="false" outlineLevel="0" collapsed="false">
      <c r="A105" s="0" t="s">
        <v>64</v>
      </c>
      <c r="D105" s="61" t="n">
        <f aca="false">'Dashboard (2)'!Z10</f>
        <v>3257137.9596</v>
      </c>
      <c r="E105" s="61" t="n">
        <f aca="false">'Dashboard (2)'!AJ10</f>
        <v>3510070.18805661</v>
      </c>
      <c r="F105" s="61" t="n">
        <f aca="false">'Dashboard (2)'!AT10</f>
        <v>3811230.13378009</v>
      </c>
      <c r="G105" s="61" t="n">
        <f aca="false">'Dashboard (2)'!BD10</f>
        <v>4130112.30847406</v>
      </c>
      <c r="H105" s="61" t="n">
        <f aca="false">'Dashboard (2)'!BN10</f>
        <v>4470040.3851667</v>
      </c>
    </row>
    <row r="106" customFormat="false" ht="15" hidden="false" customHeight="false" outlineLevel="0" collapsed="false">
      <c r="A106" s="0" t="s">
        <v>67</v>
      </c>
      <c r="D106" s="61" t="n">
        <f aca="false">'Dashboard (2)'!Z11</f>
        <v>6295804.49</v>
      </c>
      <c r="E106" s="61" t="n">
        <f aca="false">'Dashboard (2)'!AJ11</f>
        <v>6741736.82952089</v>
      </c>
      <c r="F106" s="61" t="n">
        <f aca="false">'Dashboard (2)'!AT11</f>
        <v>7209943.20873599</v>
      </c>
      <c r="G106" s="61" t="n">
        <f aca="false">'Dashboard (2)'!BD11</f>
        <v>7701301.5217264</v>
      </c>
      <c r="H106" s="61" t="n">
        <f aca="false">'Dashboard (2)'!BN11</f>
        <v>8216729.60898218</v>
      </c>
    </row>
    <row r="107" customFormat="false" ht="15" hidden="false" customHeight="false" outlineLevel="0" collapsed="false">
      <c r="A107" s="0" t="s">
        <v>69</v>
      </c>
      <c r="D107" s="61" t="n">
        <f aca="false">'Dashboard (2)'!Z12</f>
        <v>3062515.68</v>
      </c>
      <c r="E107" s="61" t="n">
        <f aca="false">'Dashboard (2)'!AJ12</f>
        <v>3278945.73579663</v>
      </c>
      <c r="F107" s="61" t="n">
        <f aca="false">'Dashboard (2)'!AT12</f>
        <v>3493275.96197248</v>
      </c>
      <c r="G107" s="61" t="n">
        <f aca="false">'Dashboard (2)'!BD12</f>
        <v>3717664.84009747</v>
      </c>
      <c r="H107" s="61" t="n">
        <f aca="false">'Dashboard (2)'!BN12</f>
        <v>3952438.85495241</v>
      </c>
    </row>
    <row r="108" customFormat="false" ht="15" hidden="false" customHeight="false" outlineLevel="0" collapsed="false">
      <c r="A108" s="0" t="s">
        <v>70</v>
      </c>
      <c r="D108" s="61" t="n">
        <f aca="false">'Dashboard (2)'!Z13</f>
        <v>1803124.225</v>
      </c>
      <c r="E108" s="61" t="n">
        <f aca="false">'Dashboard (2)'!AJ13</f>
        <v>1903937.71702922</v>
      </c>
      <c r="F108" s="61" t="n">
        <f aca="false">'Dashboard (2)'!AT13</f>
        <v>2034156.00097463</v>
      </c>
      <c r="G108" s="61" t="n">
        <f aca="false">'Dashboard (2)'!BD13</f>
        <v>2170157.94572456</v>
      </c>
      <c r="H108" s="61" t="n">
        <f aca="false">'Dashboard (2)'!BN13</f>
        <v>2312110.71741185</v>
      </c>
    </row>
    <row r="109" customFormat="false" ht="15" hidden="false" customHeight="false" outlineLevel="0" collapsed="false">
      <c r="A109" s="0" t="s">
        <v>71</v>
      </c>
      <c r="D109" s="61" t="n">
        <f aca="false">'Dashboard (2)'!Z14</f>
        <v>1507252.58</v>
      </c>
      <c r="E109" s="61" t="n">
        <f aca="false">'Dashboard (2)'!AJ14</f>
        <v>1689296.92228727</v>
      </c>
      <c r="F109" s="61" t="n">
        <f aca="false">'Dashboard (2)'!AT14</f>
        <v>1872896.1500197</v>
      </c>
      <c r="G109" s="61" t="n">
        <f aca="false">'Dashboard (2)'!BD14</f>
        <v>2065919.21728914</v>
      </c>
      <c r="H109" s="61" t="n">
        <f aca="false">'Dashboard (2)'!BN14</f>
        <v>2268803.06525353</v>
      </c>
    </row>
    <row r="110" customFormat="false" ht="15" hidden="false" customHeight="false" outlineLevel="0" collapsed="false">
      <c r="A110" s="0" t="s">
        <v>72</v>
      </c>
      <c r="D110" s="61" t="n">
        <f aca="false">'Dashboard (2)'!Z15</f>
        <v>368462.2</v>
      </c>
      <c r="E110" s="61" t="n">
        <f aca="false">'Dashboard (2)'!AJ15</f>
        <v>414752.662202405</v>
      </c>
      <c r="F110" s="61" t="n">
        <f aca="false">'Dashboard (2)'!AT15</f>
        <v>454325.290052655</v>
      </c>
      <c r="G110" s="61" t="n">
        <f aca="false">'Dashboard (2)'!BD15</f>
        <v>496200.726599626</v>
      </c>
      <c r="H110" s="61" t="n">
        <f aca="false">'Dashboard (2)'!BN15</f>
        <v>540561.962418145</v>
      </c>
    </row>
    <row r="111" customFormat="false" ht="15" hidden="false" customHeight="false" outlineLevel="0" collapsed="false">
      <c r="A111" s="0" t="s">
        <v>73</v>
      </c>
      <c r="D111" s="61" t="n">
        <f aca="false">'Dashboard (2)'!Z16</f>
        <v>366480.3</v>
      </c>
      <c r="E111" s="61" t="n">
        <f aca="false">'Dashboard (2)'!AJ16</f>
        <v>410431.804683486</v>
      </c>
      <c r="F111" s="61" t="n">
        <f aca="false">'Dashboard (2)'!AT16</f>
        <v>460886.909149495</v>
      </c>
      <c r="G111" s="61" t="n">
        <f aca="false">'Dashboard (2)'!BD16</f>
        <v>513389.11340753</v>
      </c>
      <c r="H111" s="61" t="n">
        <f aca="false">'Dashboard (2)'!BN16</f>
        <v>568289.222870854</v>
      </c>
    </row>
    <row r="112" customFormat="false" ht="15" hidden="false" customHeight="false" outlineLevel="0" collapsed="false">
      <c r="A112" s="0" t="s">
        <v>74</v>
      </c>
      <c r="D112" s="61" t="n">
        <f aca="false">'Dashboard (2)'!Z17</f>
        <v>205300.095</v>
      </c>
      <c r="E112" s="61" t="n">
        <f aca="false">'Dashboard (2)'!AJ17</f>
        <v>238527.38803871</v>
      </c>
      <c r="F112" s="61" t="n">
        <f aca="false">'Dashboard (2)'!AT17</f>
        <v>273938.449758468</v>
      </c>
      <c r="G112" s="61" t="n">
        <f aca="false">'Dashboard (2)'!BD17</f>
        <v>311240.116260182</v>
      </c>
      <c r="H112" s="61" t="n">
        <f aca="false">'Dashboard (2)'!BN17</f>
        <v>350477.918819546</v>
      </c>
    </row>
    <row r="113" customFormat="false" ht="15" hidden="false" customHeight="false" outlineLevel="0" collapsed="false">
      <c r="A113" s="0" t="s">
        <v>75</v>
      </c>
      <c r="D113" s="61" t="n">
        <f aca="false">'Dashboard (2)'!Z18</f>
        <v>192060.4</v>
      </c>
      <c r="E113" s="61" t="n">
        <f aca="false">'Dashboard (2)'!AJ18</f>
        <v>219902.580372881</v>
      </c>
      <c r="F113" s="61" t="n">
        <f aca="false">'Dashboard (2)'!AT18</f>
        <v>252411.818417797</v>
      </c>
      <c r="G113" s="61" t="n">
        <f aca="false">'Dashboard (2)'!BD18</f>
        <v>286577.553263708</v>
      </c>
      <c r="H113" s="61" t="n">
        <f aca="false">'Dashboard (2)'!BN18</f>
        <v>322440.441904019</v>
      </c>
    </row>
    <row r="114" customFormat="false" ht="15" hidden="false" customHeight="false" outlineLevel="0" collapsed="false">
      <c r="A114" s="0" t="s">
        <v>76</v>
      </c>
      <c r="D114" s="61" t="n">
        <f aca="false">'Dashboard (2)'!Z19</f>
        <v>106674.275</v>
      </c>
      <c r="E114" s="61" t="n">
        <f aca="false">'Dashboard (2)'!AJ19</f>
        <v>119157.044907745</v>
      </c>
      <c r="F114" s="61" t="n">
        <f aca="false">'Dashboard (2)'!AT19</f>
        <v>144585.649988047</v>
      </c>
      <c r="G114" s="61" t="n">
        <f aca="false">'Dashboard (2)'!BD19</f>
        <v>171331.939532745</v>
      </c>
      <c r="H114" s="61" t="n">
        <f aca="false">'Dashboard (2)'!BN19</f>
        <v>199146.028889397</v>
      </c>
    </row>
    <row r="115" customFormat="false" ht="15" hidden="false" customHeight="false" outlineLevel="0" collapsed="false">
      <c r="A115" s="0" t="s">
        <v>77</v>
      </c>
      <c r="D115" s="61" t="n">
        <f aca="false">'Dashboard (2)'!Z23</f>
        <v>2993651.0798</v>
      </c>
      <c r="E115" s="61" t="n">
        <f aca="false">'Dashboard (2)'!AJ23</f>
        <v>3432157.39094431</v>
      </c>
      <c r="F115" s="61" t="n">
        <f aca="false">'Dashboard (2)'!AT23</f>
        <v>4028605.86260715</v>
      </c>
      <c r="G115" s="61" t="n">
        <f aca="false">'Dashboard (2)'!BD23</f>
        <v>4820575.94146303</v>
      </c>
      <c r="H115" s="61" t="n">
        <f aca="false">'Dashboard (2)'!BN23</f>
        <v>5718952.75329032</v>
      </c>
    </row>
    <row r="116" customFormat="false" ht="15" hidden="false" customHeight="false" outlineLevel="0" collapsed="false">
      <c r="A116" s="0" t="s">
        <v>81</v>
      </c>
      <c r="D116" s="61" t="n">
        <f aca="false">'Dashboard (2)'!Z26</f>
        <v>2345890.3695</v>
      </c>
      <c r="E116" s="61" t="n">
        <f aca="false">'Dashboard (2)'!AJ26</f>
        <v>2592428.08355995</v>
      </c>
      <c r="F116" s="61" t="n">
        <f aca="false">'Dashboard (2)'!AT26</f>
        <v>2850538.90021541</v>
      </c>
      <c r="G116" s="61" t="n">
        <f aca="false">'Dashboard (2)'!BD26</f>
        <v>3120498.96526452</v>
      </c>
      <c r="H116" s="61" t="n">
        <f aca="false">'Dashboard (2)'!BN26</f>
        <v>3402844.5971383</v>
      </c>
    </row>
    <row r="117" customFormat="false" ht="15" hidden="false" customHeight="false" outlineLevel="0" collapsed="false">
      <c r="A117" s="0" t="s">
        <v>82</v>
      </c>
      <c r="D117" s="61" t="n">
        <f aca="false">'Dashboard (2)'!Z30</f>
        <v>1926457.8217</v>
      </c>
      <c r="E117" s="61" t="n">
        <f aca="false">'Dashboard (2)'!AJ30</f>
        <v>2331221.10026211</v>
      </c>
      <c r="F117" s="61" t="n">
        <f aca="false">'Dashboard (2)'!AT30</f>
        <v>2752348.11016267</v>
      </c>
      <c r="G117" s="61" t="n">
        <f aca="false">'Dashboard (2)'!BD30</f>
        <v>3199473.64691228</v>
      </c>
      <c r="H117" s="61" t="n">
        <f aca="false">'Dashboard (2)'!BN30</f>
        <v>3672768.97901849</v>
      </c>
    </row>
    <row r="118" customFormat="false" ht="15" hidden="false" customHeight="false" outlineLevel="0" collapsed="false">
      <c r="A118" s="0" t="s">
        <v>85</v>
      </c>
      <c r="D118" s="61" t="n">
        <f aca="false">'Dashboard (2)'!Z34</f>
        <v>1290623.255</v>
      </c>
      <c r="E118" s="61" t="n">
        <f aca="false">'Dashboard (2)'!AJ34</f>
        <v>1629218.37432076</v>
      </c>
      <c r="F118" s="61" t="n">
        <f aca="false">'Dashboard (2)'!AT34</f>
        <v>1984451.7383639</v>
      </c>
      <c r="G118" s="61" t="n">
        <f aca="false">'Dashboard (2)'!BD34</f>
        <v>2356864.33509635</v>
      </c>
      <c r="H118" s="61" t="n">
        <f aca="false">'Dashboard (2)'!BN34</f>
        <v>2746650.16871296</v>
      </c>
    </row>
    <row r="119" customFormat="false" ht="15" hidden="false" customHeight="false" outlineLevel="0" collapsed="false">
      <c r="A119" s="0" t="s">
        <v>86</v>
      </c>
      <c r="D119" s="61" t="n">
        <f aca="false">'Dashboard (2)'!Z37</f>
        <v>595224.3791</v>
      </c>
      <c r="E119" s="61" t="n">
        <f aca="false">'Dashboard (2)'!AJ37</f>
        <v>706389.040714759</v>
      </c>
      <c r="F119" s="61" t="n">
        <f aca="false">'Dashboard (2)'!AT37</f>
        <v>824651.870006919</v>
      </c>
      <c r="G119" s="61" t="n">
        <f aca="false">'Dashboard (2)'!BD37</f>
        <v>949933.055431225</v>
      </c>
      <c r="H119" s="61" t="n">
        <f aca="false">'Dashboard (2)'!BN37</f>
        <v>1082152.91760746</v>
      </c>
    </row>
    <row r="120" customFormat="false" ht="15" hidden="false" customHeight="false" outlineLevel="0" collapsed="false">
      <c r="A120" s="0" t="s">
        <v>88</v>
      </c>
      <c r="D120" s="61" t="n">
        <f aca="false">'Dashboard (2)'!Z40</f>
        <v>554203.8032</v>
      </c>
      <c r="E120" s="61" t="n">
        <f aca="false">'Dashboard (2)'!AJ40</f>
        <v>656716.436241508</v>
      </c>
      <c r="F120" s="61" t="n">
        <f aca="false">'Dashboard (2)'!AT40</f>
        <v>756816.606596828</v>
      </c>
      <c r="G120" s="61" t="n">
        <f aca="false">'Dashboard (2)'!BD40</f>
        <v>862765.085401458</v>
      </c>
      <c r="H120" s="61" t="n">
        <f aca="false">'Dashboard (2)'!BN40</f>
        <v>973375.303820856</v>
      </c>
    </row>
    <row r="121" customFormat="false" ht="15" hidden="false" customHeight="false" outlineLevel="0" collapsed="false">
      <c r="A121" s="0" t="s">
        <v>89</v>
      </c>
      <c r="D121" s="61" t="n">
        <f aca="false">'Dashboard (2)'!Z43</f>
        <v>240738.246</v>
      </c>
      <c r="E121" s="61" t="n">
        <f aca="false">'Dashboard (2)'!AJ43</f>
        <v>275322.811245239</v>
      </c>
      <c r="F121" s="61" t="n">
        <f aca="false">'Dashboard (2)'!AT43</f>
        <v>308824.326304069</v>
      </c>
      <c r="G121" s="61" t="n">
        <f aca="false">'Dashboard (2)'!BD43</f>
        <v>343780.738506392</v>
      </c>
      <c r="H121" s="61" t="n">
        <f aca="false">'Dashboard (2)'!BN43</f>
        <v>380896.997877087</v>
      </c>
    </row>
    <row r="122" customFormat="false" ht="15" hidden="false" customHeight="false" outlineLevel="0" collapsed="false">
      <c r="A122" s="3" t="s">
        <v>258</v>
      </c>
      <c r="D122" s="70" t="n">
        <f aca="false">SUM(D104:D121)</f>
        <v>34461845.1249</v>
      </c>
      <c r="E122" s="70" t="n">
        <f aca="false">SUM(E104:E121)</f>
        <v>38248274.5262128</v>
      </c>
      <c r="F122" s="70" t="n">
        <f aca="false">SUM(F104:F121)</f>
        <v>42354145.996749</v>
      </c>
      <c r="G122" s="70" t="n">
        <f aca="false">SUM(G104:G121)</f>
        <v>46807976.6278173</v>
      </c>
      <c r="H122" s="70" t="n">
        <f aca="false">SUM(H104:H121)</f>
        <v>51535130.0951152</v>
      </c>
    </row>
    <row r="123" customFormat="false" ht="15" hidden="false" customHeight="false" outlineLevel="0" collapsed="false">
      <c r="A123" s="73" t="s">
        <v>259</v>
      </c>
      <c r="D123" s="61" t="n">
        <f aca="false">Inputs!$D$23</f>
        <v>2062082.2818</v>
      </c>
      <c r="E123" s="61" t="n">
        <f aca="false">Inputs!$D$23</f>
        <v>2062082.2818</v>
      </c>
      <c r="F123" s="61" t="n">
        <f aca="false">Inputs!$D$23</f>
        <v>2062082.2818</v>
      </c>
      <c r="G123" s="61" t="n">
        <f aca="false">Inputs!$D$23</f>
        <v>2062082.2818</v>
      </c>
      <c r="H123" s="61" t="n">
        <f aca="false">Inputs!$D$23</f>
        <v>2062082.2818</v>
      </c>
    </row>
    <row r="124" customFormat="false" ht="15" hidden="false" customHeight="false" outlineLevel="0" collapsed="false">
      <c r="A124" s="3" t="s">
        <v>260</v>
      </c>
      <c r="D124" s="70" t="n">
        <f aca="false">D122+D123</f>
        <v>36523927.4067</v>
      </c>
      <c r="E124" s="70" t="n">
        <f aca="false">E122+E123</f>
        <v>40310356.8080128</v>
      </c>
      <c r="F124" s="70" t="n">
        <f aca="false">F122+F123</f>
        <v>44416228.278549</v>
      </c>
      <c r="G124" s="70" t="n">
        <f aca="false">G122+G123</f>
        <v>48870058.9096173</v>
      </c>
      <c r="H124" s="70" t="n">
        <f aca="false">H122+H123</f>
        <v>53597212.3769152</v>
      </c>
    </row>
    <row r="125" customFormat="false" ht="15" hidden="false" customHeight="false" outlineLevel="0" collapsed="false">
      <c r="A125" s="73" t="s">
        <v>261</v>
      </c>
      <c r="D125" s="61" t="n">
        <f aca="false">Inputs!D21</f>
        <v>35284444.2378</v>
      </c>
      <c r="E125" s="61" t="n">
        <f aca="false">Inputs!E21</f>
        <v>37530000</v>
      </c>
      <c r="F125" s="61" t="n">
        <f aca="false">Inputs!F21</f>
        <v>41530410</v>
      </c>
      <c r="G125" s="61" t="n">
        <f aca="false">Inputs!G21</f>
        <v>46385705</v>
      </c>
      <c r="H125" s="61" t="n">
        <f aca="false">Inputs!H21</f>
        <v>52096000</v>
      </c>
    </row>
    <row r="126" customFormat="false" ht="15" hidden="false" customHeight="false" outlineLevel="0" collapsed="false">
      <c r="A126" s="3" t="s">
        <v>262</v>
      </c>
      <c r="D126" s="70" t="n">
        <f aca="false">D124-D125</f>
        <v>1239483.1689</v>
      </c>
      <c r="E126" s="70" t="n">
        <f aca="false">E124-E125</f>
        <v>2780356.80801281</v>
      </c>
      <c r="F126" s="70" t="n">
        <f aca="false">F124-F125</f>
        <v>2885818.27854896</v>
      </c>
      <c r="G126" s="70" t="n">
        <f aca="false">G124-G125</f>
        <v>2484353.90961727</v>
      </c>
      <c r="H126" s="70" t="n">
        <f aca="false">H124-H125</f>
        <v>1501212.37691522</v>
      </c>
    </row>
    <row r="127" customFormat="false" ht="15" hidden="false" customHeight="false" outlineLevel="0" collapsed="false">
      <c r="A127" s="73" t="s">
        <v>263</v>
      </c>
      <c r="D127" s="56" t="n">
        <f aca="false">D122/D79</f>
        <v>0.572899230492615</v>
      </c>
      <c r="E127" s="56" t="n">
        <f aca="false">E122/E79</f>
        <v>0.585457347649131</v>
      </c>
      <c r="F127" s="56" t="n">
        <f aca="false">F122/F79</f>
        <v>0.598000218719597</v>
      </c>
      <c r="G127" s="56" t="n">
        <f aca="false">G122/G79</f>
        <v>0.610512505885668</v>
      </c>
      <c r="H127" s="56" t="n">
        <f aca="false">H122/H79</f>
        <v>0.622803809726223</v>
      </c>
    </row>
  </sheetData>
  <mergeCells count="6">
    <mergeCell ref="A3:J3"/>
    <mergeCell ref="A4:J4"/>
    <mergeCell ref="A5:J5"/>
    <mergeCell ref="A6:J6"/>
    <mergeCell ref="A7:J7"/>
    <mergeCell ref="A8:J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4"/>
    <col collapsed="false" customWidth="true" hidden="false" outlineLevel="0" max="10" min="3" style="0" width="14"/>
  </cols>
  <sheetData>
    <row r="1" customFormat="false" ht="17.35" hidden="false" customHeight="false" outlineLevel="0" collapsed="false">
      <c r="A1" s="66" t="s">
        <v>264</v>
      </c>
    </row>
    <row r="3" customFormat="false" ht="15.75" hidden="false" customHeight="true" outlineLevel="0" collapsed="false">
      <c r="A3" s="67" t="s">
        <v>265</v>
      </c>
      <c r="B3" s="67"/>
      <c r="C3" s="67"/>
      <c r="D3" s="67"/>
      <c r="E3" s="67"/>
      <c r="F3" s="67"/>
      <c r="G3" s="67"/>
      <c r="H3" s="67"/>
      <c r="I3" s="67"/>
      <c r="J3" s="67"/>
    </row>
    <row r="4" customFormat="false" ht="30.75" hidden="false" customHeight="true" outlineLevel="0" collapsed="false">
      <c r="A4" s="68" t="s">
        <v>266</v>
      </c>
      <c r="B4" s="68"/>
      <c r="C4" s="68"/>
      <c r="D4" s="68"/>
      <c r="E4" s="68"/>
      <c r="F4" s="68"/>
      <c r="G4" s="68"/>
      <c r="H4" s="68"/>
      <c r="I4" s="68"/>
      <c r="J4" s="68"/>
    </row>
    <row r="5" customFormat="false" ht="30.75" hidden="false" customHeight="true" outlineLevel="0" collapsed="false">
      <c r="A5" s="68" t="s">
        <v>267</v>
      </c>
      <c r="B5" s="68"/>
      <c r="C5" s="68"/>
      <c r="D5" s="68"/>
      <c r="E5" s="68"/>
      <c r="F5" s="68"/>
      <c r="G5" s="68"/>
      <c r="H5" s="68"/>
      <c r="I5" s="68"/>
      <c r="J5" s="68"/>
    </row>
    <row r="6" customFormat="false" ht="30.75" hidden="false" customHeight="true" outlineLevel="0" collapsed="false">
      <c r="A6" s="68" t="s">
        <v>268</v>
      </c>
      <c r="B6" s="68"/>
      <c r="C6" s="68"/>
      <c r="D6" s="68"/>
      <c r="E6" s="68"/>
      <c r="F6" s="68"/>
      <c r="G6" s="68"/>
      <c r="H6" s="68"/>
      <c r="I6" s="68"/>
      <c r="J6" s="68"/>
    </row>
    <row r="7" customFormat="false" ht="30.75" hidden="false" customHeight="true" outlineLevel="0" collapsed="false">
      <c r="A7" s="68" t="s">
        <v>269</v>
      </c>
      <c r="B7" s="68"/>
      <c r="C7" s="68"/>
      <c r="D7" s="68"/>
      <c r="E7" s="68"/>
      <c r="F7" s="68"/>
      <c r="G7" s="68"/>
      <c r="H7" s="68"/>
      <c r="I7" s="68"/>
      <c r="J7" s="68"/>
    </row>
    <row r="8" customFormat="false" ht="30.75" hidden="false" customHeight="true" outlineLevel="0" collapsed="false">
      <c r="A8" s="68" t="s">
        <v>270</v>
      </c>
      <c r="B8" s="68"/>
      <c r="C8" s="68"/>
      <c r="D8" s="68"/>
      <c r="E8" s="68"/>
      <c r="F8" s="68"/>
      <c r="G8" s="68"/>
      <c r="H8" s="68"/>
      <c r="I8" s="68"/>
      <c r="J8" s="68"/>
    </row>
    <row r="10" customFormat="false" ht="15" hidden="false" customHeight="false" outlineLevel="0" collapsed="false">
      <c r="A10" s="3" t="s">
        <v>271</v>
      </c>
    </row>
    <row r="11" customFormat="false" ht="30" hidden="false" customHeight="true" outlineLevel="0" collapsed="false">
      <c r="A11" s="69" t="s">
        <v>233</v>
      </c>
      <c r="B11" s="69" t="s">
        <v>23</v>
      </c>
      <c r="C11" s="69" t="s">
        <v>234</v>
      </c>
      <c r="D11" s="69" t="s">
        <v>235</v>
      </c>
      <c r="E11" s="69" t="s">
        <v>236</v>
      </c>
      <c r="F11" s="69" t="s">
        <v>237</v>
      </c>
      <c r="G11" s="69" t="s">
        <v>238</v>
      </c>
      <c r="H11" s="69" t="s">
        <v>239</v>
      </c>
      <c r="I11" s="69" t="s">
        <v>240</v>
      </c>
    </row>
    <row r="12" customFormat="false" ht="15" hidden="false" customHeight="false" outlineLevel="0" collapsed="false">
      <c r="A12" s="0" t="s">
        <v>58</v>
      </c>
      <c r="B12" s="0" t="s">
        <v>241</v>
      </c>
      <c r="C12" s="61" t="n">
        <f aca="false">'UIO V19'!C12</f>
        <v>22191</v>
      </c>
      <c r="D12" s="61" t="n">
        <f aca="false">'UIO V19'!D12</f>
        <v>23210</v>
      </c>
      <c r="E12" s="61" t="n">
        <f aca="false">'UIO V19'!E12</f>
        <v>24336</v>
      </c>
      <c r="F12" s="61" t="n">
        <f aca="false">'UIO V19'!F12</f>
        <v>25294</v>
      </c>
      <c r="G12" s="61" t="n">
        <f aca="false">'UIO V19'!G12</f>
        <v>26146</v>
      </c>
      <c r="H12" s="61" t="n">
        <f aca="false">'UIO V19'!H12</f>
        <v>26923</v>
      </c>
      <c r="I12" s="56" t="n">
        <f aca="false">IF(C12=0,"",H12/C12-1)</f>
        <v>0.213239601640305</v>
      </c>
    </row>
    <row r="13" customFormat="false" ht="15" hidden="false" customHeight="false" outlineLevel="0" collapsed="false">
      <c r="A13" s="0" t="s">
        <v>58</v>
      </c>
      <c r="B13" s="0" t="s">
        <v>242</v>
      </c>
      <c r="C13" s="61" t="n">
        <f aca="false">'UIO V19'!C13</f>
        <v>877</v>
      </c>
      <c r="D13" s="61" t="n">
        <f aca="false">'UIO V19'!D13</f>
        <v>963</v>
      </c>
      <c r="E13" s="61" t="n">
        <f aca="false">'UIO V19'!E13</f>
        <v>1055</v>
      </c>
      <c r="F13" s="61" t="n">
        <f aca="false">'UIO V19'!F13</f>
        <v>1141</v>
      </c>
      <c r="G13" s="61" t="n">
        <f aca="false">'UIO V19'!G13</f>
        <v>1218</v>
      </c>
      <c r="H13" s="61" t="n">
        <f aca="false">'UIO V19'!H13</f>
        <v>1286</v>
      </c>
      <c r="I13" s="56" t="n">
        <f aca="false">IF(C13=0,"",H13/C13-1)</f>
        <v>0.46636259977195</v>
      </c>
    </row>
    <row r="14" customFormat="false" ht="15" hidden="false" customHeight="false" outlineLevel="0" collapsed="false">
      <c r="A14" s="0" t="s">
        <v>64</v>
      </c>
      <c r="B14" s="0" t="s">
        <v>243</v>
      </c>
      <c r="C14" s="61" t="n">
        <f aca="false">'UIO V19'!C14</f>
        <v>6059</v>
      </c>
      <c r="D14" s="61" t="n">
        <f aca="false">'UIO V19'!D14</f>
        <v>6101</v>
      </c>
      <c r="E14" s="61" t="n">
        <f aca="false">'UIO V19'!E14</f>
        <v>6064</v>
      </c>
      <c r="F14" s="61" t="n">
        <f aca="false">'UIO V19'!F14</f>
        <v>6093</v>
      </c>
      <c r="G14" s="61" t="n">
        <f aca="false">'UIO V19'!G14</f>
        <v>6110</v>
      </c>
      <c r="H14" s="61" t="n">
        <f aca="false">'UIO V19'!H14</f>
        <v>6124</v>
      </c>
      <c r="I14" s="56" t="n">
        <f aca="false">IF(C14=0,"",H14/C14-1)</f>
        <v>0.0107278428783628</v>
      </c>
    </row>
    <row r="15" customFormat="false" ht="15" hidden="false" customHeight="false" outlineLevel="0" collapsed="false">
      <c r="A15" s="0" t="s">
        <v>64</v>
      </c>
      <c r="B15" s="0" t="s">
        <v>244</v>
      </c>
      <c r="C15" s="61" t="n">
        <f aca="false">'UIO V19'!C15</f>
        <v>4277</v>
      </c>
      <c r="D15" s="61" t="n">
        <f aca="false">'UIO V19'!D15</f>
        <v>4659</v>
      </c>
      <c r="E15" s="61" t="n">
        <f aca="false">'UIO V19'!E15</f>
        <v>4908</v>
      </c>
      <c r="F15" s="61" t="n">
        <f aca="false">'UIO V19'!F15</f>
        <v>5187</v>
      </c>
      <c r="G15" s="61" t="n">
        <f aca="false">'UIO V19'!G15</f>
        <v>5471</v>
      </c>
      <c r="H15" s="61" t="n">
        <f aca="false">'UIO V19'!H15</f>
        <v>5758</v>
      </c>
      <c r="I15" s="56" t="n">
        <f aca="false">IF(C15=0,"",H15/C15-1)</f>
        <v>0.34627075052607</v>
      </c>
    </row>
    <row r="16" customFormat="false" ht="15" hidden="false" customHeight="false" outlineLevel="0" collapsed="false">
      <c r="A16" s="0" t="s">
        <v>67</v>
      </c>
      <c r="B16" s="0" t="s">
        <v>245</v>
      </c>
      <c r="C16" s="61" t="n">
        <f aca="false">'UIO V19'!C16</f>
        <v>47783</v>
      </c>
      <c r="D16" s="54" t="n">
        <v>44926</v>
      </c>
      <c r="E16" s="54" t="n">
        <v>41800</v>
      </c>
      <c r="F16" s="54" t="n">
        <v>39058</v>
      </c>
      <c r="G16" s="54" t="n">
        <v>36654</v>
      </c>
      <c r="H16" s="54" t="n">
        <v>34546</v>
      </c>
      <c r="I16" s="56" t="n">
        <f aca="false">IF(C16=0,"",H16/C16-1)</f>
        <v>-0.277023209091099</v>
      </c>
    </row>
    <row r="17" customFormat="false" ht="15" hidden="false" customHeight="false" outlineLevel="0" collapsed="false">
      <c r="A17" s="0" t="s">
        <v>69</v>
      </c>
      <c r="B17" s="0" t="s">
        <v>245</v>
      </c>
      <c r="C17" s="61" t="n">
        <f aca="false">'UIO V19'!C17</f>
        <v>18542</v>
      </c>
      <c r="D17" s="54" t="n">
        <v>17121</v>
      </c>
      <c r="E17" s="54" t="n">
        <v>15829</v>
      </c>
      <c r="F17" s="54" t="n">
        <v>14570</v>
      </c>
      <c r="G17" s="54" t="n">
        <v>13316</v>
      </c>
      <c r="H17" s="54" t="n">
        <v>12248</v>
      </c>
      <c r="I17" s="56" t="n">
        <f aca="false">IF(C17=0,"",H17/C17-1)</f>
        <v>-0.339445583000755</v>
      </c>
    </row>
    <row r="18" customFormat="false" ht="15" hidden="false" customHeight="false" outlineLevel="0" collapsed="false">
      <c r="A18" s="0" t="s">
        <v>70</v>
      </c>
      <c r="B18" s="0" t="s">
        <v>245</v>
      </c>
      <c r="C18" s="61" t="n">
        <f aca="false">'UIO V19'!C18</f>
        <v>7929</v>
      </c>
      <c r="D18" s="54" t="n">
        <v>7251</v>
      </c>
      <c r="E18" s="54" t="n">
        <v>6647</v>
      </c>
      <c r="F18" s="54" t="n">
        <v>6003</v>
      </c>
      <c r="G18" s="54" t="n">
        <v>5523</v>
      </c>
      <c r="H18" s="54" t="n">
        <v>5068</v>
      </c>
      <c r="I18" s="56" t="n">
        <f aca="false">IF(C18=0,"",H18/C18-1)</f>
        <v>-0.360827342666162</v>
      </c>
    </row>
    <row r="19" customFormat="false" ht="15" hidden="false" customHeight="false" outlineLevel="0" collapsed="false">
      <c r="A19" s="0" t="s">
        <v>71</v>
      </c>
      <c r="B19" s="0" t="s">
        <v>245</v>
      </c>
      <c r="C19" s="61" t="n">
        <f aca="false">'UIO V19'!C19</f>
        <v>8443</v>
      </c>
      <c r="D19" s="54" t="n">
        <v>8643</v>
      </c>
      <c r="E19" s="54" t="n">
        <v>8772</v>
      </c>
      <c r="F19" s="54" t="n">
        <v>8837</v>
      </c>
      <c r="G19" s="54" t="n">
        <v>8926</v>
      </c>
      <c r="H19" s="54" t="n">
        <v>8886</v>
      </c>
      <c r="I19" s="56" t="n">
        <f aca="false">IF(C19=0,"",H19/C19-1)</f>
        <v>0.0524695013620751</v>
      </c>
    </row>
    <row r="20" customFormat="false" ht="15" hidden="false" customHeight="false" outlineLevel="0" collapsed="false">
      <c r="A20" s="0" t="s">
        <v>72</v>
      </c>
      <c r="B20" s="0" t="s">
        <v>245</v>
      </c>
      <c r="C20" s="61" t="n">
        <f aca="false">'UIO V19'!C20</f>
        <v>3734</v>
      </c>
      <c r="D20" s="54" t="n">
        <v>3603</v>
      </c>
      <c r="E20" s="54" t="n">
        <v>3467</v>
      </c>
      <c r="F20" s="54" t="n">
        <v>3319</v>
      </c>
      <c r="G20" s="54" t="n">
        <v>3168</v>
      </c>
      <c r="H20" s="54" t="n">
        <v>3040</v>
      </c>
      <c r="I20" s="56" t="n">
        <f aca="false">IF(C20=0,"",H20/C20-1)</f>
        <v>-0.185859667916443</v>
      </c>
    </row>
    <row r="21" customFormat="false" ht="15" hidden="false" customHeight="false" outlineLevel="0" collapsed="false">
      <c r="A21" s="0" t="s">
        <v>73</v>
      </c>
      <c r="B21" s="0" t="s">
        <v>245</v>
      </c>
      <c r="C21" s="61" t="n">
        <f aca="false">'UIO V19'!C21</f>
        <v>1204</v>
      </c>
      <c r="D21" s="54" t="n">
        <v>1117</v>
      </c>
      <c r="E21" s="54" t="n">
        <v>1098</v>
      </c>
      <c r="F21" s="54" t="n">
        <v>1058</v>
      </c>
      <c r="G21" s="54" t="n">
        <v>1039</v>
      </c>
      <c r="H21" s="54" t="n">
        <v>1086</v>
      </c>
      <c r="I21" s="56" t="n">
        <f aca="false">IF(C21=0,"",H21/C21-1)</f>
        <v>-0.0980066445182725</v>
      </c>
    </row>
    <row r="22" customFormat="false" ht="15" hidden="false" customHeight="false" outlineLevel="0" collapsed="false">
      <c r="A22" s="0" t="s">
        <v>74</v>
      </c>
      <c r="B22" s="0" t="s">
        <v>245</v>
      </c>
      <c r="C22" s="61" t="n">
        <f aca="false">'UIO V19'!C22</f>
        <v>1071</v>
      </c>
      <c r="D22" s="54" t="n">
        <v>1137</v>
      </c>
      <c r="E22" s="54" t="n">
        <v>1200</v>
      </c>
      <c r="F22" s="54" t="n">
        <v>1246</v>
      </c>
      <c r="G22" s="54" t="n">
        <v>1291</v>
      </c>
      <c r="H22" s="54" t="n">
        <v>1332</v>
      </c>
      <c r="I22" s="56" t="n">
        <f aca="false">IF(C22=0,"",H22/C22-1)</f>
        <v>0.243697478991597</v>
      </c>
    </row>
    <row r="23" customFormat="false" ht="15" hidden="false" customHeight="false" outlineLevel="0" collapsed="false">
      <c r="A23" s="0" t="s">
        <v>75</v>
      </c>
      <c r="B23" s="0" t="s">
        <v>245</v>
      </c>
      <c r="C23" s="61" t="n">
        <f aca="false">'UIO V19'!C23</f>
        <v>850</v>
      </c>
      <c r="D23" s="54" t="n">
        <v>890</v>
      </c>
      <c r="E23" s="54" t="n">
        <v>939</v>
      </c>
      <c r="F23" s="54" t="n">
        <v>973</v>
      </c>
      <c r="G23" s="54" t="n">
        <v>1003</v>
      </c>
      <c r="H23" s="54" t="n">
        <v>1038</v>
      </c>
      <c r="I23" s="56" t="n">
        <f aca="false">IF(C23=0,"",H23/C23-1)</f>
        <v>0.221176470588235</v>
      </c>
    </row>
    <row r="24" customFormat="false" ht="15" hidden="false" customHeight="false" outlineLevel="0" collapsed="false">
      <c r="A24" s="0" t="s">
        <v>76</v>
      </c>
      <c r="B24" s="0" t="s">
        <v>245</v>
      </c>
      <c r="C24" s="61" t="n">
        <f aca="false">'UIO V19'!C24</f>
        <v>406</v>
      </c>
      <c r="D24" s="54" t="n">
        <v>408</v>
      </c>
      <c r="E24" s="54" t="n">
        <v>419</v>
      </c>
      <c r="F24" s="54" t="n">
        <v>445</v>
      </c>
      <c r="G24" s="54" t="n">
        <v>500</v>
      </c>
      <c r="H24" s="54" t="n">
        <v>563</v>
      </c>
      <c r="I24" s="56" t="n">
        <f aca="false">IF(C24=0,"",H24/C24-1)</f>
        <v>0.386699507389163</v>
      </c>
    </row>
    <row r="25" customFormat="false" ht="15" hidden="false" customHeight="false" outlineLevel="0" collapsed="false">
      <c r="A25" s="0" t="s">
        <v>77</v>
      </c>
      <c r="B25" s="0" t="s">
        <v>243</v>
      </c>
      <c r="C25" s="61" t="n">
        <f aca="false">'UIO V19'!C25</f>
        <v>697</v>
      </c>
      <c r="D25" s="54" t="n">
        <v>1025</v>
      </c>
      <c r="E25" s="54" t="n">
        <v>1400</v>
      </c>
      <c r="F25" s="54" t="n">
        <v>1917</v>
      </c>
      <c r="G25" s="54" t="n">
        <v>2639</v>
      </c>
      <c r="H25" s="54" t="n">
        <v>3493</v>
      </c>
      <c r="I25" s="56" t="n">
        <f aca="false">IF(C25=0,"",H25/C25-1)</f>
        <v>4.01147776183644</v>
      </c>
    </row>
    <row r="26" customFormat="false" ht="15" hidden="false" customHeight="false" outlineLevel="0" collapsed="false">
      <c r="A26" s="0" t="s">
        <v>77</v>
      </c>
      <c r="B26" s="0" t="s">
        <v>244</v>
      </c>
      <c r="C26" s="61" t="n">
        <f aca="false">'UIO V19'!C26</f>
        <v>35</v>
      </c>
      <c r="D26" s="54" t="n">
        <v>35</v>
      </c>
      <c r="E26" s="54" t="n">
        <v>30</v>
      </c>
      <c r="F26" s="54" t="n">
        <v>24</v>
      </c>
      <c r="G26" s="54" t="n">
        <v>18</v>
      </c>
      <c r="H26" s="54" t="n">
        <v>14</v>
      </c>
      <c r="I26" s="56" t="n">
        <f aca="false">IF(C26=0,"",H26/C26-1)</f>
        <v>-0.6</v>
      </c>
    </row>
    <row r="27" customFormat="false" ht="15" hidden="false" customHeight="false" outlineLevel="0" collapsed="false">
      <c r="A27" s="0" t="s">
        <v>77</v>
      </c>
      <c r="B27" s="0" t="s">
        <v>245</v>
      </c>
      <c r="C27" s="61" t="n">
        <f aca="false">'UIO V19'!C27</f>
        <v>13048</v>
      </c>
      <c r="D27" s="54" t="n">
        <v>12578</v>
      </c>
      <c r="E27" s="54" t="n">
        <v>12156</v>
      </c>
      <c r="F27" s="54" t="n">
        <v>11631</v>
      </c>
      <c r="G27" s="54" t="n">
        <v>11141</v>
      </c>
      <c r="H27" s="54" t="n">
        <v>10597</v>
      </c>
      <c r="I27" s="56" t="n">
        <f aca="false">IF(C27=0,"",H27/C27-1)</f>
        <v>-0.187844880441447</v>
      </c>
    </row>
    <row r="28" customFormat="false" ht="15" hidden="false" customHeight="false" outlineLevel="0" collapsed="false">
      <c r="A28" s="0" t="s">
        <v>81</v>
      </c>
      <c r="B28" s="0" t="s">
        <v>243</v>
      </c>
      <c r="C28" s="61" t="n">
        <f aca="false">'UIO V19'!C28</f>
        <v>113</v>
      </c>
      <c r="D28" s="54" t="n">
        <v>137</v>
      </c>
      <c r="E28" s="54" t="n">
        <v>160</v>
      </c>
      <c r="F28" s="54" t="n">
        <v>182</v>
      </c>
      <c r="G28" s="54" t="n">
        <v>204</v>
      </c>
      <c r="H28" s="54" t="n">
        <v>224</v>
      </c>
      <c r="I28" s="56" t="n">
        <f aca="false">IF(C28=0,"",H28/C28-1)</f>
        <v>0.982300884955752</v>
      </c>
    </row>
    <row r="29" customFormat="false" ht="15" hidden="false" customHeight="false" outlineLevel="0" collapsed="false">
      <c r="A29" s="0" t="s">
        <v>81</v>
      </c>
      <c r="B29" s="0" t="s">
        <v>245</v>
      </c>
      <c r="C29" s="61" t="n">
        <f aca="false">'UIO V19'!C29</f>
        <v>9452</v>
      </c>
      <c r="D29" s="54" t="n">
        <v>9158</v>
      </c>
      <c r="E29" s="54" t="n">
        <v>8984</v>
      </c>
      <c r="F29" s="54" t="n">
        <v>8796</v>
      </c>
      <c r="G29" s="54" t="n">
        <v>8631</v>
      </c>
      <c r="H29" s="54" t="n">
        <v>8503</v>
      </c>
      <c r="I29" s="56" t="n">
        <f aca="false">IF(C29=0,"",H29/C29-1)</f>
        <v>-0.100402031316124</v>
      </c>
    </row>
    <row r="30" customFormat="false" ht="15" hidden="false" customHeight="false" outlineLevel="0" collapsed="false">
      <c r="A30" s="0" t="s">
        <v>82</v>
      </c>
      <c r="B30" s="0" t="s">
        <v>243</v>
      </c>
      <c r="C30" s="61" t="n">
        <f aca="false">'UIO V19'!C30</f>
        <v>2206</v>
      </c>
      <c r="D30" s="54" t="n">
        <v>2470</v>
      </c>
      <c r="E30" s="54" t="n">
        <v>2714</v>
      </c>
      <c r="F30" s="54" t="n">
        <v>2921</v>
      </c>
      <c r="G30" s="54" t="n">
        <v>3117</v>
      </c>
      <c r="H30" s="54" t="n">
        <v>3318</v>
      </c>
      <c r="I30" s="56" t="n">
        <f aca="false">IF(C30=0,"",H30/C30-1)</f>
        <v>0.504079782411605</v>
      </c>
    </row>
    <row r="31" customFormat="false" ht="15" hidden="false" customHeight="false" outlineLevel="0" collapsed="false">
      <c r="A31" s="0" t="s">
        <v>82</v>
      </c>
      <c r="B31" s="0" t="s">
        <v>244</v>
      </c>
      <c r="C31" s="61" t="n">
        <f aca="false">'UIO V19'!C31</f>
        <v>0</v>
      </c>
      <c r="D31" s="54" t="n">
        <v>0</v>
      </c>
      <c r="E31" s="54" t="n">
        <v>0</v>
      </c>
      <c r="F31" s="54" t="n">
        <v>0</v>
      </c>
      <c r="G31" s="54" t="n">
        <v>0</v>
      </c>
      <c r="H31" s="54" t="n">
        <v>0</v>
      </c>
      <c r="I31" s="56" t="str">
        <f aca="false">IF(C31=0,"",H31/C31-1)</f>
        <v/>
      </c>
    </row>
    <row r="32" customFormat="false" ht="15" hidden="false" customHeight="false" outlineLevel="0" collapsed="false">
      <c r="A32" s="0" t="s">
        <v>82</v>
      </c>
      <c r="B32" s="0" t="s">
        <v>242</v>
      </c>
      <c r="C32" s="61" t="n">
        <f aca="false">'UIO V19'!C32</f>
        <v>269</v>
      </c>
      <c r="D32" s="54" t="n">
        <v>255</v>
      </c>
      <c r="E32" s="54" t="n">
        <v>238</v>
      </c>
      <c r="F32" s="54" t="n">
        <v>218</v>
      </c>
      <c r="G32" s="54" t="n">
        <v>197</v>
      </c>
      <c r="H32" s="54" t="n">
        <v>173</v>
      </c>
      <c r="I32" s="56" t="n">
        <f aca="false">IF(C32=0,"",H32/C32-1)</f>
        <v>-0.356877323420074</v>
      </c>
    </row>
    <row r="33" customFormat="false" ht="15" hidden="false" customHeight="false" outlineLevel="0" collapsed="false">
      <c r="A33" s="0" t="s">
        <v>82</v>
      </c>
      <c r="B33" s="0" t="s">
        <v>245</v>
      </c>
      <c r="C33" s="61" t="n">
        <f aca="false">'UIO V19'!C33</f>
        <v>4733</v>
      </c>
      <c r="D33" s="54" t="n">
        <v>5109</v>
      </c>
      <c r="E33" s="54" t="n">
        <v>5425</v>
      </c>
      <c r="F33" s="54" t="n">
        <v>5709</v>
      </c>
      <c r="G33" s="54" t="n">
        <v>5967</v>
      </c>
      <c r="H33" s="54" t="n">
        <v>6251</v>
      </c>
      <c r="I33" s="56" t="n">
        <f aca="false">IF(C33=0,"",H33/C33-1)</f>
        <v>0.320726811747306</v>
      </c>
    </row>
    <row r="34" customFormat="false" ht="15" hidden="false" customHeight="false" outlineLevel="0" collapsed="false">
      <c r="A34" s="0" t="s">
        <v>85</v>
      </c>
      <c r="B34" s="0" t="s">
        <v>243</v>
      </c>
      <c r="C34" s="61" t="n">
        <f aca="false">'UIO V19'!C34</f>
        <v>731</v>
      </c>
      <c r="D34" s="54" t="n">
        <v>921</v>
      </c>
      <c r="E34" s="54" t="n">
        <v>1030</v>
      </c>
      <c r="F34" s="54" t="n">
        <v>1138</v>
      </c>
      <c r="G34" s="54" t="n">
        <v>1260</v>
      </c>
      <c r="H34" s="54" t="n">
        <v>1389</v>
      </c>
      <c r="I34" s="56" t="n">
        <f aca="false">IF(C34=0,"",H34/C34-1)</f>
        <v>0.900136798905609</v>
      </c>
    </row>
    <row r="35" customFormat="false" ht="15" hidden="false" customHeight="false" outlineLevel="0" collapsed="false">
      <c r="A35" s="0" t="s">
        <v>85</v>
      </c>
      <c r="B35" s="0" t="s">
        <v>244</v>
      </c>
      <c r="C35" s="61" t="n">
        <f aca="false">'UIO V19'!C35</f>
        <v>0</v>
      </c>
      <c r="D35" s="54" t="n">
        <v>0</v>
      </c>
      <c r="E35" s="54" t="n">
        <v>0</v>
      </c>
      <c r="F35" s="54" t="n">
        <v>0</v>
      </c>
      <c r="G35" s="54" t="n">
        <v>0</v>
      </c>
      <c r="H35" s="54" t="n">
        <v>0</v>
      </c>
      <c r="I35" s="56" t="str">
        <f aca="false">IF(C35=0,"",H35/C35-1)</f>
        <v/>
      </c>
    </row>
    <row r="36" customFormat="false" ht="15" hidden="false" customHeight="false" outlineLevel="0" collapsed="false">
      <c r="A36" s="0" t="s">
        <v>85</v>
      </c>
      <c r="B36" s="0" t="s">
        <v>242</v>
      </c>
      <c r="C36" s="61" t="n">
        <f aca="false">'UIO V19'!C36</f>
        <v>92</v>
      </c>
      <c r="D36" s="54" t="n">
        <v>85</v>
      </c>
      <c r="E36" s="54" t="n">
        <v>80</v>
      </c>
      <c r="F36" s="54" t="n">
        <v>73</v>
      </c>
      <c r="G36" s="54" t="n">
        <v>65</v>
      </c>
      <c r="H36" s="54" t="n">
        <v>59</v>
      </c>
      <c r="I36" s="56" t="n">
        <f aca="false">IF(C36=0,"",H36/C36-1)</f>
        <v>-0.358695652173913</v>
      </c>
    </row>
    <row r="37" customFormat="false" ht="15" hidden="false" customHeight="false" outlineLevel="0" collapsed="false">
      <c r="A37" s="0" t="s">
        <v>85</v>
      </c>
      <c r="B37" s="0" t="s">
        <v>245</v>
      </c>
      <c r="C37" s="61" t="n">
        <f aca="false">'UIO V19'!C37</f>
        <v>1338</v>
      </c>
      <c r="D37" s="54" t="n">
        <v>1618</v>
      </c>
      <c r="E37" s="54" t="n">
        <v>1883</v>
      </c>
      <c r="F37" s="54" t="n">
        <v>2171</v>
      </c>
      <c r="G37" s="54" t="n">
        <v>2346</v>
      </c>
      <c r="H37" s="54" t="n">
        <v>2499</v>
      </c>
      <c r="I37" s="56" t="n">
        <f aca="false">IF(C37=0,"",H37/C37-1)</f>
        <v>0.867713004484305</v>
      </c>
    </row>
    <row r="38" customFormat="false" ht="15" hidden="false" customHeight="false" outlineLevel="0" collapsed="false">
      <c r="A38" s="0" t="s">
        <v>86</v>
      </c>
      <c r="B38" s="0" t="s">
        <v>243</v>
      </c>
      <c r="C38" s="61" t="n">
        <f aca="false">'UIO V19'!C38</f>
        <v>37</v>
      </c>
      <c r="D38" s="54" t="n">
        <v>51</v>
      </c>
      <c r="E38" s="54" t="n">
        <v>65</v>
      </c>
      <c r="F38" s="54" t="n">
        <v>79</v>
      </c>
      <c r="G38" s="54" t="n">
        <v>93</v>
      </c>
      <c r="H38" s="54" t="n">
        <v>108</v>
      </c>
      <c r="I38" s="56" t="n">
        <f aca="false">IF(C38=0,"",H38/C38-1)</f>
        <v>1.91891891891892</v>
      </c>
    </row>
    <row r="39" customFormat="false" ht="15" hidden="false" customHeight="false" outlineLevel="0" collapsed="false">
      <c r="A39" s="0" t="s">
        <v>86</v>
      </c>
      <c r="B39" s="0" t="s">
        <v>244</v>
      </c>
      <c r="C39" s="61" t="n">
        <f aca="false">'UIO V19'!C39</f>
        <v>0</v>
      </c>
      <c r="D39" s="54" t="n">
        <v>0</v>
      </c>
      <c r="E39" s="54" t="n">
        <v>0</v>
      </c>
      <c r="F39" s="54" t="n">
        <v>0</v>
      </c>
      <c r="G39" s="54" t="n">
        <v>0</v>
      </c>
      <c r="H39" s="54" t="n">
        <v>0</v>
      </c>
      <c r="I39" s="56" t="str">
        <f aca="false">IF(C39=0,"",H39/C39-1)</f>
        <v/>
      </c>
    </row>
    <row r="40" customFormat="false" ht="15" hidden="false" customHeight="false" outlineLevel="0" collapsed="false">
      <c r="A40" s="0" t="s">
        <v>86</v>
      </c>
      <c r="B40" s="0" t="s">
        <v>245</v>
      </c>
      <c r="C40" s="61" t="n">
        <f aca="false">'UIO V19'!C40</f>
        <v>3705</v>
      </c>
      <c r="D40" s="54" t="n">
        <v>3979</v>
      </c>
      <c r="E40" s="54" t="n">
        <v>4226</v>
      </c>
      <c r="F40" s="54" t="n">
        <v>4552</v>
      </c>
      <c r="G40" s="54" t="n">
        <v>4863</v>
      </c>
      <c r="H40" s="54" t="n">
        <v>5133</v>
      </c>
      <c r="I40" s="56" t="n">
        <f aca="false">IF(C40=0,"",H40/C40-1)</f>
        <v>0.385425101214575</v>
      </c>
    </row>
    <row r="41" customFormat="false" ht="15" hidden="false" customHeight="false" outlineLevel="0" collapsed="false">
      <c r="A41" s="0" t="s">
        <v>88</v>
      </c>
      <c r="B41" s="0" t="s">
        <v>243</v>
      </c>
      <c r="C41" s="61" t="n">
        <f aca="false">'UIO V19'!C41</f>
        <v>203</v>
      </c>
      <c r="D41" s="54" t="n">
        <v>205</v>
      </c>
      <c r="E41" s="54" t="n">
        <v>208</v>
      </c>
      <c r="F41" s="54" t="n">
        <v>210</v>
      </c>
      <c r="G41" s="54" t="n">
        <v>214</v>
      </c>
      <c r="H41" s="54" t="n">
        <v>220</v>
      </c>
      <c r="I41" s="56" t="n">
        <f aca="false">IF(C41=0,"",H41/C41-1)</f>
        <v>0.083743842364532</v>
      </c>
    </row>
    <row r="42" customFormat="false" ht="15" hidden="false" customHeight="false" outlineLevel="0" collapsed="false">
      <c r="A42" s="0" t="s">
        <v>88</v>
      </c>
      <c r="B42" s="0" t="s">
        <v>244</v>
      </c>
      <c r="C42" s="61" t="n">
        <f aca="false">'UIO V19'!C42</f>
        <v>0</v>
      </c>
      <c r="D42" s="54" t="n">
        <v>0</v>
      </c>
      <c r="E42" s="54" t="n">
        <v>0</v>
      </c>
      <c r="F42" s="54" t="n">
        <v>0</v>
      </c>
      <c r="G42" s="54" t="n">
        <v>0</v>
      </c>
      <c r="H42" s="54" t="n">
        <v>0</v>
      </c>
      <c r="I42" s="56" t="str">
        <f aca="false">IF(C42=0,"",H42/C42-1)</f>
        <v/>
      </c>
    </row>
    <row r="43" customFormat="false" ht="15" hidden="false" customHeight="false" outlineLevel="0" collapsed="false">
      <c r="A43" s="0" t="s">
        <v>88</v>
      </c>
      <c r="B43" s="0" t="s">
        <v>245</v>
      </c>
      <c r="C43" s="61" t="n">
        <f aca="false">'UIO V19'!C43</f>
        <v>2105</v>
      </c>
      <c r="D43" s="54" t="n">
        <v>2238</v>
      </c>
      <c r="E43" s="54" t="n">
        <v>2339</v>
      </c>
      <c r="F43" s="54" t="n">
        <v>2445</v>
      </c>
      <c r="G43" s="54" t="n">
        <v>2521</v>
      </c>
      <c r="H43" s="54" t="n">
        <v>2614</v>
      </c>
      <c r="I43" s="56" t="n">
        <f aca="false">IF(C43=0,"",H43/C43-1)</f>
        <v>0.241805225653207</v>
      </c>
    </row>
    <row r="44" customFormat="false" ht="15" hidden="false" customHeight="false" outlineLevel="0" collapsed="false">
      <c r="A44" s="0" t="s">
        <v>89</v>
      </c>
      <c r="B44" s="0" t="s">
        <v>243</v>
      </c>
      <c r="C44" s="61" t="n">
        <f aca="false">'UIO V19'!C44</f>
        <v>243</v>
      </c>
      <c r="D44" s="54" t="n">
        <v>259</v>
      </c>
      <c r="E44" s="54" t="n">
        <v>255</v>
      </c>
      <c r="F44" s="54" t="n">
        <v>250</v>
      </c>
      <c r="G44" s="54" t="n">
        <v>247</v>
      </c>
      <c r="H44" s="54" t="n">
        <v>242</v>
      </c>
      <c r="I44" s="56" t="n">
        <f aca="false">IF(C44=0,"",H44/C44-1)</f>
        <v>-0.00411522633744854</v>
      </c>
    </row>
    <row r="45" customFormat="false" ht="15" hidden="false" customHeight="false" outlineLevel="0" collapsed="false">
      <c r="A45" s="0" t="s">
        <v>89</v>
      </c>
      <c r="B45" s="0" t="s">
        <v>245</v>
      </c>
      <c r="C45" s="61" t="n">
        <f aca="false">'UIO V19'!C45</f>
        <v>797</v>
      </c>
      <c r="D45" s="54" t="n">
        <v>786</v>
      </c>
      <c r="E45" s="54" t="n">
        <v>774</v>
      </c>
      <c r="F45" s="54" t="n">
        <v>768</v>
      </c>
      <c r="G45" s="54" t="n">
        <v>767</v>
      </c>
      <c r="H45" s="54" t="n">
        <v>781</v>
      </c>
      <c r="I45" s="56" t="n">
        <f aca="false">IF(C45=0,"",H45/C45-1)</f>
        <v>-0.0200752823086575</v>
      </c>
    </row>
    <row r="46" customFormat="false" ht="15" hidden="false" customHeight="false" outlineLevel="0" collapsed="false">
      <c r="A46" s="3" t="s">
        <v>246</v>
      </c>
      <c r="C46" s="70" t="n">
        <f aca="false">SUM(C12:C45)</f>
        <v>163170</v>
      </c>
      <c r="D46" s="70" t="n">
        <f aca="false">SUM(D12:D45)</f>
        <v>160938</v>
      </c>
      <c r="E46" s="70" t="n">
        <f aca="false">SUM(E12:E45)</f>
        <v>158501</v>
      </c>
      <c r="F46" s="70" t="n">
        <f aca="false">SUM(F12:F45)</f>
        <v>156308</v>
      </c>
      <c r="G46" s="70" t="n">
        <f aca="false">SUM(G12:G45)</f>
        <v>154655</v>
      </c>
      <c r="H46" s="70" t="n">
        <f aca="false">SUM(H12:H45)</f>
        <v>153516</v>
      </c>
      <c r="I46" s="71" t="n">
        <f aca="false">H46/C46-1</f>
        <v>-0.0591652877367163</v>
      </c>
    </row>
    <row r="47" customFormat="false" ht="15" hidden="false" customHeight="false" outlineLevel="0" collapsed="false">
      <c r="A47" s="0" t="s">
        <v>247</v>
      </c>
      <c r="C47" s="61" t="n">
        <f aca="false">SUMIF($B$12:$B$45,"Pick-up (D-Max)",C12:C45)</f>
        <v>125140</v>
      </c>
      <c r="D47" s="61" t="n">
        <f aca="false">SUMIF($B$12:$B$45,"Pick-up (D-Max)",D12:D45)</f>
        <v>120562</v>
      </c>
      <c r="E47" s="61" t="n">
        <f aca="false">SUMIF($B$12:$B$45,"Pick-up (D-Max)",E12:E45)</f>
        <v>115958</v>
      </c>
      <c r="F47" s="61" t="n">
        <f aca="false">SUMIF($B$12:$B$45,"Pick-up (D-Max)",F12:F45)</f>
        <v>111581</v>
      </c>
      <c r="G47" s="61" t="n">
        <f aca="false">SUMIF($B$12:$B$45,"Pick-up (D-Max)",G12:G45)</f>
        <v>107656</v>
      </c>
      <c r="H47" s="61" t="n">
        <f aca="false">SUMIF($B$12:$B$45,"Pick-up (D-Max)",H12:H45)</f>
        <v>104185</v>
      </c>
    </row>
    <row r="48" customFormat="false" ht="15" hidden="false" customHeight="false" outlineLevel="0" collapsed="false">
      <c r="A48" s="0" t="s">
        <v>248</v>
      </c>
      <c r="C48" s="61" t="n">
        <f aca="false">C46-C47</f>
        <v>38030</v>
      </c>
      <c r="D48" s="61" t="n">
        <f aca="false">D46-D47</f>
        <v>40376</v>
      </c>
      <c r="E48" s="61" t="n">
        <f aca="false">E46-E47</f>
        <v>42543</v>
      </c>
      <c r="F48" s="61" t="n">
        <f aca="false">F46-F47</f>
        <v>44727</v>
      </c>
      <c r="G48" s="61" t="n">
        <f aca="false">G46-G47</f>
        <v>46999</v>
      </c>
      <c r="H48" s="61" t="n">
        <f aca="false">H46-H47</f>
        <v>49331</v>
      </c>
    </row>
    <row r="50" customFormat="false" ht="15" hidden="false" customHeight="false" outlineLevel="0" collapsed="false">
      <c r="A50" s="3" t="s">
        <v>272</v>
      </c>
    </row>
    <row r="51" customFormat="false" ht="30" hidden="false" customHeight="true" outlineLevel="0" collapsed="false">
      <c r="A51" s="69"/>
      <c r="B51" s="69"/>
      <c r="C51" s="69" t="s">
        <v>234</v>
      </c>
      <c r="D51" s="69" t="s">
        <v>235</v>
      </c>
      <c r="E51" s="69" t="s">
        <v>236</v>
      </c>
      <c r="F51" s="69" t="s">
        <v>237</v>
      </c>
      <c r="G51" s="69" t="s">
        <v>238</v>
      </c>
      <c r="H51" s="69" t="s">
        <v>239</v>
      </c>
      <c r="I51" s="69"/>
    </row>
    <row r="52" customFormat="false" ht="15" hidden="false" customHeight="false" outlineLevel="0" collapsed="false">
      <c r="A52" s="0" t="s">
        <v>273</v>
      </c>
      <c r="C52" s="61" t="n">
        <f aca="false">C46-'UIO V19'!C46</f>
        <v>0</v>
      </c>
      <c r="D52" s="61" t="n">
        <f aca="false">D46-'UIO V19'!D46</f>
        <v>-11413</v>
      </c>
      <c r="E52" s="61" t="n">
        <f aca="false">E46-'UIO V19'!E46</f>
        <v>-22320</v>
      </c>
      <c r="F52" s="61" t="n">
        <f aca="false">F46-'UIO V19'!F46</f>
        <v>-32786</v>
      </c>
      <c r="G52" s="61" t="n">
        <f aca="false">G46-'UIO V19'!G46</f>
        <v>-42657</v>
      </c>
      <c r="H52" s="61" t="n">
        <f aca="false">H46-'UIO V19'!H46</f>
        <v>-51821</v>
      </c>
    </row>
    <row r="53" customFormat="false" ht="15" hidden="false" customHeight="false" outlineLevel="0" collapsed="false">
      <c r="A53" s="0" t="s">
        <v>274</v>
      </c>
      <c r="C53" s="56" t="n">
        <f aca="false">C46/'UIO V19'!C46-1</f>
        <v>0</v>
      </c>
      <c r="D53" s="56" t="n">
        <f aca="false">D46/'UIO V19'!D46-1</f>
        <v>-0.0662195171481453</v>
      </c>
      <c r="E53" s="56" t="n">
        <f aca="false">E46/'UIO V19'!E46-1</f>
        <v>-0.123436990172602</v>
      </c>
      <c r="F53" s="56" t="n">
        <f aca="false">F46/'UIO V19'!F46-1</f>
        <v>-0.173384665827578</v>
      </c>
      <c r="G53" s="56" t="n">
        <f aca="false">G46/'UIO V19'!G46-1</f>
        <v>-0.216190601686669</v>
      </c>
      <c r="H53" s="56" t="n">
        <f aca="false">H46/'UIO V19'!H46-1</f>
        <v>-0.252370493384047</v>
      </c>
    </row>
    <row r="55" customFormat="false" ht="15" hidden="false" customHeight="false" outlineLevel="0" collapsed="false">
      <c r="A55" s="3" t="s">
        <v>254</v>
      </c>
      <c r="C55" s="72" t="n">
        <v>1</v>
      </c>
      <c r="D55" s="72" t="n">
        <f aca="false">C55*(1+Inputs!$B$9)</f>
        <v>1.05</v>
      </c>
      <c r="E55" s="72" t="n">
        <f aca="false">D55*(1+'Dashboard (2)'!$T$1)</f>
        <v>1.0815</v>
      </c>
      <c r="F55" s="72" t="n">
        <f aca="false">E55*(1+'Dashboard (2)'!$T$1)</f>
        <v>1.113945</v>
      </c>
      <c r="G55" s="72" t="n">
        <f aca="false">F55*(1+'Dashboard (2)'!$T$1)</f>
        <v>1.14736335</v>
      </c>
      <c r="H55" s="72" t="n">
        <f aca="false">G55*(1+'Dashboard (2)'!$T$1)</f>
        <v>1.1817842505</v>
      </c>
    </row>
    <row r="57" customFormat="false" ht="15" hidden="false" customHeight="false" outlineLevel="0" collapsed="false">
      <c r="A57" s="3" t="s">
        <v>255</v>
      </c>
    </row>
    <row r="58" customFormat="false" ht="30" hidden="false" customHeight="true" outlineLevel="0" collapsed="false">
      <c r="A58" s="69" t="s">
        <v>233</v>
      </c>
      <c r="B58" s="69"/>
      <c r="C58" s="69" t="s">
        <v>234</v>
      </c>
      <c r="D58" s="69" t="s">
        <v>235</v>
      </c>
      <c r="E58" s="69" t="s">
        <v>236</v>
      </c>
      <c r="F58" s="69" t="s">
        <v>237</v>
      </c>
      <c r="G58" s="69" t="s">
        <v>238</v>
      </c>
      <c r="H58" s="69" t="s">
        <v>239</v>
      </c>
      <c r="I58" s="69"/>
    </row>
    <row r="59" customFormat="false" ht="15" hidden="false" customHeight="false" outlineLevel="0" collapsed="false">
      <c r="A59" s="0" t="s">
        <v>58</v>
      </c>
      <c r="C59" s="61" t="n">
        <f aca="false">'Dashboard (2)'!N9</f>
        <v>11529408</v>
      </c>
      <c r="D59" s="61" t="n">
        <f aca="false">'Dashboard (2)'!X9</f>
        <v>12535797.12</v>
      </c>
      <c r="E59" s="61" t="n">
        <f aca="false">'Dashboard (2)'!AH9</f>
        <v>13579597.7856</v>
      </c>
      <c r="F59" s="61" t="n">
        <f aca="false">'Dashboard (2)'!AR9</f>
        <v>14579697.139392</v>
      </c>
      <c r="G59" s="61" t="n">
        <f aca="false">'Dashboard (2)'!BB9</f>
        <v>15559891.8860986</v>
      </c>
      <c r="H59" s="61" t="n">
        <f aca="false">'Dashboard (2)'!BL9</f>
        <v>16534859.6521061</v>
      </c>
    </row>
    <row r="60" customFormat="false" ht="15" hidden="false" customHeight="false" outlineLevel="0" collapsed="false">
      <c r="A60" s="0" t="s">
        <v>64</v>
      </c>
      <c r="C60" s="61" t="n">
        <f aca="false">'Dashboard (2)'!N10</f>
        <v>7762638.77947955</v>
      </c>
      <c r="D60" s="61" t="n">
        <f aca="false">'Dashboard (2)'!X10</f>
        <v>8485128.96</v>
      </c>
      <c r="E60" s="61" t="n">
        <f aca="false">'Dashboard (2)'!AH10</f>
        <v>8911877.32319643</v>
      </c>
      <c r="F60" s="61" t="n">
        <f aca="false">'Dashboard (2)'!AR10</f>
        <v>9436908.08346933</v>
      </c>
      <c r="G60" s="61" t="n">
        <f aca="false">'Dashboard (2)'!BB10</f>
        <v>9979388.0753633</v>
      </c>
      <c r="H60" s="61" t="n">
        <f aca="false">'Dashboard (2)'!BL10</f>
        <v>10545923.6494958</v>
      </c>
    </row>
    <row r="61" customFormat="false" ht="15" hidden="false" customHeight="false" outlineLevel="0" collapsed="false">
      <c r="A61" s="0" t="s">
        <v>67</v>
      </c>
      <c r="C61" s="61" t="n">
        <f aca="false">(C16*Inputs!$B$4)*C$55</f>
        <v>11945750</v>
      </c>
      <c r="D61" s="61" t="n">
        <f aca="false">(D16*Inputs!$B$4)*D$55</f>
        <v>11793075</v>
      </c>
      <c r="E61" s="61" t="n">
        <f aca="false">(E16*Inputs!$B$4)*E$55</f>
        <v>11301675</v>
      </c>
      <c r="F61" s="61" t="n">
        <f aca="false">(F16*Inputs!$B$4)*F$55</f>
        <v>10877115.9525</v>
      </c>
      <c r="G61" s="61" t="n">
        <f aca="false">(G16*Inputs!$B$4)*G$55</f>
        <v>10513864.057725</v>
      </c>
      <c r="H61" s="61" t="n">
        <f aca="false">(H16*Inputs!$B$4)*H$55</f>
        <v>10206479.6794433</v>
      </c>
    </row>
    <row r="62" customFormat="false" ht="15" hidden="false" customHeight="false" outlineLevel="0" collapsed="false">
      <c r="A62" s="0" t="s">
        <v>69</v>
      </c>
      <c r="C62" s="61" t="n">
        <f aca="false">(C17*Inputs!$B$4)*C$55</f>
        <v>4635500</v>
      </c>
      <c r="D62" s="61" t="n">
        <f aca="false">(D17*Inputs!$B$4)*D$55</f>
        <v>4494262.5</v>
      </c>
      <c r="E62" s="61" t="n">
        <f aca="false">(E17*Inputs!$B$4)*E$55</f>
        <v>4279765.875</v>
      </c>
      <c r="F62" s="61" t="n">
        <f aca="false">(F17*Inputs!$B$4)*F$55</f>
        <v>4057544.6625</v>
      </c>
      <c r="G62" s="61" t="n">
        <f aca="false">(G17*Inputs!$B$4)*G$55</f>
        <v>3819572.59215</v>
      </c>
      <c r="H62" s="61" t="n">
        <f aca="false">(H17*Inputs!$B$4)*H$55</f>
        <v>3618623.375031</v>
      </c>
    </row>
    <row r="63" customFormat="false" ht="15" hidden="false" customHeight="false" outlineLevel="0" collapsed="false">
      <c r="A63" s="0" t="s">
        <v>70</v>
      </c>
      <c r="C63" s="61" t="n">
        <f aca="false">(C18*Inputs!$B$4)*C$55</f>
        <v>1982250</v>
      </c>
      <c r="D63" s="61" t="n">
        <f aca="false">(D18*Inputs!$B$4)*D$55</f>
        <v>1903387.5</v>
      </c>
      <c r="E63" s="61" t="n">
        <f aca="false">(E18*Inputs!$B$4)*E$55</f>
        <v>1797182.625</v>
      </c>
      <c r="F63" s="61" t="n">
        <f aca="false">(F18*Inputs!$B$4)*F$55</f>
        <v>1671752.95875</v>
      </c>
      <c r="G63" s="61" t="n">
        <f aca="false">(G18*Inputs!$B$4)*G$55</f>
        <v>1584221.9455125</v>
      </c>
      <c r="H63" s="61" t="n">
        <f aca="false">(H18*Inputs!$B$4)*H$55</f>
        <v>1497320.6453835</v>
      </c>
    </row>
    <row r="64" customFormat="false" ht="15" hidden="false" customHeight="false" outlineLevel="0" collapsed="false">
      <c r="A64" s="0" t="s">
        <v>71</v>
      </c>
      <c r="C64" s="61" t="n">
        <f aca="false">(C19*Inputs!$B$4)*C$55</f>
        <v>2110750</v>
      </c>
      <c r="D64" s="61" t="n">
        <f aca="false">(D19*Inputs!$B$4)*D$55</f>
        <v>2268787.5</v>
      </c>
      <c r="E64" s="61" t="n">
        <f aca="false">(E19*Inputs!$B$4)*E$55</f>
        <v>2371729.5</v>
      </c>
      <c r="F64" s="61" t="n">
        <f aca="false">(F19*Inputs!$B$4)*F$55</f>
        <v>2460982.99125</v>
      </c>
      <c r="G64" s="61" t="n">
        <f aca="false">(G19*Inputs!$B$4)*G$55</f>
        <v>2560341.315525</v>
      </c>
      <c r="H64" s="61" t="n">
        <f aca="false">(H19*Inputs!$B$4)*H$55</f>
        <v>2625333.71248575</v>
      </c>
    </row>
    <row r="65" customFormat="false" ht="15" hidden="false" customHeight="false" outlineLevel="0" collapsed="false">
      <c r="A65" s="0" t="s">
        <v>72</v>
      </c>
      <c r="C65" s="61" t="n">
        <f aca="false">(C20*Inputs!$B$4)*C$55</f>
        <v>933500</v>
      </c>
      <c r="D65" s="61" t="n">
        <f aca="false">(D20*Inputs!$B$4)*D$55</f>
        <v>945787.5</v>
      </c>
      <c r="E65" s="61" t="n">
        <f aca="false">(E20*Inputs!$B$4)*E$55</f>
        <v>937390.125</v>
      </c>
      <c r="F65" s="61" t="n">
        <f aca="false">(F20*Inputs!$B$4)*F$55</f>
        <v>924295.86375</v>
      </c>
      <c r="G65" s="61" t="n">
        <f aca="false">(G20*Inputs!$B$4)*G$55</f>
        <v>908711.7732</v>
      </c>
      <c r="H65" s="61" t="n">
        <f aca="false">(H20*Inputs!$B$4)*H$55</f>
        <v>898156.03038</v>
      </c>
    </row>
    <row r="66" customFormat="false" ht="15" hidden="false" customHeight="false" outlineLevel="0" collapsed="false">
      <c r="A66" s="0" t="s">
        <v>73</v>
      </c>
      <c r="C66" s="61" t="n">
        <f aca="false">(C21*Inputs!$B$4)*C$55</f>
        <v>301000</v>
      </c>
      <c r="D66" s="61" t="n">
        <f aca="false">(D21*Inputs!$B$4)*D$55</f>
        <v>293212.5</v>
      </c>
      <c r="E66" s="61" t="n">
        <f aca="false">(E21*Inputs!$B$4)*E$55</f>
        <v>296871.75</v>
      </c>
      <c r="F66" s="61" t="n">
        <f aca="false">(F21*Inputs!$B$4)*F$55</f>
        <v>294638.4525</v>
      </c>
      <c r="G66" s="61" t="n">
        <f aca="false">(G21*Inputs!$B$4)*G$55</f>
        <v>298027.6301625</v>
      </c>
      <c r="H66" s="61" t="n">
        <f aca="false">(H21*Inputs!$B$4)*H$55</f>
        <v>320854.42401075</v>
      </c>
    </row>
    <row r="67" customFormat="false" ht="15" hidden="false" customHeight="false" outlineLevel="0" collapsed="false">
      <c r="A67" s="0" t="s">
        <v>74</v>
      </c>
      <c r="C67" s="61" t="n">
        <f aca="false">(C22*Inputs!$B$4)*C$55</f>
        <v>267750</v>
      </c>
      <c r="D67" s="61" t="n">
        <f aca="false">(D22*Inputs!$B$4)*D$55</f>
        <v>298462.5</v>
      </c>
      <c r="E67" s="61" t="n">
        <f aca="false">(E22*Inputs!$B$4)*E$55</f>
        <v>324450</v>
      </c>
      <c r="F67" s="61" t="n">
        <f aca="false">(F22*Inputs!$B$4)*F$55</f>
        <v>346993.8675</v>
      </c>
      <c r="G67" s="61" t="n">
        <f aca="false">(G22*Inputs!$B$4)*G$55</f>
        <v>370311.5212125</v>
      </c>
      <c r="H67" s="61" t="n">
        <f aca="false">(H22*Inputs!$B$4)*H$55</f>
        <v>393534.1554165</v>
      </c>
    </row>
    <row r="68" customFormat="false" ht="15" hidden="false" customHeight="false" outlineLevel="0" collapsed="false">
      <c r="A68" s="0" t="s">
        <v>75</v>
      </c>
      <c r="C68" s="61" t="n">
        <f aca="false">(C23*Inputs!$B$4)*C$55</f>
        <v>212500</v>
      </c>
      <c r="D68" s="61" t="n">
        <f aca="false">(D23*Inputs!$B$4)*D$55</f>
        <v>233625</v>
      </c>
      <c r="E68" s="61" t="n">
        <f aca="false">(E23*Inputs!$B$4)*E$55</f>
        <v>253882.125</v>
      </c>
      <c r="F68" s="61" t="n">
        <f aca="false">(F23*Inputs!$B$4)*F$55</f>
        <v>270967.12125</v>
      </c>
      <c r="G68" s="61" t="n">
        <f aca="false">(G23*Inputs!$B$4)*G$55</f>
        <v>287701.3600125</v>
      </c>
      <c r="H68" s="61" t="n">
        <f aca="false">(H23*Inputs!$B$4)*H$55</f>
        <v>306673.01300475</v>
      </c>
    </row>
    <row r="69" customFormat="false" ht="15" hidden="false" customHeight="false" outlineLevel="0" collapsed="false">
      <c r="A69" s="0" t="s">
        <v>76</v>
      </c>
      <c r="C69" s="61" t="n">
        <f aca="false">(C24*Inputs!$B$4)*C$55</f>
        <v>101500</v>
      </c>
      <c r="D69" s="61" t="n">
        <f aca="false">(D24*Inputs!$B$4)*D$55</f>
        <v>107100</v>
      </c>
      <c r="E69" s="61" t="n">
        <f aca="false">(E24*Inputs!$B$4)*E$55</f>
        <v>113287.125</v>
      </c>
      <c r="F69" s="61" t="n">
        <f aca="false">(F24*Inputs!$B$4)*F$55</f>
        <v>123926.38125</v>
      </c>
      <c r="G69" s="61" t="n">
        <f aca="false">(G24*Inputs!$B$4)*G$55</f>
        <v>143420.41875</v>
      </c>
      <c r="H69" s="61" t="n">
        <f aca="false">(H24*Inputs!$B$4)*H$55</f>
        <v>166336.133257875</v>
      </c>
    </row>
    <row r="70" customFormat="false" ht="15" hidden="false" customHeight="false" outlineLevel="0" collapsed="false">
      <c r="A70" s="0" t="s">
        <v>77</v>
      </c>
      <c r="C70" s="61" t="n">
        <f aca="false">(C25*Inputs!$B$5+C26*Inputs!$B$6+C27*Inputs!$B$4)*C$55</f>
        <v>3808128</v>
      </c>
      <c r="D70" s="61" t="n">
        <f aca="false">(D25*Inputs!$B$5+D26*Inputs!$B$6+D27*Inputs!$B$4)*D$55</f>
        <v>4129671</v>
      </c>
      <c r="E70" s="61" t="n">
        <f aca="false">(E25*Inputs!$B$5+E26*Inputs!$B$6+E27*Inputs!$B$4)*E$55</f>
        <v>4434377.115</v>
      </c>
      <c r="F70" s="61" t="n">
        <f aca="false">(F25*Inputs!$B$5+F26*Inputs!$B$6+F27*Inputs!$B$4)*F$55</f>
        <v>4840871.900445</v>
      </c>
      <c r="G70" s="61" t="n">
        <f aca="false">(G25*Inputs!$B$5+G26*Inputs!$B$6+G27*Inputs!$B$4)*G$55</f>
        <v>5451624.67363395</v>
      </c>
      <c r="H70" s="61" t="n">
        <f aca="false">(H25*Inputs!$B$5+H26*Inputs!$B$6+H27*Inputs!$B$4)*H$55</f>
        <v>6196088.91645025</v>
      </c>
    </row>
    <row r="71" customFormat="false" ht="15" hidden="false" customHeight="false" outlineLevel="0" collapsed="false">
      <c r="A71" s="0" t="s">
        <v>81</v>
      </c>
      <c r="C71" s="61" t="n">
        <f aca="false">(C28*Inputs!$B$5+C29*Inputs!$B$4)*C$55</f>
        <v>2446507</v>
      </c>
      <c r="D71" s="61" t="n">
        <f aca="false">(D28*Inputs!$B$5+D29*Inputs!$B$4)*D$55</f>
        <v>2510280.15</v>
      </c>
      <c r="E71" s="61" t="n">
        <f aca="false">(E28*Inputs!$B$5+E29*Inputs!$B$4)*E$55</f>
        <v>2556925.56</v>
      </c>
      <c r="F71" s="61" t="n">
        <f aca="false">(F28*Inputs!$B$5+F29*Inputs!$B$4)*F$55</f>
        <v>2599388.42961</v>
      </c>
      <c r="G71" s="61" t="n">
        <f aca="false">(G28*Inputs!$B$5+G29*Inputs!$B$4)*G$55</f>
        <v>2648695.1776551</v>
      </c>
      <c r="H71" s="61" t="n">
        <f aca="false">(H28*Inputs!$B$5+H29*Inputs!$B$4)*H$55</f>
        <v>2707805.70819114</v>
      </c>
    </row>
    <row r="72" customFormat="false" ht="15" hidden="false" customHeight="false" outlineLevel="0" collapsed="false">
      <c r="A72" s="0" t="s">
        <v>82</v>
      </c>
      <c r="C72" s="61" t="n">
        <f aca="false">(C30*Inputs!$B$5+C31*Inputs!$B$6+C32*Inputs!$B$7+C33*Inputs!$B$4)*C$55</f>
        <v>3052087</v>
      </c>
      <c r="D72" s="61" t="n">
        <f aca="false">(D30*Inputs!$B$5+D31*Inputs!$B$6+D32*Inputs!$B$7+D33*Inputs!$B$4)*D$55</f>
        <v>3495203.25</v>
      </c>
      <c r="E72" s="61" t="n">
        <f aca="false">(E30*Inputs!$B$5+E31*Inputs!$B$6+E32*Inputs!$B$7+E33*Inputs!$B$4)*E$55</f>
        <v>3864201.663</v>
      </c>
      <c r="F72" s="61" t="n">
        <f aca="false">(F30*Inputs!$B$5+F31*Inputs!$B$6+F32*Inputs!$B$7+F33*Inputs!$B$4)*F$55</f>
        <v>4209859.932075</v>
      </c>
      <c r="G72" s="61" t="n">
        <f aca="false">(G30*Inputs!$B$5+G31*Inputs!$B$6+G32*Inputs!$B$7+G33*Inputs!$B$4)*G$55</f>
        <v>4554977.4260592</v>
      </c>
      <c r="H72" s="61" t="n">
        <f aca="false">(H30*Inputs!$B$5+H31*Inputs!$B$6+H32*Inputs!$B$7+H33*Inputs!$B$4)*H$55</f>
        <v>4925916.65828685</v>
      </c>
    </row>
    <row r="73" customFormat="false" ht="15" hidden="false" customHeight="false" outlineLevel="0" collapsed="false">
      <c r="A73" s="0" t="s">
        <v>85</v>
      </c>
      <c r="C73" s="61" t="n">
        <f aca="false">(C34*Inputs!$B$5+C35*Inputs!$B$6+C36*Inputs!$B$7+C37*Inputs!$B$4)*C$55</f>
        <v>956313</v>
      </c>
      <c r="D73" s="61" t="n">
        <f aca="false">(D34*Inputs!$B$5+D35*Inputs!$B$6+D36*Inputs!$B$7+D37*Inputs!$B$4)*D$55</f>
        <v>1218539.7</v>
      </c>
      <c r="E73" s="61" t="n">
        <f aca="false">(E34*Inputs!$B$5+E35*Inputs!$B$6+E36*Inputs!$B$7+E37*Inputs!$B$4)*E$55</f>
        <v>1409064.72</v>
      </c>
      <c r="F73" s="61" t="n">
        <f aca="false">(F34*Inputs!$B$5+F35*Inputs!$B$6+F36*Inputs!$B$7+F37*Inputs!$B$4)*F$55</f>
        <v>1613530.395435</v>
      </c>
      <c r="G73" s="61" t="n">
        <f aca="false">(G34*Inputs!$B$5+G35*Inputs!$B$6+G36*Inputs!$B$7+G37*Inputs!$B$4)*G$55</f>
        <v>1807435.74843825</v>
      </c>
      <c r="H73" s="61" t="n">
        <f aca="false">(H34*Inputs!$B$5+H35*Inputs!$B$6+H36*Inputs!$B$7+H37*Inputs!$B$4)*H$55</f>
        <v>2013233.28707628</v>
      </c>
    </row>
    <row r="74" customFormat="false" ht="15" hidden="false" customHeight="false" outlineLevel="0" collapsed="false">
      <c r="A74" s="0" t="s">
        <v>86</v>
      </c>
      <c r="C74" s="61" t="n">
        <f aca="false">(C38*Inputs!$B$5+C39*Inputs!$B$6+C40*Inputs!$B$4)*C$55</f>
        <v>953593</v>
      </c>
      <c r="D74" s="61" t="n">
        <f aca="false">(D38*Inputs!$B$5+D39*Inputs!$B$6+D40*Inputs!$B$4)*D$55</f>
        <v>1084060.95</v>
      </c>
      <c r="E74" s="61" t="n">
        <f aca="false">(E38*Inputs!$B$5+E39*Inputs!$B$6+E40*Inputs!$B$4)*E$55</f>
        <v>1194554.6025</v>
      </c>
      <c r="F74" s="61" t="n">
        <f aca="false">(F38*Inputs!$B$5+F39*Inputs!$B$6+F40*Inputs!$B$4)*F$55</f>
        <v>1332702.633045</v>
      </c>
      <c r="G74" s="61" t="n">
        <f aca="false">(G38*Inputs!$B$5+G39*Inputs!$B$6+G40*Inputs!$B$4)*G$55</f>
        <v>1473761.83371795</v>
      </c>
      <c r="H74" s="61" t="n">
        <f aca="false">(H38*Inputs!$B$5+H39*Inputs!$B$6+H40*Inputs!$B$4)*H$55</f>
        <v>1610845.20405503</v>
      </c>
    </row>
    <row r="75" customFormat="false" ht="15" hidden="false" customHeight="false" outlineLevel="0" collapsed="false">
      <c r="A75" s="0" t="s">
        <v>88</v>
      </c>
      <c r="C75" s="61" t="n">
        <f aca="false">(C41*Inputs!$B$5+C42*Inputs!$B$6+C43*Inputs!$B$4)*C$55</f>
        <v>676267</v>
      </c>
      <c r="D75" s="61" t="n">
        <f aca="false">(D41*Inputs!$B$5+D42*Inputs!$B$6+D43*Inputs!$B$4)*D$55</f>
        <v>746544.75</v>
      </c>
      <c r="E75" s="61" t="n">
        <f aca="false">(E41*Inputs!$B$5+E42*Inputs!$B$6+E43*Inputs!$B$4)*E$55</f>
        <v>798646.653</v>
      </c>
      <c r="F75" s="61" t="n">
        <f aca="false">(F41*Inputs!$B$5+F42*Inputs!$B$6+F43*Inputs!$B$4)*F$55</f>
        <v>853772.0058</v>
      </c>
      <c r="G75" s="61" t="n">
        <f aca="false">(G41*Inputs!$B$5+G42*Inputs!$B$6+G43*Inputs!$B$4)*G$55</f>
        <v>904576.6756866</v>
      </c>
      <c r="H75" s="61" t="n">
        <f aca="false">(H41*Inputs!$B$5+H42*Inputs!$B$6+H43*Inputs!$B$4)*H$55</f>
        <v>964430.49114804</v>
      </c>
    </row>
    <row r="76" customFormat="false" ht="15" hidden="false" customHeight="false" outlineLevel="0" collapsed="false">
      <c r="A76" s="0" t="s">
        <v>89</v>
      </c>
      <c r="C76" s="61" t="n">
        <f aca="false">(C44*Inputs!$B$5+C45*Inputs!$B$4)*C$55</f>
        <v>378827</v>
      </c>
      <c r="D76" s="61" t="n">
        <f aca="false">(D44*Inputs!$B$5+D45*Inputs!$B$4)*D$55</f>
        <v>407296.05</v>
      </c>
      <c r="E76" s="61" t="n">
        <f aca="false">(E44*Inputs!$B$5+E45*Inputs!$B$4)*E$55</f>
        <v>413073.5175</v>
      </c>
      <c r="F76" s="61" t="n">
        <f aca="false">(F44*Inputs!$B$5+F45*Inputs!$B$4)*F$55</f>
        <v>419678.77875</v>
      </c>
      <c r="G76" s="61" t="n">
        <f aca="false">(G44*Inputs!$B$5+G45*Inputs!$B$4)*G$55</f>
        <v>429438.59672805</v>
      </c>
      <c r="H76" s="61" t="n">
        <f aca="false">(H44*Inputs!$B$5+H45*Inputs!$B$4)*H$55</f>
        <v>442091.306701044</v>
      </c>
    </row>
    <row r="77" customFormat="false" ht="15" hidden="false" customHeight="false" outlineLevel="0" collapsed="false">
      <c r="A77" s="3" t="s">
        <v>246</v>
      </c>
      <c r="C77" s="70" t="n">
        <f aca="false">SUM(C59:C76)</f>
        <v>54054268.7794796</v>
      </c>
      <c r="D77" s="70" t="n">
        <f aca="false">SUM(D59:D76)</f>
        <v>56950221.93</v>
      </c>
      <c r="E77" s="70" t="n">
        <f aca="false">SUM(E59:E76)</f>
        <v>58838553.0647964</v>
      </c>
      <c r="F77" s="70" t="n">
        <f aca="false">SUM(F59:F76)</f>
        <v>60914627.5492713</v>
      </c>
      <c r="G77" s="70" t="n">
        <f aca="false">SUM(G59:G76)</f>
        <v>63295962.707631</v>
      </c>
      <c r="H77" s="70" t="n">
        <f aca="false">SUM(H59:H76)</f>
        <v>65974506.0419239</v>
      </c>
    </row>
    <row r="79" customFormat="false" ht="15" hidden="false" customHeight="false" outlineLevel="0" collapsed="false">
      <c r="A79" s="3" t="s">
        <v>256</v>
      </c>
    </row>
    <row r="80" customFormat="false" ht="30" hidden="false" customHeight="true" outlineLevel="0" collapsed="false">
      <c r="A80" s="69" t="s">
        <v>233</v>
      </c>
      <c r="B80" s="69"/>
      <c r="C80" s="69" t="s">
        <v>234</v>
      </c>
      <c r="D80" s="69" t="s">
        <v>235</v>
      </c>
      <c r="E80" s="69" t="s">
        <v>236</v>
      </c>
      <c r="F80" s="69" t="s">
        <v>237</v>
      </c>
      <c r="G80" s="69" t="s">
        <v>238</v>
      </c>
      <c r="H80" s="69" t="s">
        <v>239</v>
      </c>
      <c r="I80" s="69"/>
    </row>
    <row r="81" customFormat="false" ht="15" hidden="false" customHeight="false" outlineLevel="0" collapsed="false">
      <c r="A81" s="0" t="s">
        <v>58</v>
      </c>
      <c r="D81" s="56" t="n">
        <f aca="false">IFERROR('Dashboard (2)'!Z9/D59,0)</f>
        <v>0.586340373542995</v>
      </c>
      <c r="E81" s="56" t="n">
        <f aca="false">IF(D81&gt;=Inputs!$B$38,D81,MIN(D81+'Dashboard (2)'!$N$2,Inputs!$B$38))</f>
        <v>0.596340373542995</v>
      </c>
      <c r="F81" s="56" t="n">
        <f aca="false">IF(E81&gt;=Inputs!$B$38,E81,MIN(E81+'Dashboard (2)'!$N$2,Inputs!$B$38))</f>
        <v>0.606340373542995</v>
      </c>
      <c r="G81" s="56" t="n">
        <f aca="false">IF(F81&gt;=Inputs!$B$38,F81,MIN(F81+'Dashboard (2)'!$N$2,Inputs!$B$38))</f>
        <v>0.616340373542995</v>
      </c>
      <c r="H81" s="56" t="n">
        <f aca="false">IF(G81&gt;=Inputs!$B$38,G81,MIN(G81+'Dashboard (2)'!$N$2,Inputs!$B$38))</f>
        <v>0.626340373542995</v>
      </c>
    </row>
    <row r="82" customFormat="false" ht="15" hidden="false" customHeight="false" outlineLevel="0" collapsed="false">
      <c r="A82" s="0" t="s">
        <v>64</v>
      </c>
      <c r="D82" s="56" t="n">
        <f aca="false">IFERROR('Dashboard (2)'!Z10/D60,0)</f>
        <v>0.383864284792202</v>
      </c>
      <c r="E82" s="56" t="n">
        <f aca="false">IF(D82&gt;=Inputs!$B$38,D82,MIN(D82+'Dashboard (2)'!$N$2,Inputs!$B$38))</f>
        <v>0.393864284792202</v>
      </c>
      <c r="F82" s="56" t="n">
        <f aca="false">IF(E82&gt;=Inputs!$B$38,E82,MIN(E82+'Dashboard (2)'!$N$2,Inputs!$B$38))</f>
        <v>0.403864284792202</v>
      </c>
      <c r="G82" s="56" t="n">
        <f aca="false">IF(F82&gt;=Inputs!$B$38,F82,MIN(F82+'Dashboard (2)'!$N$2,Inputs!$B$38))</f>
        <v>0.413864284792202</v>
      </c>
      <c r="H82" s="56" t="n">
        <f aca="false">IF(G82&gt;=Inputs!$B$38,G82,MIN(G82+'Dashboard (2)'!$N$2,Inputs!$B$38))</f>
        <v>0.423864284792202</v>
      </c>
    </row>
    <row r="83" customFormat="false" ht="15" hidden="false" customHeight="false" outlineLevel="0" collapsed="false">
      <c r="A83" s="0" t="s">
        <v>67</v>
      </c>
      <c r="D83" s="56" t="n">
        <f aca="false">IFERROR('Dashboard (2)'!Z11/D61,0)</f>
        <v>0.533856054506564</v>
      </c>
      <c r="E83" s="56" t="n">
        <f aca="false">IF(D83&gt;=Inputs!$B$38,D83,MIN(D83+'Dashboard (2)'!$N$2,Inputs!$B$38))</f>
        <v>0.543856054506564</v>
      </c>
      <c r="F83" s="56" t="n">
        <f aca="false">IF(E83&gt;=Inputs!$B$38,E83,MIN(E83+'Dashboard (2)'!$N$2,Inputs!$B$38))</f>
        <v>0.553856054506564</v>
      </c>
      <c r="G83" s="56" t="n">
        <f aca="false">IF(F83&gt;=Inputs!$B$38,F83,MIN(F83+'Dashboard (2)'!$N$2,Inputs!$B$38))</f>
        <v>0.563856054506564</v>
      </c>
      <c r="H83" s="56" t="n">
        <f aca="false">IF(G83&gt;=Inputs!$B$38,G83,MIN(G83+'Dashboard (2)'!$N$2,Inputs!$B$38))</f>
        <v>0.573856054506564</v>
      </c>
    </row>
    <row r="84" customFormat="false" ht="15" hidden="false" customHeight="false" outlineLevel="0" collapsed="false">
      <c r="A84" s="0" t="s">
        <v>69</v>
      </c>
      <c r="D84" s="56" t="n">
        <f aca="false">IFERROR('Dashboard (2)'!Z12/D62,0)</f>
        <v>0.681427860522166</v>
      </c>
      <c r="E84" s="56" t="n">
        <f aca="false">IF(D84&gt;=Inputs!$B$38,D84,MIN(D84+'Dashboard (2)'!$N$2,Inputs!$B$38))</f>
        <v>0.691427860522166</v>
      </c>
      <c r="F84" s="56" t="n">
        <f aca="false">IF(E84&gt;=Inputs!$B$38,E84,MIN(E84+'Dashboard (2)'!$N$2,Inputs!$B$38))</f>
        <v>0.701427860522166</v>
      </c>
      <c r="G84" s="56" t="n">
        <f aca="false">IF(F84&gt;=Inputs!$B$38,F84,MIN(F84+'Dashboard (2)'!$N$2,Inputs!$B$38))</f>
        <v>0.711427860522166</v>
      </c>
      <c r="H84" s="56" t="n">
        <f aca="false">IF(G84&gt;=Inputs!$B$38,G84,MIN(G84+'Dashboard (2)'!$N$2,Inputs!$B$38))</f>
        <v>0.721427860522166</v>
      </c>
    </row>
    <row r="85" customFormat="false" ht="15" hidden="false" customHeight="false" outlineLevel="0" collapsed="false">
      <c r="A85" s="0" t="s">
        <v>70</v>
      </c>
      <c r="D85" s="56" t="n">
        <f aca="false">IFERROR('Dashboard (2)'!Z13/D63,0)</f>
        <v>0.947323771433825</v>
      </c>
      <c r="E85" s="56" t="n">
        <f aca="false">IF(D85&gt;=Inputs!$B$38,D85,MIN(D85+'Dashboard (2)'!$N$2,Inputs!$B$38))</f>
        <v>0.957323771433825</v>
      </c>
      <c r="F85" s="56" t="n">
        <f aca="false">IF(E85&gt;=Inputs!$B$38,E85,MIN(E85+'Dashboard (2)'!$N$2,Inputs!$B$38))</f>
        <v>0.967323771433825</v>
      </c>
      <c r="G85" s="56" t="n">
        <f aca="false">IF(F85&gt;=Inputs!$B$38,F85,MIN(F85+'Dashboard (2)'!$N$2,Inputs!$B$38))</f>
        <v>0.977323771433825</v>
      </c>
      <c r="H85" s="56" t="n">
        <f aca="false">IF(G85&gt;=Inputs!$B$38,G85,MIN(G85+'Dashboard (2)'!$N$2,Inputs!$B$38))</f>
        <v>0.987323771433825</v>
      </c>
    </row>
    <row r="86" customFormat="false" ht="15" hidden="false" customHeight="false" outlineLevel="0" collapsed="false">
      <c r="A86" s="0" t="s">
        <v>71</v>
      </c>
      <c r="D86" s="56" t="n">
        <f aca="false">IFERROR('Dashboard (2)'!Z14/D64,0)</f>
        <v>0.664342773397685</v>
      </c>
      <c r="E86" s="56" t="n">
        <f aca="false">IF(D86&gt;=Inputs!$B$38,D86,MIN(D86+'Dashboard (2)'!$N$2,Inputs!$B$38))</f>
        <v>0.674342773397685</v>
      </c>
      <c r="F86" s="56" t="n">
        <f aca="false">IF(E86&gt;=Inputs!$B$38,E86,MIN(E86+'Dashboard (2)'!$N$2,Inputs!$B$38))</f>
        <v>0.684342773397685</v>
      </c>
      <c r="G86" s="56" t="n">
        <f aca="false">IF(F86&gt;=Inputs!$B$38,F86,MIN(F86+'Dashboard (2)'!$N$2,Inputs!$B$38))</f>
        <v>0.694342773397685</v>
      </c>
      <c r="H86" s="56" t="n">
        <f aca="false">IF(G86&gt;=Inputs!$B$38,G86,MIN(G86+'Dashboard (2)'!$N$2,Inputs!$B$38))</f>
        <v>0.704342773397685</v>
      </c>
    </row>
    <row r="87" customFormat="false" ht="15" hidden="false" customHeight="false" outlineLevel="0" collapsed="false">
      <c r="A87" s="0" t="s">
        <v>72</v>
      </c>
      <c r="D87" s="56" t="n">
        <f aca="false">IFERROR('Dashboard (2)'!Z15/D65,0)</f>
        <v>0.389582437915494</v>
      </c>
      <c r="E87" s="56" t="n">
        <f aca="false">IF(D87&gt;=Inputs!$B$38,D87,MIN(D87+'Dashboard (2)'!$N$2,Inputs!$B$38))</f>
        <v>0.399582437915494</v>
      </c>
      <c r="F87" s="56" t="n">
        <f aca="false">IF(E87&gt;=Inputs!$B$38,E87,MIN(E87+'Dashboard (2)'!$N$2,Inputs!$B$38))</f>
        <v>0.409582437915494</v>
      </c>
      <c r="G87" s="56" t="n">
        <f aca="false">IF(F87&gt;=Inputs!$B$38,F87,MIN(F87+'Dashboard (2)'!$N$2,Inputs!$B$38))</f>
        <v>0.419582437915494</v>
      </c>
      <c r="H87" s="56" t="n">
        <f aca="false">IF(G87&gt;=Inputs!$B$38,G87,MIN(G87+'Dashboard (2)'!$N$2,Inputs!$B$38))</f>
        <v>0.429582437915494</v>
      </c>
    </row>
    <row r="88" customFormat="false" ht="15" hidden="false" customHeight="false" outlineLevel="0" collapsed="false">
      <c r="A88" s="0" t="s">
        <v>73</v>
      </c>
      <c r="D88" s="56" t="n">
        <f aca="false">IFERROR('Dashboard (2)'!Z16/D66,0)</f>
        <v>1.24987952423584</v>
      </c>
      <c r="E88" s="56" t="n">
        <f aca="false">IF(D88&gt;=Inputs!$B$38,D88,MIN(D88+'Dashboard (2)'!$N$2,Inputs!$B$38))</f>
        <v>1.25987952423584</v>
      </c>
      <c r="F88" s="56" t="n">
        <f aca="false">IF(E88&gt;=Inputs!$B$38,E88,MIN(E88+'Dashboard (2)'!$N$2,Inputs!$B$38))</f>
        <v>1.26987952423584</v>
      </c>
      <c r="G88" s="56" t="n">
        <f aca="false">IF(F88&gt;=Inputs!$B$38,F88,MIN(F88+'Dashboard (2)'!$N$2,Inputs!$B$38))</f>
        <v>1.27987952423584</v>
      </c>
      <c r="H88" s="56" t="n">
        <f aca="false">IF(G88&gt;=Inputs!$B$38,G88,MIN(G88+'Dashboard (2)'!$N$2,Inputs!$B$38))</f>
        <v>1.28987952423584</v>
      </c>
    </row>
    <row r="89" customFormat="false" ht="15" hidden="false" customHeight="false" outlineLevel="0" collapsed="false">
      <c r="A89" s="0" t="s">
        <v>74</v>
      </c>
      <c r="D89" s="56" t="n">
        <f aca="false">IFERROR('Dashboard (2)'!Z17/D67,0)</f>
        <v>0.68785892700088</v>
      </c>
      <c r="E89" s="56" t="n">
        <f aca="false">IF(D89&gt;=Inputs!$B$38,D89,MIN(D89+'Dashboard (2)'!$N$2,Inputs!$B$38))</f>
        <v>0.69785892700088</v>
      </c>
      <c r="F89" s="56" t="n">
        <f aca="false">IF(E89&gt;=Inputs!$B$38,E89,MIN(E89+'Dashboard (2)'!$N$2,Inputs!$B$38))</f>
        <v>0.70785892700088</v>
      </c>
      <c r="G89" s="56" t="n">
        <f aca="false">IF(F89&gt;=Inputs!$B$38,F89,MIN(F89+'Dashboard (2)'!$N$2,Inputs!$B$38))</f>
        <v>0.71785892700088</v>
      </c>
      <c r="H89" s="56" t="n">
        <f aca="false">IF(G89&gt;=Inputs!$B$38,G89,MIN(G89+'Dashboard (2)'!$N$2,Inputs!$B$38))</f>
        <v>0.72785892700088</v>
      </c>
    </row>
    <row r="90" customFormat="false" ht="15" hidden="false" customHeight="false" outlineLevel="0" collapsed="false">
      <c r="A90" s="0" t="s">
        <v>75</v>
      </c>
      <c r="D90" s="56" t="n">
        <f aca="false">IFERROR('Dashboard (2)'!Z18/D68,0)</f>
        <v>0.822088389513109</v>
      </c>
      <c r="E90" s="56" t="n">
        <f aca="false">IF(D90&gt;=Inputs!$B$38,D90,MIN(D90+'Dashboard (2)'!$N$2,Inputs!$B$38))</f>
        <v>0.832088389513109</v>
      </c>
      <c r="F90" s="56" t="n">
        <f aca="false">IF(E90&gt;=Inputs!$B$38,E90,MIN(E90+'Dashboard (2)'!$N$2,Inputs!$B$38))</f>
        <v>0.842088389513109</v>
      </c>
      <c r="G90" s="56" t="n">
        <f aca="false">IF(F90&gt;=Inputs!$B$38,F90,MIN(F90+'Dashboard (2)'!$N$2,Inputs!$B$38))</f>
        <v>0.852088389513109</v>
      </c>
      <c r="H90" s="56" t="n">
        <f aca="false">IF(G90&gt;=Inputs!$B$38,G90,MIN(G90+'Dashboard (2)'!$N$2,Inputs!$B$38))</f>
        <v>0.862088389513109</v>
      </c>
    </row>
    <row r="91" customFormat="false" ht="15" hidden="false" customHeight="false" outlineLevel="0" collapsed="false">
      <c r="A91" s="0" t="s">
        <v>76</v>
      </c>
      <c r="D91" s="56" t="n">
        <f aca="false">IFERROR('Dashboard (2)'!Z19/D69,0)</f>
        <v>0.99602497665733</v>
      </c>
      <c r="E91" s="56" t="n">
        <f aca="false">IF(D91&gt;=Inputs!$B$38,D91,MIN(D91+'Dashboard (2)'!$N$2,Inputs!$B$38))</f>
        <v>1.00602497665733</v>
      </c>
      <c r="F91" s="56" t="n">
        <f aca="false">IF(E91&gt;=Inputs!$B$38,E91,MIN(E91+'Dashboard (2)'!$N$2,Inputs!$B$38))</f>
        <v>1.01602497665733</v>
      </c>
      <c r="G91" s="56" t="n">
        <f aca="false">IF(F91&gt;=Inputs!$B$38,F91,MIN(F91+'Dashboard (2)'!$N$2,Inputs!$B$38))</f>
        <v>1.02602497665733</v>
      </c>
      <c r="H91" s="56" t="n">
        <f aca="false">IF(G91&gt;=Inputs!$B$38,G91,MIN(G91+'Dashboard (2)'!$N$2,Inputs!$B$38))</f>
        <v>1.03602497665733</v>
      </c>
    </row>
    <row r="92" customFormat="false" ht="15" hidden="false" customHeight="false" outlineLevel="0" collapsed="false">
      <c r="A92" s="0" t="s">
        <v>77</v>
      </c>
      <c r="D92" s="56" t="n">
        <f aca="false">IFERROR('Dashboard (2)'!Z23/D70,0)</f>
        <v>0.724912730287715</v>
      </c>
      <c r="E92" s="56" t="n">
        <f aca="false">IF(D92&gt;=Inputs!$B$38,D92,MIN(D92+'Dashboard (2)'!$N$2,Inputs!$B$38))</f>
        <v>0.734912730287715</v>
      </c>
      <c r="F92" s="56" t="n">
        <f aca="false">IF(E92&gt;=Inputs!$B$38,E92,MIN(E92+'Dashboard (2)'!$N$2,Inputs!$B$38))</f>
        <v>0.744912730287715</v>
      </c>
      <c r="G92" s="56" t="n">
        <f aca="false">IF(F92&gt;=Inputs!$B$38,F92,MIN(F92+'Dashboard (2)'!$N$2,Inputs!$B$38))</f>
        <v>0.754912730287715</v>
      </c>
      <c r="H92" s="56" t="n">
        <f aca="false">IF(G92&gt;=Inputs!$B$38,G92,MIN(G92+'Dashboard (2)'!$N$2,Inputs!$B$38))</f>
        <v>0.764912730287715</v>
      </c>
    </row>
    <row r="93" customFormat="false" ht="15" hidden="false" customHeight="false" outlineLevel="0" collapsed="false">
      <c r="A93" s="0" t="s">
        <v>81</v>
      </c>
      <c r="D93" s="56" t="n">
        <f aca="false">IFERROR('Dashboard (2)'!Z26/D71,0)</f>
        <v>0.934513372740489</v>
      </c>
      <c r="E93" s="56" t="n">
        <f aca="false">IF(D93&gt;=Inputs!$B$38,D93,MIN(D93+'Dashboard (2)'!$N$2,Inputs!$B$38))</f>
        <v>0.944513372740489</v>
      </c>
      <c r="F93" s="56" t="n">
        <f aca="false">IF(E93&gt;=Inputs!$B$38,E93,MIN(E93+'Dashboard (2)'!$N$2,Inputs!$B$38))</f>
        <v>0.954513372740489</v>
      </c>
      <c r="G93" s="56" t="n">
        <f aca="false">IF(F93&gt;=Inputs!$B$38,F93,MIN(F93+'Dashboard (2)'!$N$2,Inputs!$B$38))</f>
        <v>0.964513372740489</v>
      </c>
      <c r="H93" s="56" t="n">
        <f aca="false">IF(G93&gt;=Inputs!$B$38,G93,MIN(G93+'Dashboard (2)'!$N$2,Inputs!$B$38))</f>
        <v>0.974513372740489</v>
      </c>
    </row>
    <row r="94" customFormat="false" ht="15" hidden="false" customHeight="false" outlineLevel="0" collapsed="false">
      <c r="A94" s="0" t="s">
        <v>82</v>
      </c>
      <c r="D94" s="56" t="n">
        <f aca="false">IFERROR('Dashboard (2)'!Z30/D72,0)</f>
        <v>0.551171901576825</v>
      </c>
      <c r="E94" s="56" t="n">
        <f aca="false">IF(D94&gt;=Inputs!$B$38,D94,MIN(D94+'Dashboard (2)'!$N$2,Inputs!$B$38))</f>
        <v>0.561171901576825</v>
      </c>
      <c r="F94" s="56" t="n">
        <f aca="false">IF(E94&gt;=Inputs!$B$38,E94,MIN(E94+'Dashboard (2)'!$N$2,Inputs!$B$38))</f>
        <v>0.571171901576825</v>
      </c>
      <c r="G94" s="56" t="n">
        <f aca="false">IF(F94&gt;=Inputs!$B$38,F94,MIN(F94+'Dashboard (2)'!$N$2,Inputs!$B$38))</f>
        <v>0.581171901576825</v>
      </c>
      <c r="H94" s="56" t="n">
        <f aca="false">IF(G94&gt;=Inputs!$B$38,G94,MIN(G94+'Dashboard (2)'!$N$2,Inputs!$B$38))</f>
        <v>0.591171901576825</v>
      </c>
    </row>
    <row r="95" customFormat="false" ht="15" hidden="false" customHeight="false" outlineLevel="0" collapsed="false">
      <c r="A95" s="0" t="s">
        <v>85</v>
      </c>
      <c r="D95" s="56" t="n">
        <f aca="false">IFERROR('Dashboard (2)'!Z34/D73,0)</f>
        <v>1.05915568856723</v>
      </c>
      <c r="E95" s="56" t="n">
        <f aca="false">IF(D95&gt;=Inputs!$B$38,D95,MIN(D95+'Dashboard (2)'!$N$2,Inputs!$B$38))</f>
        <v>1.06915568856723</v>
      </c>
      <c r="F95" s="56" t="n">
        <f aca="false">IF(E95&gt;=Inputs!$B$38,E95,MIN(E95+'Dashboard (2)'!$N$2,Inputs!$B$38))</f>
        <v>1.07915568856723</v>
      </c>
      <c r="G95" s="56" t="n">
        <f aca="false">IF(F95&gt;=Inputs!$B$38,F95,MIN(F95+'Dashboard (2)'!$N$2,Inputs!$B$38))</f>
        <v>1.08915568856723</v>
      </c>
      <c r="H95" s="56" t="n">
        <f aca="false">IF(G95&gt;=Inputs!$B$38,G95,MIN(G95+'Dashboard (2)'!$N$2,Inputs!$B$38))</f>
        <v>1.09915568856723</v>
      </c>
    </row>
    <row r="96" customFormat="false" ht="15" hidden="false" customHeight="false" outlineLevel="0" collapsed="false">
      <c r="A96" s="0" t="s">
        <v>86</v>
      </c>
      <c r="D96" s="56" t="n">
        <f aca="false">IFERROR('Dashboard (2)'!Z37/D74,0)</f>
        <v>0.549069108245251</v>
      </c>
      <c r="E96" s="56" t="n">
        <f aca="false">IF(D96&gt;=Inputs!$B$38,D96,MIN(D96+'Dashboard (2)'!$N$2,Inputs!$B$38))</f>
        <v>0.559069108245251</v>
      </c>
      <c r="F96" s="56" t="n">
        <f aca="false">IF(E96&gt;=Inputs!$B$38,E96,MIN(E96+'Dashboard (2)'!$N$2,Inputs!$B$38))</f>
        <v>0.569069108245251</v>
      </c>
      <c r="G96" s="56" t="n">
        <f aca="false">IF(F96&gt;=Inputs!$B$38,F96,MIN(F96+'Dashboard (2)'!$N$2,Inputs!$B$38))</f>
        <v>0.579069108245251</v>
      </c>
      <c r="H96" s="56" t="n">
        <f aca="false">IF(G96&gt;=Inputs!$B$38,G96,MIN(G96+'Dashboard (2)'!$N$2,Inputs!$B$38))</f>
        <v>0.589069108245251</v>
      </c>
    </row>
    <row r="97" customFormat="false" ht="15" hidden="false" customHeight="false" outlineLevel="0" collapsed="false">
      <c r="A97" s="0" t="s">
        <v>88</v>
      </c>
      <c r="D97" s="56" t="n">
        <f aca="false">IFERROR('Dashboard (2)'!Z40/D75,0)</f>
        <v>0.742358449644177</v>
      </c>
      <c r="E97" s="56" t="n">
        <f aca="false">IF(D97&gt;=Inputs!$B$38,D97,MIN(D97+'Dashboard (2)'!$N$2,Inputs!$B$38))</f>
        <v>0.752358449644177</v>
      </c>
      <c r="F97" s="56" t="n">
        <f aca="false">IF(E97&gt;=Inputs!$B$38,E97,MIN(E97+'Dashboard (2)'!$N$2,Inputs!$B$38))</f>
        <v>0.762358449644177</v>
      </c>
      <c r="G97" s="56" t="n">
        <f aca="false">IF(F97&gt;=Inputs!$B$38,F97,MIN(F97+'Dashboard (2)'!$N$2,Inputs!$B$38))</f>
        <v>0.772358449644177</v>
      </c>
      <c r="H97" s="56" t="n">
        <f aca="false">IF(G97&gt;=Inputs!$B$38,G97,MIN(G97+'Dashboard (2)'!$N$2,Inputs!$B$38))</f>
        <v>0.782358449644177</v>
      </c>
    </row>
    <row r="98" customFormat="false" ht="15" hidden="false" customHeight="false" outlineLevel="0" collapsed="false">
      <c r="A98" s="0" t="s">
        <v>89</v>
      </c>
      <c r="D98" s="56" t="n">
        <f aca="false">IFERROR('Dashboard (2)'!Z43/D76,0)</f>
        <v>0.591064524195607</v>
      </c>
      <c r="E98" s="56" t="n">
        <f aca="false">IF(D98&gt;=Inputs!$B$38,D98,MIN(D98+'Dashboard (2)'!$N$2,Inputs!$B$38))</f>
        <v>0.601064524195607</v>
      </c>
      <c r="F98" s="56" t="n">
        <f aca="false">IF(E98&gt;=Inputs!$B$38,E98,MIN(E98+'Dashboard (2)'!$N$2,Inputs!$B$38))</f>
        <v>0.611064524195607</v>
      </c>
      <c r="G98" s="56" t="n">
        <f aca="false">IF(F98&gt;=Inputs!$B$38,F98,MIN(F98+'Dashboard (2)'!$N$2,Inputs!$B$38))</f>
        <v>0.621064524195607</v>
      </c>
      <c r="H98" s="56" t="n">
        <f aca="false">IF(G98&gt;=Inputs!$B$38,G98,MIN(G98+'Dashboard (2)'!$N$2,Inputs!$B$38))</f>
        <v>0.631064524195607</v>
      </c>
    </row>
    <row r="100" customFormat="false" ht="15" hidden="false" customHeight="false" outlineLevel="0" collapsed="false">
      <c r="A100" s="3" t="s">
        <v>257</v>
      </c>
    </row>
    <row r="101" customFormat="false" ht="30" hidden="false" customHeight="true" outlineLevel="0" collapsed="false">
      <c r="A101" s="69" t="s">
        <v>233</v>
      </c>
      <c r="B101" s="69"/>
      <c r="C101" s="69" t="s">
        <v>234</v>
      </c>
      <c r="D101" s="69" t="s">
        <v>235</v>
      </c>
      <c r="E101" s="69" t="s">
        <v>236</v>
      </c>
      <c r="F101" s="69" t="s">
        <v>237</v>
      </c>
      <c r="G101" s="69" t="s">
        <v>238</v>
      </c>
      <c r="H101" s="69" t="s">
        <v>239</v>
      </c>
      <c r="I101" s="69"/>
    </row>
    <row r="102" customFormat="false" ht="15" hidden="false" customHeight="false" outlineLevel="0" collapsed="false">
      <c r="A102" s="0" t="s">
        <v>58</v>
      </c>
      <c r="D102" s="61" t="n">
        <f aca="false">D81*D59</f>
        <v>7350243.966</v>
      </c>
      <c r="E102" s="61" t="n">
        <f aca="false">E81*E59</f>
        <v>8098062.41602833</v>
      </c>
      <c r="F102" s="61" t="n">
        <f aca="false">F81*F59</f>
        <v>8840259.00964268</v>
      </c>
      <c r="G102" s="61" t="n">
        <f aca="false">G81*G59</f>
        <v>9590189.5773666</v>
      </c>
      <c r="H102" s="61" t="n">
        <f aca="false">H81*H59</f>
        <v>10356450.1709811</v>
      </c>
    </row>
    <row r="103" customFormat="false" ht="15" hidden="false" customHeight="false" outlineLevel="0" collapsed="false">
      <c r="A103" s="0" t="s">
        <v>64</v>
      </c>
      <c r="D103" s="61" t="n">
        <f aca="false">D82*D60</f>
        <v>3257137.9596</v>
      </c>
      <c r="E103" s="61" t="n">
        <f aca="false">E82*E60</f>
        <v>3510070.18805661</v>
      </c>
      <c r="F103" s="61" t="n">
        <f aca="false">F82*F60</f>
        <v>3811230.13378009</v>
      </c>
      <c r="G103" s="61" t="n">
        <f aca="false">G82*G60</f>
        <v>4130112.30847406</v>
      </c>
      <c r="H103" s="61" t="n">
        <f aca="false">H82*H60</f>
        <v>4470040.3851667</v>
      </c>
    </row>
    <row r="104" customFormat="false" ht="15" hidden="false" customHeight="false" outlineLevel="0" collapsed="false">
      <c r="A104" s="0" t="s">
        <v>67</v>
      </c>
      <c r="D104" s="61" t="n">
        <f aca="false">D83*D61</f>
        <v>6295804.49</v>
      </c>
      <c r="E104" s="61" t="n">
        <f aca="false">E83*E61</f>
        <v>6146484.37481548</v>
      </c>
      <c r="F104" s="61" t="n">
        <f aca="false">F83*F61</f>
        <v>6024356.52586206</v>
      </c>
      <c r="G104" s="61" t="n">
        <f aca="false">G83*G61</f>
        <v>5928305.9052072</v>
      </c>
      <c r="H104" s="61" t="n">
        <f aca="false">H83*H61</f>
        <v>5857050.15924673</v>
      </c>
    </row>
    <row r="105" customFormat="false" ht="15" hidden="false" customHeight="false" outlineLevel="0" collapsed="false">
      <c r="A105" s="0" t="s">
        <v>69</v>
      </c>
      <c r="D105" s="61" t="n">
        <f aca="false">D84*D62</f>
        <v>3062515.68</v>
      </c>
      <c r="E105" s="61" t="n">
        <f aca="false">E84*E62</f>
        <v>2959149.36248703</v>
      </c>
      <c r="F105" s="61" t="n">
        <f aca="false">F84*F62</f>
        <v>2846074.87159051</v>
      </c>
      <c r="G105" s="61" t="n">
        <f aca="false">G84*G62</f>
        <v>2717350.35734238</v>
      </c>
      <c r="H105" s="61" t="n">
        <f aca="false">H84*H62</f>
        <v>2610575.71948411</v>
      </c>
    </row>
    <row r="106" customFormat="false" ht="15" hidden="false" customHeight="false" outlineLevel="0" collapsed="false">
      <c r="A106" s="0" t="s">
        <v>70</v>
      </c>
      <c r="D106" s="61" t="n">
        <f aca="false">D85*D63</f>
        <v>1803124.225</v>
      </c>
      <c r="E106" s="61" t="n">
        <f aca="false">E85*E63</f>
        <v>1720485.64852034</v>
      </c>
      <c r="F106" s="61" t="n">
        <f aca="false">F85*F63</f>
        <v>1617126.37696371</v>
      </c>
      <c r="G106" s="61" t="n">
        <f aca="false">G85*G63</f>
        <v>1548297.76657651</v>
      </c>
      <c r="H106" s="61" t="n">
        <f aca="false">H85*H63</f>
        <v>1478340.26664577</v>
      </c>
    </row>
    <row r="107" customFormat="false" ht="15" hidden="false" customHeight="false" outlineLevel="0" collapsed="false">
      <c r="A107" s="0" t="s">
        <v>71</v>
      </c>
      <c r="D107" s="61" t="n">
        <f aca="false">D86*D64</f>
        <v>1507252.58</v>
      </c>
      <c r="E107" s="61" t="n">
        <f aca="false">E86*E64</f>
        <v>1599358.6487791</v>
      </c>
      <c r="F107" s="61" t="n">
        <f aca="false">F86*F64</f>
        <v>1684155.92551656</v>
      </c>
      <c r="G107" s="61" t="n">
        <f aca="false">G86*G64</f>
        <v>1777754.48986631</v>
      </c>
      <c r="H107" s="61" t="n">
        <f aca="false">H86*H64</f>
        <v>1849134.82814665</v>
      </c>
    </row>
    <row r="108" customFormat="false" ht="15" hidden="false" customHeight="false" outlineLevel="0" collapsed="false">
      <c r="A108" s="0" t="s">
        <v>72</v>
      </c>
      <c r="D108" s="61" t="n">
        <f aca="false">D87*D65</f>
        <v>368462.2</v>
      </c>
      <c r="E108" s="61" t="n">
        <f aca="false">E87*E65</f>
        <v>374564.631425409</v>
      </c>
      <c r="F108" s="61" t="n">
        <f aca="false">F87*F65</f>
        <v>378575.353229932</v>
      </c>
      <c r="G108" s="61" t="n">
        <f aca="false">G87*G65</f>
        <v>381279.501161767</v>
      </c>
      <c r="H108" s="61" t="n">
        <f aca="false">H87*H65</f>
        <v>385832.057159143</v>
      </c>
    </row>
    <row r="109" customFormat="false" ht="15" hidden="false" customHeight="false" outlineLevel="0" collapsed="false">
      <c r="A109" s="0" t="s">
        <v>73</v>
      </c>
      <c r="D109" s="61" t="n">
        <f aca="false">D88*D66</f>
        <v>366480.3</v>
      </c>
      <c r="E109" s="61" t="n">
        <f aca="false">E88*E66</f>
        <v>374022.63914906</v>
      </c>
      <c r="F109" s="61" t="n">
        <f aca="false">F88*F66</f>
        <v>374155.337882283</v>
      </c>
      <c r="G109" s="61" t="n">
        <f aca="false">G88*G66</f>
        <v>381439.461501514</v>
      </c>
      <c r="H109" s="61" t="n">
        <f aca="false">H88*H66</f>
        <v>413863.55179195</v>
      </c>
    </row>
    <row r="110" customFormat="false" ht="15" hidden="false" customHeight="false" outlineLevel="0" collapsed="false">
      <c r="A110" s="0" t="s">
        <v>74</v>
      </c>
      <c r="D110" s="61" t="n">
        <f aca="false">D89*D67</f>
        <v>205300.095</v>
      </c>
      <c r="E110" s="61" t="n">
        <f aca="false">E89*E67</f>
        <v>226420.328865435</v>
      </c>
      <c r="F110" s="61" t="n">
        <f aca="false">F89*F67</f>
        <v>245622.706724435</v>
      </c>
      <c r="G110" s="61" t="n">
        <f aca="false">G89*G67</f>
        <v>265831.431273669</v>
      </c>
      <c r="H110" s="61" t="n">
        <f aca="false">H89*H67</f>
        <v>286437.348099651</v>
      </c>
    </row>
    <row r="111" customFormat="false" ht="15" hidden="false" customHeight="false" outlineLevel="0" collapsed="false">
      <c r="A111" s="0" t="s">
        <v>75</v>
      </c>
      <c r="D111" s="61" t="n">
        <f aca="false">D90*D68</f>
        <v>192060.4</v>
      </c>
      <c r="E111" s="61" t="n">
        <f aca="false">E90*E68</f>
        <v>211252.368517416</v>
      </c>
      <c r="F111" s="61" t="n">
        <f aca="false">F90*F68</f>
        <v>228178.266744416</v>
      </c>
      <c r="G111" s="61" t="n">
        <f aca="false">G90*G68</f>
        <v>245146.988513782</v>
      </c>
      <c r="H111" s="61" t="n">
        <f aca="false">H90*H68</f>
        <v>264379.243888398</v>
      </c>
    </row>
    <row r="112" customFormat="false" ht="15" hidden="false" customHeight="false" outlineLevel="0" collapsed="false">
      <c r="A112" s="0" t="s">
        <v>76</v>
      </c>
      <c r="D112" s="61" t="n">
        <f aca="false">D91*D69</f>
        <v>106674.275</v>
      </c>
      <c r="E112" s="61" t="n">
        <f aca="false">E91*E69</f>
        <v>113969.677283701</v>
      </c>
      <c r="F112" s="61" t="n">
        <f aca="false">F91*F69</f>
        <v>125912.298616759</v>
      </c>
      <c r="G112" s="61" t="n">
        <f aca="false">G91*G69</f>
        <v>147152.931800153</v>
      </c>
      <c r="H112" s="61" t="n">
        <f aca="false">H91*H69</f>
        <v>172328.38857576</v>
      </c>
    </row>
    <row r="113" customFormat="false" ht="15" hidden="false" customHeight="false" outlineLevel="0" collapsed="false">
      <c r="A113" s="0" t="s">
        <v>77</v>
      </c>
      <c r="D113" s="61" t="n">
        <f aca="false">D92*D70</f>
        <v>2993651.0798</v>
      </c>
      <c r="E113" s="61" t="n">
        <f aca="false">E92*E70</f>
        <v>3258880.19271001</v>
      </c>
      <c r="F113" s="61" t="n">
        <f aca="false">F92*F70</f>
        <v>3606027.10433357</v>
      </c>
      <c r="G113" s="61" t="n">
        <f aca="false">G92*G70</f>
        <v>4115500.86687688</v>
      </c>
      <c r="H113" s="61" t="n">
        <f aca="false">H92*H70</f>
        <v>4739467.29018741</v>
      </c>
    </row>
    <row r="114" customFormat="false" ht="15" hidden="false" customHeight="false" outlineLevel="0" collapsed="false">
      <c r="A114" s="0" t="s">
        <v>81</v>
      </c>
      <c r="D114" s="61" t="n">
        <f aca="false">D93*D71</f>
        <v>2345890.3695</v>
      </c>
      <c r="E114" s="61" t="n">
        <f aca="false">E93*E71</f>
        <v>2415050.38452196</v>
      </c>
      <c r="F114" s="61" t="n">
        <f aca="false">F93*F71</f>
        <v>2481151.01700964</v>
      </c>
      <c r="G114" s="61" t="n">
        <f aca="false">G93*G71</f>
        <v>2554701.91916159</v>
      </c>
      <c r="H114" s="61" t="n">
        <f aca="false">H93*H71</f>
        <v>2638792.8734153</v>
      </c>
    </row>
    <row r="115" customFormat="false" ht="15" hidden="false" customHeight="false" outlineLevel="0" collapsed="false">
      <c r="A115" s="0" t="s">
        <v>82</v>
      </c>
      <c r="D115" s="61" t="n">
        <f aca="false">D94*D72</f>
        <v>1926457.8217</v>
      </c>
      <c r="E115" s="61" t="n">
        <f aca="false">E94*E72</f>
        <v>2168481.39530204</v>
      </c>
      <c r="F115" s="61" t="n">
        <f aca="false">F94*F72</f>
        <v>2404553.70277536</v>
      </c>
      <c r="G115" s="61" t="n">
        <f aca="false">G94*G72</f>
        <v>2647224.89234234</v>
      </c>
      <c r="H115" s="61" t="n">
        <f aca="false">H94*H72</f>
        <v>2912063.5178884</v>
      </c>
    </row>
    <row r="116" customFormat="false" ht="15" hidden="false" customHeight="false" outlineLevel="0" collapsed="false">
      <c r="A116" s="0" t="s">
        <v>85</v>
      </c>
      <c r="D116" s="61" t="n">
        <f aca="false">D95*D73</f>
        <v>1290623.255</v>
      </c>
      <c r="E116" s="61" t="n">
        <f aca="false">E95*E73</f>
        <v>1506509.56094738</v>
      </c>
      <c r="F116" s="61" t="n">
        <f aca="false">F95*F73</f>
        <v>1741250.50490981</v>
      </c>
      <c r="G116" s="61" t="n">
        <f aca="false">G95*G73</f>
        <v>1968578.92713128</v>
      </c>
      <c r="H116" s="61" t="n">
        <f aca="false">H95*H73</f>
        <v>2212856.81990278</v>
      </c>
    </row>
    <row r="117" customFormat="false" ht="15" hidden="false" customHeight="false" outlineLevel="0" collapsed="false">
      <c r="A117" s="0" t="s">
        <v>86</v>
      </c>
      <c r="D117" s="61" t="n">
        <f aca="false">D96*D74</f>
        <v>595224.3791</v>
      </c>
      <c r="E117" s="61" t="n">
        <f aca="false">E96*E74</f>
        <v>667838.576369936</v>
      </c>
      <c r="F117" s="61" t="n">
        <f aca="false">F96*F74</f>
        <v>758399.898943017</v>
      </c>
      <c r="G117" s="61" t="n">
        <f aca="false">G96*G74</f>
        <v>853409.95081694</v>
      </c>
      <c r="H117" s="61" t="n">
        <f aca="false">H96*H74</f>
        <v>948899.147873837</v>
      </c>
    </row>
    <row r="118" customFormat="false" ht="15" hidden="false" customHeight="false" outlineLevel="0" collapsed="false">
      <c r="A118" s="0" t="s">
        <v>88</v>
      </c>
      <c r="D118" s="61" t="n">
        <f aca="false">D97*D75</f>
        <v>554203.8032</v>
      </c>
      <c r="E118" s="61" t="n">
        <f aca="false">E97*E75</f>
        <v>600868.557664591</v>
      </c>
      <c r="F118" s="61" t="n">
        <f aca="false">F97*F75</f>
        <v>650880.302691288</v>
      </c>
      <c r="G118" s="61" t="n">
        <f aca="false">G97*G75</f>
        <v>698657.438817586</v>
      </c>
      <c r="H118" s="61" t="n">
        <f aca="false">H97*H75</f>
        <v>754530.343844153</v>
      </c>
    </row>
    <row r="119" customFormat="false" ht="15" hidden="false" customHeight="false" outlineLevel="0" collapsed="false">
      <c r="A119" s="0" t="s">
        <v>89</v>
      </c>
      <c r="D119" s="61" t="n">
        <f aca="false">D98*D76</f>
        <v>240738.246</v>
      </c>
      <c r="E119" s="61" t="n">
        <f aca="false">E98*E76</f>
        <v>248283.837253943</v>
      </c>
      <c r="F119" s="61" t="n">
        <f aca="false">F98*F76</f>
        <v>256450.813251862</v>
      </c>
      <c r="G119" s="61" t="n">
        <f aca="false">G98*G76</f>
        <v>266709.077748135</v>
      </c>
      <c r="H119" s="61" t="n">
        <f aca="false">H98*H76</f>
        <v>278988.140114308</v>
      </c>
    </row>
    <row r="120" customFormat="false" ht="15" hidden="false" customHeight="false" outlineLevel="0" collapsed="false">
      <c r="A120" s="3" t="s">
        <v>258</v>
      </c>
      <c r="D120" s="70" t="n">
        <f aca="false">SUM(D102:D119)</f>
        <v>34461845.1249</v>
      </c>
      <c r="E120" s="70" t="n">
        <f aca="false">SUM(E102:E119)</f>
        <v>36199752.7886978</v>
      </c>
      <c r="F120" s="70" t="n">
        <f aca="false">SUM(F102:F119)</f>
        <v>38074360.150468</v>
      </c>
      <c r="G120" s="70" t="n">
        <f aca="false">SUM(G102:G119)</f>
        <v>40217643.7919787</v>
      </c>
      <c r="H120" s="70" t="n">
        <f aca="false">SUM(H102:H119)</f>
        <v>42630030.2524122</v>
      </c>
    </row>
    <row r="121" customFormat="false" ht="15" hidden="false" customHeight="false" outlineLevel="0" collapsed="false">
      <c r="A121" s="73" t="s">
        <v>259</v>
      </c>
      <c r="D121" s="61" t="n">
        <f aca="false">Inputs!$D$23</f>
        <v>2062082.2818</v>
      </c>
      <c r="E121" s="61" t="n">
        <f aca="false">Inputs!$D$23</f>
        <v>2062082.2818</v>
      </c>
      <c r="F121" s="61" t="n">
        <f aca="false">Inputs!$D$23</f>
        <v>2062082.2818</v>
      </c>
      <c r="G121" s="61" t="n">
        <f aca="false">Inputs!$D$23</f>
        <v>2062082.2818</v>
      </c>
      <c r="H121" s="61" t="n">
        <f aca="false">Inputs!$D$23</f>
        <v>2062082.2818</v>
      </c>
    </row>
    <row r="122" customFormat="false" ht="15" hidden="false" customHeight="false" outlineLevel="0" collapsed="false">
      <c r="A122" s="3" t="s">
        <v>260</v>
      </c>
      <c r="D122" s="70" t="n">
        <f aca="false">D120+D121</f>
        <v>36523927.4067</v>
      </c>
      <c r="E122" s="70" t="n">
        <f aca="false">E120+E121</f>
        <v>38261835.0704978</v>
      </c>
      <c r="F122" s="70" t="n">
        <f aca="false">F120+F121</f>
        <v>40136442.432268</v>
      </c>
      <c r="G122" s="70" t="n">
        <f aca="false">G120+G121</f>
        <v>42279726.0737787</v>
      </c>
      <c r="H122" s="70" t="n">
        <f aca="false">H120+H121</f>
        <v>44692112.5342122</v>
      </c>
    </row>
    <row r="123" customFormat="false" ht="15" hidden="false" customHeight="false" outlineLevel="0" collapsed="false">
      <c r="A123" s="73" t="s">
        <v>261</v>
      </c>
      <c r="D123" s="61" t="n">
        <f aca="false">Inputs!D21</f>
        <v>35284444.2378</v>
      </c>
      <c r="E123" s="61" t="n">
        <f aca="false">Inputs!E21</f>
        <v>37530000</v>
      </c>
      <c r="F123" s="61" t="n">
        <f aca="false">Inputs!F21</f>
        <v>41530410</v>
      </c>
      <c r="G123" s="61" t="n">
        <f aca="false">Inputs!G21</f>
        <v>46385705</v>
      </c>
      <c r="H123" s="61" t="n">
        <f aca="false">Inputs!H21</f>
        <v>52096000</v>
      </c>
    </row>
    <row r="124" customFormat="false" ht="15" hidden="false" customHeight="false" outlineLevel="0" collapsed="false">
      <c r="A124" s="3" t="s">
        <v>262</v>
      </c>
      <c r="D124" s="70" t="n">
        <f aca="false">D122-D123</f>
        <v>1239483.1689</v>
      </c>
      <c r="E124" s="70" t="n">
        <f aca="false">E122-E123</f>
        <v>731835.070497781</v>
      </c>
      <c r="F124" s="70" t="n">
        <f aca="false">F122-F123</f>
        <v>-1393967.56773203</v>
      </c>
      <c r="G124" s="70" t="n">
        <f aca="false">G122-G123</f>
        <v>-4105978.92622131</v>
      </c>
      <c r="H124" s="70" t="n">
        <f aca="false">H122-H123</f>
        <v>-7403887.4657878</v>
      </c>
    </row>
    <row r="125" customFormat="false" ht="15" hidden="false" customHeight="false" outlineLevel="0" collapsed="false">
      <c r="A125" s="73" t="s">
        <v>263</v>
      </c>
      <c r="D125" s="56" t="n">
        <f aca="false">D120/D77</f>
        <v>0.605122227043444</v>
      </c>
      <c r="E125" s="56" t="n">
        <f aca="false">E120/E77</f>
        <v>0.615238664160087</v>
      </c>
      <c r="F125" s="56" t="n">
        <f aca="false">F120/F77</f>
        <v>0.625044618711182</v>
      </c>
      <c r="G125" s="56" t="n">
        <f aca="false">G120/G77</f>
        <v>0.635390348318852</v>
      </c>
      <c r="H125" s="56" t="n">
        <f aca="false">H120/H77</f>
        <v>0.64615914252276</v>
      </c>
    </row>
    <row r="127" customFormat="false" ht="15" hidden="false" customHeight="false" outlineLevel="0" collapsed="false">
      <c r="A127" s="53" t="s">
        <v>275</v>
      </c>
    </row>
    <row r="128" customFormat="false" ht="30" hidden="false" customHeight="true" outlineLevel="0" collapsed="false">
      <c r="A128" s="69"/>
      <c r="B128" s="69"/>
      <c r="C128" s="69" t="s">
        <v>234</v>
      </c>
      <c r="D128" s="69" t="s">
        <v>235</v>
      </c>
      <c r="E128" s="69" t="s">
        <v>236</v>
      </c>
      <c r="F128" s="69" t="s">
        <v>237</v>
      </c>
      <c r="G128" s="69" t="s">
        <v>238</v>
      </c>
      <c r="H128" s="69" t="s">
        <v>239</v>
      </c>
      <c r="I128" s="69"/>
    </row>
    <row r="129" customFormat="false" ht="15" hidden="false" customHeight="false" outlineLevel="0" collapsed="false">
      <c r="A129" s="73" t="s">
        <v>276</v>
      </c>
      <c r="D129" s="61" t="n">
        <f aca="false">'UIO V19'!D46</f>
        <v>172351</v>
      </c>
      <c r="E129" s="61" t="n">
        <f aca="false">'UIO V19'!E46</f>
        <v>180821</v>
      </c>
      <c r="F129" s="61" t="n">
        <f aca="false">'UIO V19'!F46</f>
        <v>189094</v>
      </c>
      <c r="G129" s="61" t="n">
        <f aca="false">'UIO V19'!G46</f>
        <v>197312</v>
      </c>
      <c r="H129" s="61" t="n">
        <f aca="false">'UIO V19'!H46</f>
        <v>205337</v>
      </c>
    </row>
    <row r="130" customFormat="false" ht="15" hidden="false" customHeight="false" outlineLevel="0" collapsed="false">
      <c r="A130" s="73" t="s">
        <v>277</v>
      </c>
      <c r="D130" s="61" t="n">
        <f aca="false">D46</f>
        <v>160938</v>
      </c>
      <c r="E130" s="61" t="n">
        <f aca="false">E46</f>
        <v>158501</v>
      </c>
      <c r="F130" s="61" t="n">
        <f aca="false">F46</f>
        <v>156308</v>
      </c>
      <c r="G130" s="61" t="n">
        <f aca="false">G46</f>
        <v>154655</v>
      </c>
      <c r="H130" s="61" t="n">
        <f aca="false">H46</f>
        <v>153516</v>
      </c>
    </row>
    <row r="131" customFormat="false" ht="15" hidden="false" customHeight="false" outlineLevel="0" collapsed="false">
      <c r="A131" s="73" t="s">
        <v>278</v>
      </c>
      <c r="D131" s="61" t="n">
        <f aca="false">'UIO V19'!D79</f>
        <v>60153414.93</v>
      </c>
      <c r="E131" s="61" t="n">
        <f aca="false">'UIO V19'!E79</f>
        <v>65330590.9982964</v>
      </c>
      <c r="F131" s="61" t="n">
        <f aca="false">'UIO V19'!F79</f>
        <v>70826305.1933913</v>
      </c>
      <c r="G131" s="61" t="n">
        <f aca="false">'UIO V19'!G79</f>
        <v>76669971.8295092</v>
      </c>
      <c r="H131" s="61" t="n">
        <f aca="false">'UIO V19'!H79</f>
        <v>82746973.1082239</v>
      </c>
    </row>
    <row r="132" customFormat="false" ht="15" hidden="false" customHeight="false" outlineLevel="0" collapsed="false">
      <c r="A132" s="73" t="s">
        <v>279</v>
      </c>
      <c r="D132" s="61" t="n">
        <f aca="false">D77</f>
        <v>56950221.93</v>
      </c>
      <c r="E132" s="61" t="n">
        <f aca="false">E77</f>
        <v>58838553.0647964</v>
      </c>
      <c r="F132" s="61" t="n">
        <f aca="false">F77</f>
        <v>60914627.5492713</v>
      </c>
      <c r="G132" s="61" t="n">
        <f aca="false">G77</f>
        <v>63295962.707631</v>
      </c>
      <c r="H132" s="61" t="n">
        <f aca="false">H77</f>
        <v>65974506.0419239</v>
      </c>
    </row>
    <row r="133" customFormat="false" ht="15" hidden="false" customHeight="false" outlineLevel="0" collapsed="false">
      <c r="A133" s="73" t="s">
        <v>280</v>
      </c>
      <c r="D133" s="61" t="n">
        <f aca="false">'UIO V19'!D124</f>
        <v>36523927.4067</v>
      </c>
      <c r="E133" s="61" t="n">
        <f aca="false">'UIO V19'!E124</f>
        <v>40310356.8080128</v>
      </c>
      <c r="F133" s="61" t="n">
        <f aca="false">'UIO V19'!F124</f>
        <v>44416228.278549</v>
      </c>
      <c r="G133" s="61" t="n">
        <f aca="false">'UIO V19'!G124</f>
        <v>48870058.9096173</v>
      </c>
      <c r="H133" s="61" t="n">
        <f aca="false">'UIO V19'!H124</f>
        <v>53597212.3769152</v>
      </c>
    </row>
    <row r="134" customFormat="false" ht="15" hidden="false" customHeight="false" outlineLevel="0" collapsed="false">
      <c r="A134" s="73" t="s">
        <v>281</v>
      </c>
      <c r="D134" s="61" t="n">
        <f aca="false">D122</f>
        <v>36523927.4067</v>
      </c>
      <c r="E134" s="61" t="n">
        <f aca="false">E122</f>
        <v>38261835.0704978</v>
      </c>
      <c r="F134" s="61" t="n">
        <f aca="false">F122</f>
        <v>40136442.432268</v>
      </c>
      <c r="G134" s="61" t="n">
        <f aca="false">G122</f>
        <v>42279726.0737787</v>
      </c>
      <c r="H134" s="61" t="n">
        <f aca="false">H122</f>
        <v>44692112.5342122</v>
      </c>
    </row>
    <row r="135" customFormat="false" ht="15" hidden="false" customHeight="false" outlineLevel="0" collapsed="false">
      <c r="A135" s="73" t="s">
        <v>261</v>
      </c>
      <c r="D135" s="61" t="n">
        <f aca="false">Inputs!D21</f>
        <v>35284444.2378</v>
      </c>
      <c r="E135" s="61" t="n">
        <f aca="false">Inputs!E21</f>
        <v>37530000</v>
      </c>
      <c r="F135" s="61" t="n">
        <f aca="false">Inputs!F21</f>
        <v>41530410</v>
      </c>
      <c r="G135" s="61" t="n">
        <f aca="false">Inputs!G21</f>
        <v>46385705</v>
      </c>
      <c r="H135" s="61" t="n">
        <f aca="false">Inputs!H21</f>
        <v>52096000</v>
      </c>
    </row>
    <row r="136" customFormat="false" ht="15" hidden="false" customHeight="false" outlineLevel="0" collapsed="false">
      <c r="A136" s="3" t="s">
        <v>282</v>
      </c>
      <c r="D136" s="70" t="n">
        <f aca="false">'UIO V19'!D126</f>
        <v>1239483.1689</v>
      </c>
      <c r="E136" s="70" t="n">
        <f aca="false">'UIO V19'!E126</f>
        <v>2780356.80801281</v>
      </c>
      <c r="F136" s="70" t="n">
        <f aca="false">'UIO V19'!F126</f>
        <v>2885818.27854896</v>
      </c>
      <c r="G136" s="70" t="n">
        <f aca="false">'UIO V19'!G126</f>
        <v>2484353.90961727</v>
      </c>
      <c r="H136" s="70" t="n">
        <f aca="false">'UIO V19'!H126</f>
        <v>1501212.37691522</v>
      </c>
    </row>
    <row r="137" customFormat="false" ht="15" hidden="false" customHeight="false" outlineLevel="0" collapsed="false">
      <c r="A137" s="3" t="s">
        <v>283</v>
      </c>
      <c r="D137" s="70" t="n">
        <f aca="false">D124</f>
        <v>1239483.1689</v>
      </c>
      <c r="E137" s="70" t="n">
        <f aca="false">E124</f>
        <v>731835.070497781</v>
      </c>
      <c r="F137" s="70" t="n">
        <f aca="false">F124</f>
        <v>-1393967.56773203</v>
      </c>
      <c r="G137" s="70" t="n">
        <f aca="false">G124</f>
        <v>-4105978.92622131</v>
      </c>
      <c r="H137" s="70" t="n">
        <f aca="false">H124</f>
        <v>-7403887.4657878</v>
      </c>
    </row>
  </sheetData>
  <mergeCells count="6">
    <mergeCell ref="A3:J3"/>
    <mergeCell ref="A4:J4"/>
    <mergeCell ref="A5:J5"/>
    <mergeCell ref="A6:J6"/>
    <mergeCell ref="A7:J7"/>
    <mergeCell ref="A8:J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false" showRowColHeaders="true" showZeros="true" rightToLeft="false" tabSelected="false" showOutlineSymbols="true" defaultGridColor="true" view="normal" topLeftCell="A4" colorId="64" zoomScale="100" zoomScaleNormal="100" zoomScalePageLayoutView="100" workbookViewId="0">
      <pane xSplit="10" ySplit="5" topLeftCell="K21" activePane="bottomRight" state="frozen"/>
      <selection pane="topLeft" activeCell="A4" activeCellId="0" sqref="A4"/>
      <selection pane="topRight" activeCell="K4" activeCellId="0" sqref="K4"/>
      <selection pane="bottomLeft" activeCell="A21" activeCellId="0" sqref="A21"/>
      <selection pane="bottomRight" activeCell="L5" activeCellId="0" sqref="L5"/>
    </sheetView>
  </sheetViews>
  <sheetFormatPr defaultColWidth="8.6328125" defaultRowHeight="15" zeroHeight="false" outlineLevelRow="0" outlineLevelCol="0"/>
  <cols>
    <col collapsed="false" customWidth="true" hidden="false" outlineLevel="0" max="1" min="1" style="0" width="13"/>
    <col collapsed="false" customWidth="true" hidden="false" outlineLevel="0" max="2" min="2" style="0" width="11"/>
    <col collapsed="false" customWidth="true" hidden="false" outlineLevel="0" max="4" min="3" style="0" width="14"/>
    <col collapsed="false" customWidth="true" hidden="false" outlineLevel="0" max="6" min="5" style="0" width="9"/>
    <col collapsed="false" customWidth="true" hidden="false" outlineLevel="0" max="7" min="7" style="0" width="12"/>
    <col collapsed="false" customWidth="true" hidden="false" outlineLevel="0" max="8" min="8" style="0" width="9"/>
    <col collapsed="false" customWidth="true" hidden="false" outlineLevel="0" max="9" min="9" style="0" width="15"/>
    <col collapsed="false" customWidth="true" hidden="true" outlineLevel="0" max="10" min="10" style="0" width="46"/>
    <col collapsed="false" customWidth="true" hidden="false" outlineLevel="0" max="11" min="11" style="0" width="2.45"/>
    <col collapsed="false" customWidth="true" hidden="false" outlineLevel="0" max="12" min="12" style="0" width="12.91"/>
    <col collapsed="false" customWidth="true" hidden="false" outlineLevel="0" max="14" min="13" style="74" width="15"/>
    <col collapsed="false" customWidth="true" hidden="false" outlineLevel="0" max="15" min="15" style="0" width="2.45"/>
    <col collapsed="false" customWidth="true" hidden="false" outlineLevel="0" max="17" min="16" style="74" width="14"/>
    <col collapsed="false" customWidth="true" hidden="false" outlineLevel="0" max="18" min="18" style="74" width="11"/>
    <col collapsed="false" customWidth="true" hidden="false" outlineLevel="0" max="19" min="19" style="74" width="10"/>
    <col collapsed="false" customWidth="true" hidden="false" outlineLevel="0" max="21" min="20" style="74" width="16"/>
    <col collapsed="false" customWidth="true" hidden="false" outlineLevel="0" max="22" min="22" style="74" width="42"/>
    <col collapsed="false" customWidth="true" hidden="false" outlineLevel="0" max="23" min="23" style="74" width="46"/>
  </cols>
  <sheetData>
    <row r="1" customFormat="false" ht="15.75" hidden="false" customHeight="true" outlineLevel="0" collapsed="false">
      <c r="A1" s="74" t="s">
        <v>0</v>
      </c>
    </row>
    <row r="2" customFormat="false" ht="14.25" hidden="false" customHeight="true" outlineLevel="0" collapsed="false">
      <c r="A2" s="75" t="s">
        <v>6</v>
      </c>
    </row>
    <row r="3" customFormat="false" ht="27.75" hidden="false" customHeight="true" outlineLevel="0" collapsed="false">
      <c r="A3" s="76" t="s">
        <v>284</v>
      </c>
      <c r="B3" s="76"/>
      <c r="C3" s="76"/>
      <c r="D3" s="76"/>
      <c r="E3" s="76"/>
      <c r="F3" s="76"/>
      <c r="G3" s="76"/>
      <c r="H3" s="76"/>
      <c r="I3" s="76"/>
      <c r="J3" s="76"/>
      <c r="K3" s="77"/>
      <c r="L3" s="77"/>
      <c r="M3" s="78" t="s">
        <v>285</v>
      </c>
      <c r="N3" s="78"/>
      <c r="O3" s="77"/>
      <c r="P3" s="79" t="s">
        <v>286</v>
      </c>
      <c r="Q3" s="79"/>
      <c r="R3" s="79"/>
      <c r="S3" s="79"/>
      <c r="T3" s="79"/>
      <c r="U3" s="79"/>
      <c r="V3" s="79"/>
      <c r="W3" s="79"/>
    </row>
    <row r="4" customFormat="false" ht="54.75" hidden="false" customHeight="true" outlineLevel="0" collapsed="false">
      <c r="A4" s="80" t="s">
        <v>22</v>
      </c>
      <c r="B4" s="80" t="s">
        <v>23</v>
      </c>
      <c r="C4" s="80" t="s">
        <v>24</v>
      </c>
      <c r="D4" s="80" t="s">
        <v>25</v>
      </c>
      <c r="E4" s="80" t="s">
        <v>26</v>
      </c>
      <c r="F4" s="80" t="s">
        <v>27</v>
      </c>
      <c r="G4" s="80" t="s">
        <v>28</v>
      </c>
      <c r="H4" s="80" t="s">
        <v>29</v>
      </c>
      <c r="I4" s="80" t="s">
        <v>30</v>
      </c>
      <c r="J4" s="80" t="s">
        <v>31</v>
      </c>
      <c r="K4" s="77"/>
      <c r="L4" s="77"/>
      <c r="M4" s="81" t="s">
        <v>287</v>
      </c>
      <c r="N4" s="82" t="s">
        <v>288</v>
      </c>
      <c r="O4" s="77"/>
      <c r="P4" s="83" t="s">
        <v>289</v>
      </c>
      <c r="Q4" s="84" t="s">
        <v>290</v>
      </c>
      <c r="R4" s="84"/>
      <c r="S4" s="84"/>
      <c r="T4" s="84"/>
      <c r="U4" s="84"/>
      <c r="V4" s="84" t="s">
        <v>291</v>
      </c>
      <c r="W4" s="84"/>
    </row>
    <row r="5" customFormat="false" ht="27.75" hidden="false" customHeight="true" outlineLevel="0" collapsed="false">
      <c r="A5" s="85" t="s">
        <v>58</v>
      </c>
      <c r="B5" s="55" t="s">
        <v>59</v>
      </c>
      <c r="C5" s="61" t="n">
        <v>6974170.0524</v>
      </c>
      <c r="D5" s="61" t="n">
        <f aca="false">'Dashboard (2)'!X9</f>
        <v>12535797.12</v>
      </c>
      <c r="E5" s="56" t="n">
        <f aca="false">C5/D5</f>
        <v>0.556340373542995</v>
      </c>
      <c r="G5" s="86" t="n">
        <v>376073.9136</v>
      </c>
      <c r="I5" s="87" t="n">
        <f aca="false">C5+G5</f>
        <v>7350243.966</v>
      </c>
      <c r="J5" s="88" t="s">
        <v>60</v>
      </c>
      <c r="K5" s="73"/>
      <c r="L5" s="89" t="n">
        <f aca="false">G5*0.33/2</f>
        <v>62052.195744</v>
      </c>
      <c r="M5" s="90" t="n">
        <v>5668549</v>
      </c>
      <c r="N5" s="91" t="n">
        <v>6658172</v>
      </c>
      <c r="O5" s="73"/>
      <c r="P5" s="92" t="s">
        <v>292</v>
      </c>
      <c r="Q5" s="73"/>
      <c r="R5" s="73"/>
      <c r="S5" s="73"/>
      <c r="T5" s="73"/>
      <c r="V5" s="93"/>
      <c r="W5" s="94"/>
    </row>
    <row r="6" customFormat="false" ht="54.75" hidden="false" customHeight="true" outlineLevel="0" collapsed="false">
      <c r="A6" s="85" t="s">
        <v>64</v>
      </c>
      <c r="B6" s="55" t="s">
        <v>59</v>
      </c>
      <c r="C6" s="61" t="n">
        <v>3098113.5036</v>
      </c>
      <c r="D6" s="61" t="n">
        <f aca="false">'Dashboard (2)'!X10</f>
        <v>8485128.96</v>
      </c>
      <c r="E6" s="56" t="n">
        <f aca="false">C6/D6</f>
        <v>0.365122736284258</v>
      </c>
      <c r="G6" s="86" t="n">
        <v>159024.456</v>
      </c>
      <c r="I6" s="87" t="n">
        <f aca="false">C6+G6</f>
        <v>3257137.9596</v>
      </c>
      <c r="J6" s="88" t="s">
        <v>60</v>
      </c>
      <c r="K6" s="73"/>
      <c r="L6" s="89" t="n">
        <f aca="false">G6*0.33/2</f>
        <v>26239.03524</v>
      </c>
      <c r="M6" s="95"/>
      <c r="N6" s="73"/>
      <c r="O6" s="73"/>
      <c r="P6" s="92" t="s">
        <v>292</v>
      </c>
      <c r="Q6" s="73"/>
      <c r="R6" s="73"/>
      <c r="S6" s="73"/>
      <c r="T6" s="73"/>
      <c r="V6" s="93"/>
      <c r="W6" s="94"/>
    </row>
    <row r="7" customFormat="false" ht="27.75" hidden="false" customHeight="true" outlineLevel="0" collapsed="false">
      <c r="A7" s="85" t="s">
        <v>67</v>
      </c>
      <c r="B7" s="55" t="s">
        <v>68</v>
      </c>
      <c r="C7" s="61" t="n">
        <f aca="false">IUK!E20</f>
        <v>6062956.49</v>
      </c>
      <c r="D7" s="61" t="n">
        <f aca="false">IUK!E19</f>
        <v>12936000</v>
      </c>
      <c r="E7" s="56" t="n">
        <f aca="false">IUK!E21</f>
        <v>0.468688658781695</v>
      </c>
      <c r="F7" s="56" t="n">
        <f aca="false">IUK!E22</f>
        <v>0.018</v>
      </c>
      <c r="G7" s="61" t="n">
        <f aca="false">IUK!E23</f>
        <v>232848</v>
      </c>
      <c r="H7" s="56" t="n">
        <f aca="false">IUK!E25</f>
        <v>0.486688658781695</v>
      </c>
      <c r="I7" s="96" t="n">
        <f aca="false">IUK!E24</f>
        <v>6295804.49</v>
      </c>
      <c r="K7" s="73"/>
      <c r="L7" s="89" t="n">
        <f aca="false">G7*0.33/2</f>
        <v>38419.92</v>
      </c>
      <c r="M7" s="97" t="n">
        <v>7154801</v>
      </c>
      <c r="N7" s="98" t="n">
        <v>5682505</v>
      </c>
      <c r="O7" s="73"/>
      <c r="P7" s="97" t="n">
        <v>18843293</v>
      </c>
      <c r="Q7" s="98" t="n">
        <v>21418279</v>
      </c>
      <c r="R7" s="99"/>
      <c r="S7" s="99"/>
      <c r="T7" s="99"/>
      <c r="U7" s="86"/>
      <c r="V7" s="93" t="s">
        <v>293</v>
      </c>
      <c r="W7" s="94"/>
    </row>
    <row r="8" customFormat="false" ht="41.25" hidden="false" customHeight="true" outlineLevel="0" collapsed="false">
      <c r="A8" s="85" t="s">
        <v>69</v>
      </c>
      <c r="B8" s="55" t="s">
        <v>68</v>
      </c>
      <c r="C8" s="61" t="n">
        <f aca="false">UMI!E20</f>
        <v>2973279.33</v>
      </c>
      <c r="D8" s="61" t="n">
        <f aca="false">UMI!E19</f>
        <v>4957575</v>
      </c>
      <c r="E8" s="56" t="n">
        <f aca="false">UMI!E21</f>
        <v>0.599744699777613</v>
      </c>
      <c r="F8" s="56" t="n">
        <f aca="false">UMI!E22</f>
        <v>0.018</v>
      </c>
      <c r="G8" s="61" t="n">
        <f aca="false">UMI!E23</f>
        <v>89236.35</v>
      </c>
      <c r="H8" s="56" t="n">
        <f aca="false">UMI!E25</f>
        <v>0.617744699777613</v>
      </c>
      <c r="I8" s="96" t="n">
        <f aca="false">UMI!E24</f>
        <v>3062515.68</v>
      </c>
      <c r="K8" s="73"/>
      <c r="L8" s="89" t="n">
        <f aca="false">G8*0.33/2</f>
        <v>14723.99775</v>
      </c>
      <c r="M8" s="97" t="n">
        <v>5755871</v>
      </c>
      <c r="N8" s="98" t="n">
        <v>5546944</v>
      </c>
      <c r="O8" s="73"/>
      <c r="P8" s="100" t="s">
        <v>294</v>
      </c>
      <c r="Q8" s="73"/>
      <c r="R8" s="73"/>
      <c r="S8" s="99"/>
      <c r="T8" s="99"/>
      <c r="V8" s="101" t="s">
        <v>295</v>
      </c>
      <c r="W8" s="102"/>
    </row>
    <row r="9" customFormat="false" ht="14.25" hidden="false" customHeight="true" outlineLevel="0" collapsed="false">
      <c r="A9" s="85" t="s">
        <v>70</v>
      </c>
      <c r="B9" s="55" t="s">
        <v>68</v>
      </c>
      <c r="C9" s="61" t="n">
        <f aca="false">NORWAY!E20</f>
        <v>1764799.75</v>
      </c>
      <c r="D9" s="61" t="n">
        <f aca="false">NORWAY!E19</f>
        <v>2129137.5</v>
      </c>
      <c r="E9" s="56" t="n">
        <f aca="false">NORWAY!E21</f>
        <v>0.828880121645502</v>
      </c>
      <c r="F9" s="56" t="n">
        <f aca="false">NORWAY!E22</f>
        <v>0.018</v>
      </c>
      <c r="G9" s="61" t="n">
        <f aca="false">NORWAY!E23</f>
        <v>38324.475</v>
      </c>
      <c r="H9" s="56" t="n">
        <f aca="false">NORWAY!E25</f>
        <v>0.846880121645502</v>
      </c>
      <c r="I9" s="96" t="n">
        <f aca="false">NORWAY!E24</f>
        <v>1803124.225</v>
      </c>
      <c r="K9" s="73"/>
      <c r="L9" s="89" t="n">
        <f aca="false">G9*0.33/2</f>
        <v>6323.538375</v>
      </c>
      <c r="M9" s="97" t="n">
        <v>1156859</v>
      </c>
      <c r="N9" s="98" t="n">
        <v>1454525</v>
      </c>
      <c r="O9" s="73"/>
      <c r="P9" s="97" t="n">
        <v>3367988</v>
      </c>
      <c r="Q9" s="98" t="n">
        <v>5248795</v>
      </c>
      <c r="R9" s="99"/>
      <c r="S9" s="99"/>
      <c r="T9" s="99"/>
      <c r="U9" s="86"/>
      <c r="V9" s="93" t="s">
        <v>296</v>
      </c>
      <c r="W9" s="94"/>
    </row>
    <row r="10" customFormat="false" ht="27.75" hidden="false" customHeight="true" outlineLevel="0" collapsed="false">
      <c r="A10" s="85" t="s">
        <v>71</v>
      </c>
      <c r="B10" s="55" t="s">
        <v>68</v>
      </c>
      <c r="C10" s="61" t="n">
        <f aca="false">SWEDEN!E20</f>
        <v>1464302.33</v>
      </c>
      <c r="D10" s="61" t="n">
        <f aca="false">SWEDEN!E19</f>
        <v>2386125</v>
      </c>
      <c r="E10" s="56" t="n">
        <f aca="false">SWEDEN!E21</f>
        <v>0.613673772329614</v>
      </c>
      <c r="F10" s="56" t="n">
        <f aca="false">SWEDEN!E22</f>
        <v>0.018</v>
      </c>
      <c r="G10" s="61" t="n">
        <f aca="false">SWEDEN!E23</f>
        <v>42950.25</v>
      </c>
      <c r="H10" s="56" t="n">
        <f aca="false">SWEDEN!E25</f>
        <v>0.631673772329614</v>
      </c>
      <c r="I10" s="96" t="n">
        <f aca="false">SWEDEN!E24</f>
        <v>1507252.58</v>
      </c>
      <c r="K10" s="73"/>
      <c r="L10" s="89" t="n">
        <f aca="false">G10*0.33/2</f>
        <v>7086.79125</v>
      </c>
      <c r="M10" s="97" t="n">
        <v>1233980</v>
      </c>
      <c r="N10" s="98" t="n">
        <v>1282687</v>
      </c>
      <c r="O10" s="73"/>
      <c r="P10" s="97" t="n">
        <v>2482560</v>
      </c>
      <c r="Q10" s="98" t="n">
        <v>3154222</v>
      </c>
      <c r="R10" s="99"/>
      <c r="S10" s="99"/>
      <c r="T10" s="99"/>
      <c r="U10" s="86"/>
      <c r="V10" s="93" t="s">
        <v>293</v>
      </c>
      <c r="W10" s="94"/>
    </row>
    <row r="11" customFormat="false" ht="27.75" hidden="false" customHeight="true" outlineLevel="0" collapsed="false">
      <c r="A11" s="85" t="s">
        <v>72</v>
      </c>
      <c r="B11" s="55" t="s">
        <v>68</v>
      </c>
      <c r="C11" s="61" t="n">
        <f aca="false">HUNGARY!E20</f>
        <v>349600</v>
      </c>
      <c r="D11" s="61" t="n">
        <f aca="false">HUNGARY!E19</f>
        <v>1047900</v>
      </c>
      <c r="E11" s="56" t="n">
        <f aca="false">HUNGARY!E21</f>
        <v>0.333619620192767</v>
      </c>
      <c r="F11" s="56" t="n">
        <f aca="false">HUNGARY!E22</f>
        <v>0.018</v>
      </c>
      <c r="G11" s="61" t="n">
        <f aca="false">HUNGARY!E23</f>
        <v>18862.2</v>
      </c>
      <c r="H11" s="56" t="n">
        <f aca="false">HUNGARY!E25</f>
        <v>0.351619620192767</v>
      </c>
      <c r="I11" s="96" t="n">
        <f aca="false">HUNGARY!E24</f>
        <v>368462.2</v>
      </c>
      <c r="K11" s="73"/>
      <c r="L11" s="89" t="n">
        <f aca="false">G11*0.33/2</f>
        <v>3112.263</v>
      </c>
      <c r="M11" s="97" t="n">
        <v>365622</v>
      </c>
      <c r="N11" s="98" t="n">
        <v>347456</v>
      </c>
      <c r="O11" s="73"/>
      <c r="P11" s="100" t="s">
        <v>294</v>
      </c>
      <c r="Q11" s="73"/>
      <c r="R11" s="73"/>
      <c r="S11" s="99"/>
      <c r="T11" s="99"/>
      <c r="V11" s="101" t="s">
        <v>297</v>
      </c>
      <c r="W11" s="102"/>
    </row>
    <row r="12" customFormat="false" ht="41.25" hidden="false" customHeight="true" outlineLevel="0" collapsed="false">
      <c r="A12" s="85" t="s">
        <v>73</v>
      </c>
      <c r="B12" s="55" t="s">
        <v>68</v>
      </c>
      <c r="C12" s="61" t="n">
        <f aca="false">FINLAND!E20</f>
        <v>360300</v>
      </c>
      <c r="D12" s="61" t="n">
        <f aca="false">FINLAND!E19</f>
        <v>343350</v>
      </c>
      <c r="E12" s="56" t="n">
        <f aca="false">FINLAND!E21</f>
        <v>1.04936653560507</v>
      </c>
      <c r="F12" s="56" t="n">
        <f aca="false">FINLAND!E22</f>
        <v>0.018</v>
      </c>
      <c r="G12" s="61" t="n">
        <f aca="false">FINLAND!E23</f>
        <v>6180.3</v>
      </c>
      <c r="H12" s="56" t="n">
        <f aca="false">FINLAND!E25</f>
        <v>1.06736653560507</v>
      </c>
      <c r="I12" s="96" t="n">
        <f aca="false">FINLAND!E24</f>
        <v>366480.3</v>
      </c>
      <c r="J12" s="55" t="s">
        <v>298</v>
      </c>
      <c r="K12" s="73"/>
      <c r="L12" s="89" t="n">
        <f aca="false">G12*0.33/2</f>
        <v>1019.7495</v>
      </c>
      <c r="M12" s="97" t="n">
        <v>267986</v>
      </c>
      <c r="N12" s="98" t="n">
        <v>280753</v>
      </c>
      <c r="O12" s="73"/>
      <c r="P12" s="100" t="s">
        <v>294</v>
      </c>
      <c r="Q12" s="73"/>
      <c r="R12" s="73"/>
      <c r="S12" s="99"/>
      <c r="T12" s="99"/>
      <c r="V12" s="101" t="s">
        <v>299</v>
      </c>
      <c r="W12" s="102"/>
    </row>
    <row r="13" customFormat="false" ht="27.75" hidden="false" customHeight="true" outlineLevel="0" collapsed="false">
      <c r="A13" s="85" t="s">
        <v>74</v>
      </c>
      <c r="B13" s="55" t="s">
        <v>68</v>
      </c>
      <c r="C13" s="61" t="n">
        <f aca="false">ROMANIA!E20</f>
        <v>199587.57</v>
      </c>
      <c r="D13" s="61" t="n">
        <f aca="false">ROMANIA!E19</f>
        <v>317362.5</v>
      </c>
      <c r="E13" s="56" t="n">
        <f aca="false">ROMANIA!E21</f>
        <v>0.628894623655914</v>
      </c>
      <c r="F13" s="56" t="n">
        <f aca="false">ROMANIA!E22</f>
        <v>0.018</v>
      </c>
      <c r="G13" s="61" t="n">
        <f aca="false">ROMANIA!E23</f>
        <v>5712.525</v>
      </c>
      <c r="H13" s="56" t="n">
        <f aca="false">ROMANIA!E25</f>
        <v>0.646894623655914</v>
      </c>
      <c r="I13" s="96" t="n">
        <f aca="false">ROMANIA!E24</f>
        <v>205300.095</v>
      </c>
      <c r="K13" s="73"/>
      <c r="L13" s="89" t="n">
        <f aca="false">G13*0.33/2</f>
        <v>942.566625</v>
      </c>
      <c r="M13" s="97" t="n">
        <v>155162</v>
      </c>
      <c r="N13" s="98" t="n">
        <v>180500</v>
      </c>
      <c r="O13" s="73"/>
      <c r="P13" s="97" t="n">
        <v>382258</v>
      </c>
      <c r="Q13" s="98" t="n">
        <v>394597</v>
      </c>
      <c r="R13" s="99"/>
      <c r="S13" s="99"/>
      <c r="T13" s="99"/>
      <c r="U13" s="86"/>
      <c r="V13" s="93" t="s">
        <v>293</v>
      </c>
      <c r="W13" s="94"/>
    </row>
    <row r="14" customFormat="false" ht="27.75" hidden="false" customHeight="true" outlineLevel="0" collapsed="false">
      <c r="A14" s="85" t="s">
        <v>75</v>
      </c>
      <c r="B14" s="55" t="s">
        <v>68</v>
      </c>
      <c r="C14" s="61" t="n">
        <f aca="false">DENMARK!E20</f>
        <v>187600</v>
      </c>
      <c r="D14" s="61" t="n">
        <f aca="false">DENMARK!E19</f>
        <v>247800</v>
      </c>
      <c r="E14" s="56" t="n">
        <f aca="false">DENMARK!E21</f>
        <v>0.757062146892655</v>
      </c>
      <c r="F14" s="56" t="n">
        <f aca="false">DENMARK!E22</f>
        <v>0.018</v>
      </c>
      <c r="G14" s="61" t="n">
        <f aca="false">DENMARK!E23</f>
        <v>4460.4</v>
      </c>
      <c r="H14" s="56" t="n">
        <f aca="false">DENMARK!E25</f>
        <v>0.775062146892655</v>
      </c>
      <c r="I14" s="96" t="n">
        <f aca="false">DENMARK!E24</f>
        <v>192060.4</v>
      </c>
      <c r="K14" s="73"/>
      <c r="L14" s="89" t="n">
        <f aca="false">G14*0.33/2</f>
        <v>735.966</v>
      </c>
      <c r="M14" s="97" t="n">
        <v>125038</v>
      </c>
      <c r="N14" s="98" t="n">
        <v>155945</v>
      </c>
      <c r="O14" s="73"/>
      <c r="P14" s="97" t="n">
        <v>356680</v>
      </c>
      <c r="Q14" s="98" t="n">
        <v>572864</v>
      </c>
      <c r="R14" s="99"/>
      <c r="S14" s="99"/>
      <c r="T14" s="99"/>
      <c r="U14" s="86"/>
      <c r="V14" s="93" t="s">
        <v>293</v>
      </c>
      <c r="W14" s="94"/>
    </row>
    <row r="15" customFormat="false" ht="27.75" hidden="false" customHeight="true" outlineLevel="0" collapsed="false">
      <c r="A15" s="85" t="s">
        <v>76</v>
      </c>
      <c r="B15" s="55" t="s">
        <v>68</v>
      </c>
      <c r="C15" s="61" t="n">
        <f aca="false">ICELAND!E20</f>
        <v>104600</v>
      </c>
      <c r="D15" s="61" t="n">
        <f aca="false">ICELAND!E19</f>
        <v>115237.5</v>
      </c>
      <c r="E15" s="56" t="n">
        <f aca="false">ICELAND!E21</f>
        <v>0.907690638897928</v>
      </c>
      <c r="F15" s="56" t="n">
        <f aca="false">ICELAND!E22</f>
        <v>0.018</v>
      </c>
      <c r="G15" s="61" t="n">
        <f aca="false">ICELAND!E23</f>
        <v>2074.275</v>
      </c>
      <c r="H15" s="56" t="n">
        <f aca="false">ICELAND!E25</f>
        <v>0.925690638897928</v>
      </c>
      <c r="I15" s="96" t="n">
        <f aca="false">ICELAND!E24</f>
        <v>106674.275</v>
      </c>
      <c r="K15" s="73"/>
      <c r="L15" s="89" t="n">
        <f aca="false">G15*0.33/2</f>
        <v>342.255375</v>
      </c>
      <c r="M15" s="97" t="n">
        <v>76214</v>
      </c>
      <c r="N15" s="98" t="n">
        <v>89209</v>
      </c>
      <c r="O15" s="73"/>
      <c r="P15" s="97" t="n">
        <v>209944</v>
      </c>
      <c r="Q15" s="98" t="n">
        <v>195849</v>
      </c>
      <c r="R15" s="99"/>
      <c r="S15" s="99"/>
      <c r="T15" s="99"/>
      <c r="U15" s="86"/>
      <c r="V15" s="93" t="s">
        <v>293</v>
      </c>
      <c r="W15" s="94"/>
    </row>
    <row r="16" customFormat="false" ht="27.75" hidden="false" customHeight="true" outlineLevel="0" collapsed="false">
      <c r="A16" s="85" t="s">
        <v>77</v>
      </c>
      <c r="B16" s="55" t="s">
        <v>78</v>
      </c>
      <c r="C16" s="61" t="n">
        <f aca="false">GERMANY!E26</f>
        <v>2913662.84</v>
      </c>
      <c r="D16" s="61" t="n">
        <f aca="false">GERMANY!E25</f>
        <v>4443791.1</v>
      </c>
      <c r="E16" s="56" t="n">
        <f aca="false">GERMANY!E27</f>
        <v>0.655670524206235</v>
      </c>
      <c r="F16" s="56" t="n">
        <f aca="false">GERMANY!E28</f>
        <v>0.018</v>
      </c>
      <c r="G16" s="61" t="n">
        <f aca="false">GERMANY!E29</f>
        <v>79988.2398</v>
      </c>
      <c r="H16" s="56" t="n">
        <f aca="false">GERMANY!E31</f>
        <v>0.673670524206235</v>
      </c>
      <c r="I16" s="96" t="n">
        <f aca="false">GERMANY!E30</f>
        <v>2993651.0798</v>
      </c>
      <c r="K16" s="73"/>
      <c r="L16" s="89" t="n">
        <f aca="false">G16*0.33/2</f>
        <v>13198.059567</v>
      </c>
      <c r="M16" s="97" t="n">
        <v>2614731</v>
      </c>
      <c r="N16" s="98" t="n">
        <v>2661850</v>
      </c>
      <c r="O16" s="73"/>
      <c r="P16" s="100" t="s">
        <v>294</v>
      </c>
      <c r="Q16" s="73"/>
      <c r="R16" s="73"/>
      <c r="S16" s="99"/>
      <c r="T16" s="99"/>
      <c r="V16" s="101" t="s">
        <v>300</v>
      </c>
      <c r="W16" s="102"/>
    </row>
    <row r="17" customFormat="false" ht="14.25" hidden="false" customHeight="true" outlineLevel="0" collapsed="false">
      <c r="A17" s="85" t="s">
        <v>81</v>
      </c>
      <c r="B17" s="55" t="s">
        <v>78</v>
      </c>
      <c r="C17" s="61" t="n">
        <f aca="false">BELGIUM!E26</f>
        <v>2296577.34</v>
      </c>
      <c r="D17" s="61" t="n">
        <f aca="false">BELGIUM!E25</f>
        <v>2739612.75</v>
      </c>
      <c r="E17" s="56" t="n">
        <f aca="false">BELGIUM!E27</f>
        <v>0.838285389057267</v>
      </c>
      <c r="F17" s="56" t="n">
        <f aca="false">BELGIUM!E28</f>
        <v>0.018</v>
      </c>
      <c r="G17" s="61" t="n">
        <f aca="false">BELGIUM!E29</f>
        <v>49313.0295</v>
      </c>
      <c r="H17" s="56" t="n">
        <f aca="false">BELGIUM!E31</f>
        <v>0.856285389057267</v>
      </c>
      <c r="I17" s="96" t="n">
        <f aca="false">BELGIUM!E30</f>
        <v>2345890.3695</v>
      </c>
      <c r="J17" s="55" t="s">
        <v>301</v>
      </c>
      <c r="K17" s="73"/>
      <c r="L17" s="89" t="n">
        <f aca="false">G17*0.33/2</f>
        <v>8136.6498675</v>
      </c>
      <c r="M17" s="97" t="n">
        <v>2286742</v>
      </c>
      <c r="N17" s="98" t="n">
        <v>2152712</v>
      </c>
      <c r="O17" s="73"/>
      <c r="P17" s="97" t="n">
        <v>4867562</v>
      </c>
      <c r="Q17" s="98" t="n">
        <v>6834272</v>
      </c>
      <c r="R17" s="99"/>
      <c r="S17" s="99"/>
      <c r="T17" s="99"/>
      <c r="U17" s="86"/>
      <c r="V17" s="93" t="s">
        <v>302</v>
      </c>
      <c r="W17" s="94"/>
    </row>
    <row r="18" customFormat="false" ht="14.25" hidden="false" customHeight="true" outlineLevel="0" collapsed="false">
      <c r="A18" s="85" t="s">
        <v>82</v>
      </c>
      <c r="B18" s="55" t="s">
        <v>78</v>
      </c>
      <c r="C18" s="61" t="n">
        <f aca="false">PORTUGAL!E26</f>
        <v>1858269.4</v>
      </c>
      <c r="D18" s="61" t="n">
        <f aca="false">PORTUGAL!E25</f>
        <v>3788245.65</v>
      </c>
      <c r="E18" s="56" t="n">
        <f aca="false">PORTUGAL!E27</f>
        <v>0.490535612441078</v>
      </c>
      <c r="F18" s="56" t="n">
        <f aca="false">PORTUGAL!E28</f>
        <v>0.018</v>
      </c>
      <c r="G18" s="61" t="n">
        <f aca="false">PORTUGAL!E29</f>
        <v>68188.4217</v>
      </c>
      <c r="H18" s="56" t="n">
        <f aca="false">PORTUGAL!E31</f>
        <v>0.508535612441078</v>
      </c>
      <c r="I18" s="96" t="n">
        <f aca="false">PORTUGAL!E30</f>
        <v>1926457.8217</v>
      </c>
      <c r="K18" s="73"/>
      <c r="L18" s="89" t="n">
        <f aca="false">G18*0.33/2</f>
        <v>11251.0895805</v>
      </c>
      <c r="M18" s="97" t="n">
        <v>1551256</v>
      </c>
      <c r="N18" s="98" t="n">
        <v>1795020</v>
      </c>
      <c r="O18" s="73"/>
      <c r="P18" s="97" t="n">
        <v>3821463</v>
      </c>
      <c r="Q18" s="98" t="n">
        <v>4047903</v>
      </c>
      <c r="R18" s="99"/>
      <c r="S18" s="99"/>
      <c r="T18" s="99"/>
      <c r="U18" s="86"/>
      <c r="V18" s="93" t="s">
        <v>303</v>
      </c>
      <c r="W18" s="94"/>
    </row>
    <row r="19" customFormat="false" ht="27.75" hidden="false" customHeight="true" outlineLevel="0" collapsed="false">
      <c r="A19" s="85" t="s">
        <v>85</v>
      </c>
      <c r="B19" s="55" t="s">
        <v>78</v>
      </c>
      <c r="C19" s="61" t="n">
        <f aca="false">IRELAND!E26</f>
        <v>1267443.35</v>
      </c>
      <c r="D19" s="61" t="n">
        <f aca="false">IRELAND!E25</f>
        <v>1287772.5</v>
      </c>
      <c r="E19" s="56" t="n">
        <f aca="false">IRELAND!E27</f>
        <v>0.984213710107958</v>
      </c>
      <c r="F19" s="56" t="n">
        <f aca="false">IRELAND!E28</f>
        <v>0.018</v>
      </c>
      <c r="G19" s="61" t="n">
        <f aca="false">IRELAND!E29</f>
        <v>23179.905</v>
      </c>
      <c r="H19" s="56" t="n">
        <f aca="false">IRELAND!E31</f>
        <v>1.00221371010796</v>
      </c>
      <c r="I19" s="96" t="n">
        <f aca="false">IRELAND!E30</f>
        <v>1290623.255</v>
      </c>
      <c r="J19" s="55" t="s">
        <v>304</v>
      </c>
      <c r="K19" s="73"/>
      <c r="L19" s="89" t="n">
        <f aca="false">G19*0.33/2</f>
        <v>3824.684325</v>
      </c>
      <c r="M19" s="97" t="n">
        <v>1201537</v>
      </c>
      <c r="N19" s="98" t="n">
        <v>1118453</v>
      </c>
      <c r="O19" s="73"/>
      <c r="P19" s="97" t="n">
        <v>2687539</v>
      </c>
      <c r="Q19" s="98" t="n">
        <v>2833637</v>
      </c>
      <c r="R19" s="99"/>
      <c r="S19" s="99"/>
      <c r="T19" s="99"/>
      <c r="U19" s="86"/>
      <c r="V19" s="93" t="s">
        <v>293</v>
      </c>
      <c r="W19" s="94"/>
    </row>
    <row r="20" customFormat="false" ht="41.25" hidden="false" customHeight="true" outlineLevel="0" collapsed="false">
      <c r="A20" s="85" t="s">
        <v>86</v>
      </c>
      <c r="B20" s="55" t="s">
        <v>78</v>
      </c>
      <c r="C20" s="61" t="n">
        <f aca="false">GREECE!E26</f>
        <v>574400</v>
      </c>
      <c r="D20" s="61" t="n">
        <f aca="false">GREECE!E25</f>
        <v>1156909.95</v>
      </c>
      <c r="E20" s="56" t="n">
        <f aca="false">GREECE!E27</f>
        <v>0.496494995137694</v>
      </c>
      <c r="F20" s="56" t="n">
        <f aca="false">GREECE!E28</f>
        <v>0.018</v>
      </c>
      <c r="G20" s="61" t="n">
        <f aca="false">GREECE!E29</f>
        <v>20824.3791</v>
      </c>
      <c r="H20" s="56" t="n">
        <f aca="false">GREECE!E31</f>
        <v>0.514494995137694</v>
      </c>
      <c r="I20" s="96" t="n">
        <f aca="false">GREECE!E30</f>
        <v>595224.3791</v>
      </c>
      <c r="K20" s="73"/>
      <c r="L20" s="89" t="n">
        <f aca="false">G20*0.33/2</f>
        <v>3436.0225515</v>
      </c>
      <c r="M20" s="97" t="n">
        <v>467826</v>
      </c>
      <c r="N20" s="98" t="n">
        <v>471586</v>
      </c>
      <c r="O20" s="73"/>
      <c r="P20" s="100" t="s">
        <v>294</v>
      </c>
      <c r="Q20" s="73"/>
      <c r="R20" s="73"/>
      <c r="S20" s="99"/>
      <c r="T20" s="99"/>
      <c r="V20" s="101" t="s">
        <v>305</v>
      </c>
      <c r="W20" s="102"/>
    </row>
    <row r="21" customFormat="false" ht="81.75" hidden="false" customHeight="true" outlineLevel="0" collapsed="false">
      <c r="A21" s="85" t="s">
        <v>88</v>
      </c>
      <c r="B21" s="55" t="s">
        <v>78</v>
      </c>
      <c r="C21" s="61" t="n">
        <f aca="false">CYPRUS!E26</f>
        <v>539600</v>
      </c>
      <c r="D21" s="61" t="n">
        <f aca="false">CYPRUS!E25</f>
        <v>811322.4</v>
      </c>
      <c r="E21" s="56" t="n">
        <f aca="false">CYPRUS!E27</f>
        <v>0.665087023358408</v>
      </c>
      <c r="F21" s="56" t="n">
        <f aca="false">CYPRUS!E28</f>
        <v>0.018</v>
      </c>
      <c r="G21" s="61" t="n">
        <f aca="false">CYPRUS!E29</f>
        <v>14603.8032</v>
      </c>
      <c r="H21" s="56" t="n">
        <f aca="false">CYPRUS!E31</f>
        <v>0.683087023358408</v>
      </c>
      <c r="I21" s="96" t="n">
        <f aca="false">CYPRUS!E30</f>
        <v>554203.8032</v>
      </c>
      <c r="K21" s="73"/>
      <c r="L21" s="89" t="n">
        <f aca="false">G21*0.33/2</f>
        <v>2409.627528</v>
      </c>
      <c r="M21" s="95"/>
      <c r="N21" s="73"/>
      <c r="O21" s="73"/>
      <c r="P21" s="100" t="s">
        <v>294</v>
      </c>
      <c r="Q21" s="73"/>
      <c r="R21" s="73"/>
      <c r="S21" s="99"/>
      <c r="T21" s="99"/>
      <c r="V21" s="101" t="s">
        <v>306</v>
      </c>
      <c r="W21" s="102"/>
    </row>
    <row r="22" customFormat="false" ht="27.75" hidden="false" customHeight="true" outlineLevel="0" collapsed="false">
      <c r="A22" s="85" t="s">
        <v>89</v>
      </c>
      <c r="B22" s="55" t="s">
        <v>78</v>
      </c>
      <c r="C22" s="61" t="n">
        <f aca="false">MALTA!E26</f>
        <v>233100</v>
      </c>
      <c r="D22" s="61" t="n">
        <f aca="false">MALTA!E25</f>
        <v>424347</v>
      </c>
      <c r="E22" s="56" t="n">
        <f aca="false">MALTA!E27</f>
        <v>0.549314593952591</v>
      </c>
      <c r="F22" s="56" t="n">
        <f aca="false">MALTA!E28</f>
        <v>0.018</v>
      </c>
      <c r="G22" s="61" t="n">
        <f aca="false">MALTA!E29</f>
        <v>7638.246</v>
      </c>
      <c r="H22" s="56" t="n">
        <f aca="false">MALTA!E31</f>
        <v>0.567314593952591</v>
      </c>
      <c r="I22" s="96" t="n">
        <f aca="false">MALTA!E30</f>
        <v>240738.246</v>
      </c>
      <c r="K22" s="73"/>
      <c r="L22" s="89" t="n">
        <f aca="false">G22*0.33/2</f>
        <v>1260.31059</v>
      </c>
      <c r="M22" s="97" t="n">
        <v>209033</v>
      </c>
      <c r="N22" s="98" t="n">
        <v>196245</v>
      </c>
      <c r="O22" s="73"/>
      <c r="P22" s="97" t="n">
        <v>555482</v>
      </c>
      <c r="Q22" s="98" t="n">
        <v>553873</v>
      </c>
      <c r="R22" s="99"/>
      <c r="S22" s="99"/>
      <c r="T22" s="99"/>
      <c r="U22" s="86"/>
      <c r="V22" s="93" t="s">
        <v>293</v>
      </c>
      <c r="W22" s="94"/>
    </row>
    <row r="23" customFormat="false" ht="14.25" hidden="false" customHeight="true" outlineLevel="0" collapsed="false">
      <c r="A23" s="85" t="s">
        <v>90</v>
      </c>
      <c r="C23" s="87" t="n">
        <f aca="false">SUM(C5:C22)</f>
        <v>33222361.956</v>
      </c>
      <c r="D23" s="87" t="n">
        <f aca="false">SUM(D5:D22)</f>
        <v>60153414.93</v>
      </c>
      <c r="E23" s="103" t="n">
        <f aca="false">C23/D23</f>
        <v>0.552293863858944</v>
      </c>
      <c r="G23" s="87" t="n">
        <f aca="false">SUM(G5:G22)</f>
        <v>1239483.1689</v>
      </c>
      <c r="I23" s="87" t="n">
        <f aca="false">SUM(I5:I22)</f>
        <v>34461845.1249</v>
      </c>
      <c r="K23" s="73"/>
      <c r="L23" s="73"/>
      <c r="M23" s="97" t="n">
        <f aca="false">SUM(M5:M22)</f>
        <v>30291207</v>
      </c>
      <c r="N23" s="98" t="n">
        <f aca="false">SUM(N5:N22)</f>
        <v>30074562</v>
      </c>
      <c r="O23" s="73"/>
      <c r="P23" s="97" t="n">
        <f aca="false">SUM(P5:P22)</f>
        <v>37574769</v>
      </c>
      <c r="Q23" s="98" t="n">
        <f aca="false">SUM(Q5:Q22)</f>
        <v>45254291</v>
      </c>
      <c r="R23" s="73"/>
      <c r="S23" s="99"/>
      <c r="T23" s="99"/>
      <c r="U23" s="61"/>
    </row>
    <row r="25" customFormat="false" ht="14.25" hidden="false" customHeight="true" outlineLevel="0" collapsed="false">
      <c r="A25" s="0" t="s">
        <v>93</v>
      </c>
      <c r="C25" s="61" t="n">
        <v>952037.4225</v>
      </c>
    </row>
    <row r="26" customFormat="false" ht="14.25" hidden="false" customHeight="true" outlineLevel="0" collapsed="false">
      <c r="A26" s="0" t="s">
        <v>95</v>
      </c>
      <c r="C26" s="104" t="n">
        <f aca="false">G23</f>
        <v>1239483.1689</v>
      </c>
    </row>
    <row r="27" customFormat="false" ht="14.25" hidden="false" customHeight="true" outlineLevel="0" collapsed="false">
      <c r="A27" s="85" t="s">
        <v>97</v>
      </c>
      <c r="C27" s="87" t="n">
        <f aca="false">C25-C26</f>
        <v>-287445.7464</v>
      </c>
      <c r="E27" s="75" t="s">
        <v>98</v>
      </c>
    </row>
    <row r="29" customFormat="false" ht="14.25" hidden="false" customHeight="true" outlineLevel="0" collapsed="false">
      <c r="A29" s="105" t="s">
        <v>100</v>
      </c>
    </row>
    <row r="30" customFormat="false" ht="270" hidden="false" customHeight="true" outlineLevel="0" collapsed="false">
      <c r="A30" s="88" t="s">
        <v>307</v>
      </c>
    </row>
    <row r="31" customFormat="false" ht="180" hidden="false" customHeight="true" outlineLevel="0" collapsed="false">
      <c r="A31" s="88" t="s">
        <v>102</v>
      </c>
    </row>
    <row r="32" customFormat="false" ht="101.25" hidden="false" customHeight="true" outlineLevel="0" collapsed="false">
      <c r="A32" s="88" t="s">
        <v>103</v>
      </c>
    </row>
    <row r="33" customFormat="false" ht="213.75" hidden="false" customHeight="true" outlineLevel="0" collapsed="false">
      <c r="A33" s="88" t="s">
        <v>104</v>
      </c>
    </row>
    <row r="34" customFormat="false" ht="168.75" hidden="false" customHeight="true" outlineLevel="0" collapsed="false">
      <c r="A34" s="88" t="s">
        <v>105</v>
      </c>
    </row>
    <row r="35" customFormat="false" ht="90" hidden="false" customHeight="true" outlineLevel="0" collapsed="false">
      <c r="A35" s="88" t="s">
        <v>106</v>
      </c>
    </row>
  </sheetData>
  <autoFilter ref="A4:W4"/>
  <mergeCells count="3">
    <mergeCell ref="A3:J3"/>
    <mergeCell ref="M3:N3"/>
    <mergeCell ref="P3:W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4:V31"/>
  <sheetViews>
    <sheetView showFormulas="false" showGridLines="false" showRowColHeaders="true" showZeros="true" rightToLeft="false" tabSelected="false" showOutlineSymbols="true" defaultGridColor="true" view="normal" topLeftCell="I1" colorId="64" zoomScale="100" zoomScaleNormal="100" zoomScalePageLayoutView="100" workbookViewId="0">
      <selection pane="topLeft" activeCell="Q5" activeCellId="0" sqref="Q5"/>
    </sheetView>
  </sheetViews>
  <sheetFormatPr defaultColWidth="8.6328125" defaultRowHeight="14.25" zeroHeight="false" outlineLevelRow="0" outlineLevelCol="0"/>
  <cols>
    <col collapsed="false" customWidth="true" hidden="false" outlineLevel="0" max="2" min="2" style="0" width="1.54"/>
    <col collapsed="false" customWidth="true" hidden="false" outlineLevel="0" max="3" min="3" style="0" width="14"/>
    <col collapsed="false" customWidth="true" hidden="false" outlineLevel="0" max="4" min="4" style="0" width="14.63"/>
    <col collapsed="false" customWidth="true" hidden="false" outlineLevel="0" max="8" min="8" style="0" width="15.09"/>
    <col collapsed="false" customWidth="true" hidden="false" outlineLevel="0" max="9" min="9" style="0" width="13.45"/>
    <col collapsed="false" customWidth="true" hidden="false" outlineLevel="0" max="10" min="10" style="0" width="11"/>
    <col collapsed="false" customWidth="true" hidden="false" outlineLevel="0" max="12" min="11" style="0" width="9.91"/>
    <col collapsed="false" customWidth="true" hidden="false" outlineLevel="0" max="13" min="13" style="0" width="18.63"/>
    <col collapsed="false" customWidth="true" hidden="false" outlineLevel="0" max="14" min="14" style="0" width="13.09"/>
    <col collapsed="false" customWidth="true" hidden="false" outlineLevel="0" max="15" min="15" style="0" width="13.91"/>
    <col collapsed="false" customWidth="true" hidden="false" outlineLevel="0" max="16" min="16" style="0" width="22"/>
    <col collapsed="false" customWidth="true" hidden="false" outlineLevel="0" max="17" min="17" style="0" width="14.91"/>
    <col collapsed="false" customWidth="true" hidden="false" outlineLevel="0" max="18" min="18" style="0" width="13"/>
    <col collapsed="false" customWidth="true" hidden="false" outlineLevel="0" max="20" min="20" style="0" width="14"/>
    <col collapsed="false" customWidth="true" hidden="false" outlineLevel="0" max="21" min="21" style="0" width="44"/>
    <col collapsed="false" customWidth="true" hidden="false" outlineLevel="0" max="22" min="22" style="0" width="15"/>
  </cols>
  <sheetData>
    <row r="4" customFormat="false" ht="15.75" hidden="false" customHeight="true" outlineLevel="0" collapsed="false">
      <c r="P4" s="106" t="n">
        <f aca="false">SUM(V13:V30)</f>
        <v>1239483.1689</v>
      </c>
      <c r="Q4" s="106" t="n">
        <f aca="false">T7-C16-SUM(D5:S16)-P4</f>
        <v>-287445.7464427</v>
      </c>
      <c r="T4" s="107" t="s">
        <v>308</v>
      </c>
    </row>
    <row r="5" customFormat="false" ht="15.75" hidden="false" customHeight="true" outlineLevel="0" collapsed="false">
      <c r="O5" s="106" t="n">
        <v>210000</v>
      </c>
      <c r="P5" s="108" t="s">
        <v>309</v>
      </c>
      <c r="Q5" s="109" t="s">
        <v>310</v>
      </c>
      <c r="R5" s="106" t="n">
        <v>-260000</v>
      </c>
      <c r="T5" s="110" t="n">
        <f aca="false">SUM(C3:S16)</f>
        <v>35284444.2378</v>
      </c>
    </row>
    <row r="6" customFormat="false" ht="15.75" hidden="false" customHeight="true" outlineLevel="0" collapsed="false">
      <c r="O6" s="108" t="s">
        <v>311</v>
      </c>
      <c r="R6" s="111"/>
      <c r="S6" s="106" t="n">
        <v>-350000</v>
      </c>
    </row>
    <row r="7" customFormat="false" ht="31.5" hidden="false" customHeight="true" outlineLevel="0" collapsed="false">
      <c r="N7" s="106" t="n">
        <f aca="false">71575+307333</f>
        <v>378908</v>
      </c>
      <c r="R7" s="112" t="s">
        <v>312</v>
      </c>
      <c r="S7" s="111"/>
      <c r="T7" s="106" t="n">
        <v>35284444.2378</v>
      </c>
    </row>
    <row r="8" customFormat="false" ht="157.5" hidden="false" customHeight="true" outlineLevel="0" collapsed="false">
      <c r="K8" s="106" t="n">
        <v>93000</v>
      </c>
      <c r="N8" s="108" t="s">
        <v>313</v>
      </c>
      <c r="S8" s="113" t="s">
        <v>314</v>
      </c>
      <c r="T8" s="114"/>
    </row>
    <row r="9" customFormat="false" ht="15.75" hidden="false" customHeight="true" outlineLevel="0" collapsed="false">
      <c r="M9" s="106" t="n">
        <v>55000</v>
      </c>
      <c r="N9" s="108"/>
      <c r="T9" s="114"/>
      <c r="U9" s="108" t="s">
        <v>315</v>
      </c>
      <c r="V9" s="106" t="n">
        <f aca="false">-Q4</f>
        <v>287445.7464427</v>
      </c>
    </row>
    <row r="10" customFormat="false" ht="15.75" hidden="false" customHeight="true" outlineLevel="0" collapsed="false">
      <c r="J10" s="106" t="n">
        <v>280000</v>
      </c>
      <c r="K10" s="108" t="s">
        <v>316</v>
      </c>
      <c r="L10" s="108"/>
      <c r="M10" s="108" t="s">
        <v>317</v>
      </c>
      <c r="N10" s="115" t="s">
        <v>318</v>
      </c>
      <c r="T10" s="114"/>
      <c r="U10" s="75" t="s">
        <v>319</v>
      </c>
    </row>
    <row r="11" customFormat="false" ht="15.75" hidden="false" customHeight="true" outlineLevel="0" collapsed="false">
      <c r="H11" s="106" t="n">
        <v>46000</v>
      </c>
      <c r="I11" s="106" t="n">
        <v>11940</v>
      </c>
      <c r="J11" s="108" t="s">
        <v>320</v>
      </c>
      <c r="M11" s="116" t="s">
        <v>321</v>
      </c>
      <c r="N11" s="117" t="s">
        <v>322</v>
      </c>
      <c r="T11" s="114"/>
    </row>
    <row r="12" customFormat="false" ht="15.75" hidden="false" customHeight="true" outlineLevel="0" collapsed="false">
      <c r="G12" s="106" t="n">
        <v>75000</v>
      </c>
      <c r="H12" s="108" t="s">
        <v>323</v>
      </c>
      <c r="I12" s="108" t="s">
        <v>324</v>
      </c>
      <c r="N12" s="117" t="s">
        <v>325</v>
      </c>
      <c r="T12" s="114"/>
      <c r="U12" s="108" t="s">
        <v>326</v>
      </c>
    </row>
    <row r="13" customFormat="false" ht="15.75" hidden="false" customHeight="true" outlineLevel="0" collapsed="false">
      <c r="F13" s="106" t="n">
        <v>60000</v>
      </c>
      <c r="G13" s="108" t="s">
        <v>327</v>
      </c>
      <c r="H13" s="117" t="s">
        <v>328</v>
      </c>
      <c r="I13" s="117" t="s">
        <v>329</v>
      </c>
      <c r="N13" s="117" t="s">
        <v>330</v>
      </c>
      <c r="T13" s="114"/>
      <c r="U13" s="117" t="s">
        <v>331</v>
      </c>
      <c r="V13" s="106" t="n">
        <v>376073.9136</v>
      </c>
    </row>
    <row r="14" customFormat="false" ht="15.75" hidden="false" customHeight="true" outlineLevel="0" collapsed="false">
      <c r="E14" s="106" t="n">
        <v>96664.1975427</v>
      </c>
      <c r="F14" s="108" t="s">
        <v>332</v>
      </c>
      <c r="H14" s="117" t="s">
        <v>333</v>
      </c>
      <c r="I14" s="117" t="s">
        <v>334</v>
      </c>
      <c r="N14" s="117" t="s">
        <v>330</v>
      </c>
      <c r="T14" s="114"/>
      <c r="U14" s="117" t="s">
        <v>335</v>
      </c>
      <c r="V14" s="106" t="n">
        <v>159024.456</v>
      </c>
    </row>
    <row r="15" customFormat="false" ht="15.75" hidden="false" customHeight="true" outlineLevel="0" collapsed="false">
      <c r="D15" s="106" t="n">
        <v>691851.847800002</v>
      </c>
      <c r="E15" s="108" t="s">
        <v>336</v>
      </c>
      <c r="H15" s="117" t="s">
        <v>337</v>
      </c>
      <c r="I15" s="117" t="s">
        <v>338</v>
      </c>
      <c r="T15" s="114"/>
      <c r="U15" s="117" t="s">
        <v>339</v>
      </c>
      <c r="V15" s="106" t="n">
        <f aca="false">IUK!E23</f>
        <v>232848</v>
      </c>
    </row>
    <row r="16" customFormat="false" ht="15.75" hidden="false" customHeight="true" outlineLevel="0" collapsed="false">
      <c r="C16" s="106" t="n">
        <v>32944042.77</v>
      </c>
      <c r="D16" s="108" t="s">
        <v>340</v>
      </c>
      <c r="H16" s="117" t="s">
        <v>338</v>
      </c>
      <c r="I16" s="117" t="s">
        <v>337</v>
      </c>
      <c r="T16" s="114"/>
      <c r="U16" s="117" t="s">
        <v>341</v>
      </c>
      <c r="V16" s="106" t="n">
        <f aca="false">UMI!E23</f>
        <v>89236.35</v>
      </c>
    </row>
    <row r="17" customFormat="false" ht="15.75" hidden="false" customHeight="true" outlineLevel="0" collapsed="false">
      <c r="C17" s="118"/>
      <c r="H17" s="117" t="s">
        <v>342</v>
      </c>
      <c r="I17" s="117" t="s">
        <v>339</v>
      </c>
      <c r="T17" s="119"/>
      <c r="U17" s="117" t="s">
        <v>343</v>
      </c>
      <c r="V17" s="106" t="n">
        <f aca="false">NORWAY!E23</f>
        <v>38324.475</v>
      </c>
    </row>
    <row r="18" customFormat="false" ht="15.75" hidden="false" customHeight="true" outlineLevel="0" collapsed="false">
      <c r="C18" s="118"/>
      <c r="H18" s="117" t="s">
        <v>342</v>
      </c>
      <c r="I18" s="117" t="s">
        <v>342</v>
      </c>
      <c r="T18" s="119"/>
      <c r="U18" s="117" t="s">
        <v>344</v>
      </c>
      <c r="V18" s="106" t="n">
        <f aca="false">SWEDEN!E23</f>
        <v>42950.25</v>
      </c>
    </row>
    <row r="19" customFormat="false" ht="15.75" hidden="false" customHeight="true" outlineLevel="0" collapsed="false">
      <c r="C19" s="118"/>
      <c r="H19" s="117" t="s">
        <v>342</v>
      </c>
      <c r="I19" s="117" t="s">
        <v>342</v>
      </c>
      <c r="T19" s="119"/>
      <c r="U19" s="117" t="s">
        <v>345</v>
      </c>
      <c r="V19" s="106" t="n">
        <f aca="false">HUNGARY!E23</f>
        <v>18862.2</v>
      </c>
    </row>
    <row r="20" customFormat="false" ht="15.75" hidden="false" customHeight="true" outlineLevel="0" collapsed="false">
      <c r="C20" s="118"/>
      <c r="T20" s="119"/>
      <c r="U20" s="117" t="s">
        <v>346</v>
      </c>
      <c r="V20" s="106" t="n">
        <f aca="false">FINLAND!E23</f>
        <v>6180.3</v>
      </c>
    </row>
    <row r="21" customFormat="false" ht="15.75" hidden="false" customHeight="true" outlineLevel="0" collapsed="false">
      <c r="C21" s="118"/>
      <c r="T21" s="119"/>
      <c r="U21" s="117" t="s">
        <v>347</v>
      </c>
      <c r="V21" s="106" t="n">
        <f aca="false">ROMANIA!E23</f>
        <v>5712.525</v>
      </c>
    </row>
    <row r="22" customFormat="false" ht="15.75" hidden="false" customHeight="true" outlineLevel="0" collapsed="false">
      <c r="C22" s="118"/>
      <c r="T22" s="119"/>
      <c r="U22" s="117" t="s">
        <v>348</v>
      </c>
      <c r="V22" s="106" t="n">
        <f aca="false">DENMARK!E23</f>
        <v>4460.4</v>
      </c>
    </row>
    <row r="23" customFormat="false" ht="15.75" hidden="false" customHeight="true" outlineLevel="0" collapsed="false">
      <c r="C23" s="118"/>
      <c r="T23" s="119"/>
      <c r="U23" s="117" t="s">
        <v>349</v>
      </c>
      <c r="V23" s="106" t="n">
        <f aca="false">ICELAND!E23</f>
        <v>2074.275</v>
      </c>
    </row>
    <row r="24" customFormat="false" ht="15.75" hidden="false" customHeight="true" outlineLevel="0" collapsed="false">
      <c r="C24" s="118"/>
      <c r="T24" s="119"/>
      <c r="U24" s="117" t="s">
        <v>350</v>
      </c>
      <c r="V24" s="106" t="n">
        <f aca="false">GERMANY!E29</f>
        <v>79988.2398</v>
      </c>
    </row>
    <row r="25" customFormat="false" ht="15.75" hidden="false" customHeight="true" outlineLevel="0" collapsed="false">
      <c r="C25" s="120" t="s">
        <v>351</v>
      </c>
      <c r="T25" s="121" t="s">
        <v>352</v>
      </c>
      <c r="U25" s="117" t="s">
        <v>353</v>
      </c>
      <c r="V25" s="106" t="n">
        <f aca="false">BELGIUM!E29</f>
        <v>49313.0295</v>
      </c>
    </row>
    <row r="26" customFormat="false" ht="15.75" hidden="false" customHeight="true" outlineLevel="0" collapsed="false">
      <c r="U26" s="117" t="s">
        <v>354</v>
      </c>
      <c r="V26" s="106" t="n">
        <f aca="false">PORTUGAL!E29</f>
        <v>68188.4217</v>
      </c>
    </row>
    <row r="27" customFormat="false" ht="15.75" hidden="false" customHeight="true" outlineLevel="0" collapsed="false">
      <c r="U27" s="117" t="s">
        <v>355</v>
      </c>
      <c r="V27" s="106" t="n">
        <f aca="false">IRELAND!E29</f>
        <v>23179.905</v>
      </c>
    </row>
    <row r="28" customFormat="false" ht="15.75" hidden="false" customHeight="true" outlineLevel="0" collapsed="false">
      <c r="U28" s="117" t="s">
        <v>356</v>
      </c>
      <c r="V28" s="106" t="n">
        <f aca="false">GREECE!E29</f>
        <v>20824.3791</v>
      </c>
    </row>
    <row r="29" customFormat="false" ht="15.75" hidden="false" customHeight="true" outlineLevel="0" collapsed="false">
      <c r="U29" s="117" t="s">
        <v>357</v>
      </c>
      <c r="V29" s="106" t="n">
        <f aca="false">CYPRUS!E29</f>
        <v>14603.8032</v>
      </c>
    </row>
    <row r="30" customFormat="false" ht="15.75" hidden="false" customHeight="true" outlineLevel="0" collapsed="false">
      <c r="U30" s="117" t="s">
        <v>358</v>
      </c>
      <c r="V30" s="106" t="n">
        <f aca="false">MALTA!E29</f>
        <v>7638.246</v>
      </c>
    </row>
    <row r="31" customFormat="false" ht="15.75" hidden="false" customHeight="true" outlineLevel="0" collapsed="false">
      <c r="U31" s="108" t="s">
        <v>359</v>
      </c>
      <c r="V31" s="106" t="n">
        <f aca="false">SUM(V13:V30)</f>
        <v>1239483.1689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false" showRowColHeaders="true" showZeros="true" rightToLeft="false" tabSelected="false" showOutlineSymbols="true" defaultGridColor="true" view="normal" topLeftCell="A3" colorId="64" zoomScale="100" zoomScaleNormal="100" zoomScalePageLayoutView="100" workbookViewId="0">
      <selection pane="topLeft" activeCell="E32" activeCellId="0" sqref="E32"/>
    </sheetView>
  </sheetViews>
  <sheetFormatPr defaultColWidth="8.6328125" defaultRowHeight="14.25" zeroHeight="false" outlineLevelRow="0" outlineLevelCol="0"/>
  <cols>
    <col collapsed="false" customWidth="true" hidden="false" outlineLevel="0" max="1" min="1" style="0" width="54"/>
    <col collapsed="false" customWidth="true" hidden="false" outlineLevel="0" max="2" min="2" style="0" width="13"/>
    <col collapsed="false" customWidth="true" hidden="false" outlineLevel="0" max="9" min="3" style="0" width="15"/>
    <col collapsed="false" customWidth="true" hidden="false" outlineLevel="0" max="10" min="10" style="0" width="8"/>
  </cols>
  <sheetData>
    <row r="1" customFormat="false" ht="15.75" hidden="false" customHeight="true" outlineLevel="0" collapsed="false">
      <c r="A1" s="74" t="s">
        <v>360</v>
      </c>
    </row>
    <row r="2" customFormat="false" ht="14.25" hidden="false" customHeight="true" outlineLevel="0" collapsed="false">
      <c r="A2" s="75" t="s">
        <v>361</v>
      </c>
    </row>
    <row r="3" customFormat="false" ht="14.25" hidden="false" customHeight="true" outlineLevel="0" collapsed="false">
      <c r="F3" s="85" t="s">
        <v>362</v>
      </c>
    </row>
    <row r="4" customFormat="false" ht="14.25" hidden="false" customHeight="true" outlineLevel="0" collapsed="false">
      <c r="F4" s="122" t="s">
        <v>363</v>
      </c>
    </row>
    <row r="5" customFormat="false" ht="14.25" hidden="false" customHeight="true" outlineLevel="0" collapsed="false">
      <c r="F5" s="123" t="s">
        <v>364</v>
      </c>
    </row>
    <row r="6" customFormat="false" ht="14.25" hidden="false" customHeight="true" outlineLevel="0" collapsed="false">
      <c r="I6" s="75"/>
      <c r="J6" s="124"/>
    </row>
    <row r="7" customFormat="false" ht="14.25" hidden="false" customHeight="true" outlineLevel="0" collapsed="false">
      <c r="A7" s="105" t="s">
        <v>365</v>
      </c>
    </row>
    <row r="8" customFormat="false" ht="26.25" hidden="false" customHeight="true" outlineLevel="0" collapsed="false">
      <c r="C8" s="80" t="s">
        <v>366</v>
      </c>
      <c r="D8" s="80" t="s">
        <v>367</v>
      </c>
      <c r="E8" s="80" t="s">
        <v>368</v>
      </c>
      <c r="F8" s="80" t="s">
        <v>369</v>
      </c>
      <c r="G8" s="80" t="s">
        <v>370</v>
      </c>
      <c r="H8" s="80" t="s">
        <v>371</v>
      </c>
      <c r="I8" s="80" t="s">
        <v>372</v>
      </c>
    </row>
    <row r="9" customFormat="false" ht="14.25" hidden="false" customHeight="true" outlineLevel="0" collapsed="false">
      <c r="A9" s="0" t="s">
        <v>68</v>
      </c>
      <c r="C9" s="125" t="n">
        <v>48876</v>
      </c>
      <c r="D9" s="125" t="n">
        <v>47783</v>
      </c>
      <c r="E9" s="125" t="n">
        <v>49280</v>
      </c>
      <c r="F9" s="125" t="n">
        <v>50202</v>
      </c>
      <c r="G9" s="125" t="n">
        <v>51096</v>
      </c>
      <c r="H9" s="125" t="n">
        <v>51963</v>
      </c>
      <c r="I9" s="125" t="n">
        <v>52804</v>
      </c>
    </row>
    <row r="10" customFormat="false" ht="14.25" hidden="false" customHeight="true" outlineLevel="0" collapsed="false">
      <c r="A10" s="0" t="s">
        <v>373</v>
      </c>
      <c r="C10" s="61" t="n">
        <f aca="false">C9</f>
        <v>48876</v>
      </c>
      <c r="D10" s="61" t="n">
        <f aca="false">D9</f>
        <v>47783</v>
      </c>
      <c r="E10" s="61" t="n">
        <f aca="false">E9</f>
        <v>49280</v>
      </c>
      <c r="F10" s="61" t="n">
        <f aca="false">F9</f>
        <v>50202</v>
      </c>
      <c r="G10" s="61" t="n">
        <f aca="false">G9</f>
        <v>51096</v>
      </c>
      <c r="H10" s="61" t="n">
        <f aca="false">H9</f>
        <v>51963</v>
      </c>
      <c r="I10" s="61" t="n">
        <f aca="false">I9</f>
        <v>52804</v>
      </c>
    </row>
    <row r="11" customFormat="false" ht="14.25" hidden="false" customHeight="true" outlineLevel="0" collapsed="false">
      <c r="A11" s="75" t="s">
        <v>374</v>
      </c>
    </row>
    <row r="13" customFormat="false" ht="14.25" hidden="false" customHeight="true" outlineLevel="0" collapsed="false">
      <c r="A13" s="105" t="s">
        <v>375</v>
      </c>
      <c r="B13" s="55" t="s">
        <v>376</v>
      </c>
      <c r="C13" s="126"/>
      <c r="D13" s="126" t="s">
        <v>377</v>
      </c>
      <c r="E13" s="126" t="s">
        <v>378</v>
      </c>
      <c r="F13" s="126" t="s">
        <v>379</v>
      </c>
      <c r="G13" s="126" t="s">
        <v>380</v>
      </c>
      <c r="H13" s="126" t="s">
        <v>381</v>
      </c>
      <c r="I13" s="126" t="s">
        <v>382</v>
      </c>
    </row>
    <row r="14" customFormat="false" ht="14.25" hidden="false" customHeight="true" outlineLevel="0" collapsed="false">
      <c r="A14" s="0" t="s">
        <v>383</v>
      </c>
      <c r="B14" s="127" t="n">
        <f aca="false">Inputs!$B$4</f>
        <v>250</v>
      </c>
      <c r="C14" s="128"/>
      <c r="D14" s="57" t="n">
        <f aca="false">B14</f>
        <v>250</v>
      </c>
      <c r="E14" s="129" t="n">
        <f aca="false">D14*(1+Inputs!$B$9)</f>
        <v>262.5</v>
      </c>
      <c r="F14" s="129" t="n">
        <f aca="false">E14*(1+'Dashboard (2)'!$T$1)</f>
        <v>270.375</v>
      </c>
      <c r="G14" s="129" t="n">
        <f aca="false">F14*(1+'Dashboard (2)'!$T$1)</f>
        <v>278.48625</v>
      </c>
      <c r="H14" s="129" t="n">
        <f aca="false">G14*(1+'Dashboard (2)'!$T$1)</f>
        <v>286.8408375</v>
      </c>
      <c r="I14" s="129" t="n">
        <f aca="false">H14*(1+'Dashboard (2)'!$T$1)</f>
        <v>295.446062625</v>
      </c>
    </row>
    <row r="15" customFormat="false" ht="14.25" hidden="false" customHeight="true" outlineLevel="0" collapsed="false">
      <c r="A15" s="75" t="s">
        <v>384</v>
      </c>
    </row>
    <row r="17" customFormat="false" ht="14.25" hidden="false" customHeight="true" outlineLevel="0" collapsed="false">
      <c r="A17" s="105" t="s">
        <v>385</v>
      </c>
    </row>
    <row r="18" customFormat="false" ht="26.25" hidden="false" customHeight="true" outlineLevel="0" collapsed="false">
      <c r="C18" s="80" t="s">
        <v>366</v>
      </c>
      <c r="D18" s="80" t="s">
        <v>367</v>
      </c>
      <c r="E18" s="80" t="s">
        <v>368</v>
      </c>
      <c r="F18" s="80" t="s">
        <v>386</v>
      </c>
      <c r="G18" s="80" t="s">
        <v>387</v>
      </c>
      <c r="H18" s="80" t="s">
        <v>388</v>
      </c>
      <c r="I18" s="80" t="s">
        <v>389</v>
      </c>
    </row>
    <row r="19" customFormat="false" ht="14.25" hidden="false" customHeight="true" outlineLevel="0" collapsed="false">
      <c r="A19" s="0" t="s">
        <v>390</v>
      </c>
      <c r="C19" s="61" t="n">
        <f aca="false">C9*$D$14</f>
        <v>12219000</v>
      </c>
      <c r="D19" s="61" t="n">
        <f aca="false">D9*$D$14</f>
        <v>11945750</v>
      </c>
      <c r="E19" s="61" t="n">
        <f aca="false">E9*$E$14</f>
        <v>12936000</v>
      </c>
      <c r="F19" s="61" t="n">
        <f aca="false">F9*F14</f>
        <v>13573365.75</v>
      </c>
      <c r="G19" s="61" t="n">
        <f aca="false">G9*G14</f>
        <v>14229533.43</v>
      </c>
      <c r="H19" s="61" t="n">
        <f aca="false">H9*H14</f>
        <v>14905110.4390125</v>
      </c>
      <c r="I19" s="61" t="n">
        <f aca="false">I9*I14</f>
        <v>15600733.8908505</v>
      </c>
    </row>
    <row r="20" customFormat="false" ht="14.25" hidden="false" customHeight="true" outlineLevel="0" collapsed="false">
      <c r="A20" s="0" t="s">
        <v>391</v>
      </c>
      <c r="C20" s="130" t="n">
        <v>7297065.71</v>
      </c>
      <c r="D20" s="130" t="n">
        <v>5895486.21</v>
      </c>
      <c r="E20" s="130" t="n">
        <v>6062956.49</v>
      </c>
      <c r="F20" s="75"/>
    </row>
    <row r="21" customFormat="false" ht="14.25" hidden="false" customHeight="true" outlineLevel="0" collapsed="false">
      <c r="A21" s="0" t="s">
        <v>392</v>
      </c>
      <c r="C21" s="103" t="n">
        <f aca="false">C20/C19</f>
        <v>0.597190090023734</v>
      </c>
      <c r="D21" s="103" t="n">
        <f aca="false">D20/D19</f>
        <v>0.493521646610719</v>
      </c>
      <c r="E21" s="103" t="n">
        <f aca="false">E20/E19</f>
        <v>0.468688658781695</v>
      </c>
    </row>
    <row r="22" customFormat="false" ht="14.25" hidden="false" customHeight="true" outlineLevel="0" collapsed="false">
      <c r="A22" s="0" t="s">
        <v>393</v>
      </c>
      <c r="C22" s="131" t="n">
        <v>0</v>
      </c>
      <c r="D22" s="131" t="n">
        <v>0</v>
      </c>
      <c r="E22" s="131" t="n">
        <f aca="false">MAX(0,MIN('Dashboard (2)'!$N$1,Inputs!$B$38-E21))</f>
        <v>0.018</v>
      </c>
    </row>
    <row r="23" customFormat="false" ht="14.25" hidden="false" customHeight="true" outlineLevel="0" collapsed="false">
      <c r="A23" s="0" t="s">
        <v>394</v>
      </c>
      <c r="C23" s="61" t="n">
        <f aca="false">C19*C22</f>
        <v>0</v>
      </c>
      <c r="D23" s="61" t="n">
        <f aca="false">D19*D22</f>
        <v>0</v>
      </c>
      <c r="E23" s="104" t="n">
        <f aca="false">E19*E22</f>
        <v>232848</v>
      </c>
    </row>
    <row r="24" customFormat="false" ht="14.25" hidden="false" customHeight="true" outlineLevel="0" collapsed="false">
      <c r="A24" s="85" t="s">
        <v>395</v>
      </c>
      <c r="C24" s="87" t="n">
        <f aca="false">C20+C23</f>
        <v>7297065.71</v>
      </c>
      <c r="D24" s="87" t="n">
        <f aca="false">D20+D23</f>
        <v>5895486.21</v>
      </c>
      <c r="E24" s="96" t="n">
        <f aca="false">E20+E23</f>
        <v>6295804.49</v>
      </c>
    </row>
    <row r="25" customFormat="false" ht="14.25" hidden="false" customHeight="true" outlineLevel="0" collapsed="false">
      <c r="A25" s="0" t="s">
        <v>396</v>
      </c>
      <c r="C25" s="56" t="n">
        <f aca="false">C24/C19</f>
        <v>0.597190090023734</v>
      </c>
      <c r="D25" s="56" t="n">
        <f aca="false">D24/D19</f>
        <v>0.493521646610719</v>
      </c>
      <c r="E25" s="56" t="n">
        <f aca="false">E24/E19</f>
        <v>0.486688658781695</v>
      </c>
    </row>
    <row r="26" customFormat="false" ht="14.25" hidden="false" customHeight="true" outlineLevel="0" collapsed="false">
      <c r="A26" s="75" t="s">
        <v>397</v>
      </c>
    </row>
    <row r="27" customFormat="false" ht="14.25" hidden="false" customHeight="false" outlineLevel="0" collapsed="false">
      <c r="A27" s="6" t="s">
        <v>398</v>
      </c>
    </row>
    <row r="28" customFormat="false" ht="14.25" hidden="false" customHeight="true" outlineLevel="0" collapsed="false">
      <c r="A28" s="132" t="s">
        <v>399</v>
      </c>
    </row>
    <row r="29" customFormat="false" ht="26.25" hidden="false" customHeight="true" outlineLevel="0" collapsed="false">
      <c r="C29" s="80" t="s">
        <v>366</v>
      </c>
      <c r="D29" s="80" t="s">
        <v>367</v>
      </c>
      <c r="E29" s="80" t="s">
        <v>368</v>
      </c>
    </row>
    <row r="30" customFormat="false" ht="14.25" hidden="false" customHeight="true" outlineLevel="0" collapsed="false">
      <c r="A30" s="0" t="s">
        <v>400</v>
      </c>
      <c r="C30" s="130" t="n">
        <v>18843292.94</v>
      </c>
      <c r="D30" s="130" t="n">
        <v>21418279</v>
      </c>
      <c r="F30" s="75" t="s">
        <v>401</v>
      </c>
    </row>
    <row r="31" customFormat="false" ht="14.25" hidden="false" customHeight="true" outlineLevel="0" collapsed="false">
      <c r="A31" s="0" t="s">
        <v>402</v>
      </c>
      <c r="B31" s="133" t="n">
        <v>0.35</v>
      </c>
      <c r="C31" s="134"/>
      <c r="D31" s="134"/>
    </row>
    <row r="32" customFormat="false" ht="14.25" hidden="false" customHeight="true" outlineLevel="0" collapsed="false">
      <c r="A32" s="0" t="s">
        <v>403</v>
      </c>
      <c r="E32" s="135" t="n">
        <f aca="false">-E23/(B31-1)</f>
        <v>358227.692307692</v>
      </c>
    </row>
    <row r="33" customFormat="false" ht="14.25" hidden="false" customHeight="true" outlineLevel="0" collapsed="false">
      <c r="A33" s="85" t="s">
        <v>404</v>
      </c>
      <c r="E33" s="136" t="n">
        <f aca="false">IF(OR(D30="",D30="no KPI data"),"no KPI data",D30+E32)</f>
        <v>21776506.6923077</v>
      </c>
    </row>
    <row r="34" customFormat="false" ht="42" hidden="false" customHeight="true" outlineLevel="0" collapsed="false">
      <c r="A34" s="137" t="s">
        <v>405</v>
      </c>
    </row>
    <row r="37" customFormat="false" ht="14.25" hidden="false" customHeight="true" outlineLevel="0" collapsed="false">
      <c r="A37" s="105" t="s">
        <v>406</v>
      </c>
    </row>
    <row r="38" customFormat="false" ht="33.75" hidden="false" customHeight="true" outlineLevel="0" collapsed="false">
      <c r="A38" s="88" t="s">
        <v>407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54"/>
    <col collapsed="false" customWidth="true" hidden="false" outlineLevel="0" max="2" min="2" style="0" width="13"/>
    <col collapsed="false" customWidth="true" hidden="false" outlineLevel="0" max="9" min="3" style="0" width="15"/>
    <col collapsed="false" customWidth="true" hidden="false" outlineLevel="0" max="10" min="10" style="0" width="8"/>
  </cols>
  <sheetData>
    <row r="1" customFormat="false" ht="15.75" hidden="false" customHeight="true" outlineLevel="0" collapsed="false">
      <c r="A1" s="74" t="s">
        <v>408</v>
      </c>
    </row>
    <row r="2" customFormat="false" ht="14.25" hidden="false" customHeight="true" outlineLevel="0" collapsed="false">
      <c r="A2" s="75" t="s">
        <v>361</v>
      </c>
    </row>
    <row r="3" customFormat="false" ht="14.25" hidden="false" customHeight="true" outlineLevel="0" collapsed="false">
      <c r="F3" s="85" t="s">
        <v>362</v>
      </c>
    </row>
    <row r="4" customFormat="false" ht="14.25" hidden="false" customHeight="true" outlineLevel="0" collapsed="false">
      <c r="F4" s="122" t="s">
        <v>363</v>
      </c>
    </row>
    <row r="5" customFormat="false" ht="14.25" hidden="false" customHeight="true" outlineLevel="0" collapsed="false">
      <c r="F5" s="123" t="s">
        <v>364</v>
      </c>
    </row>
    <row r="6" customFormat="false" ht="14.25" hidden="false" customHeight="true" outlineLevel="0" collapsed="false">
      <c r="I6" s="75"/>
      <c r="J6" s="124"/>
    </row>
    <row r="7" customFormat="false" ht="14.25" hidden="false" customHeight="true" outlineLevel="0" collapsed="false">
      <c r="A7" s="105" t="s">
        <v>409</v>
      </c>
    </row>
    <row r="8" customFormat="false" ht="26.25" hidden="false" customHeight="true" outlineLevel="0" collapsed="false">
      <c r="C8" s="80" t="s">
        <v>366</v>
      </c>
      <c r="D8" s="80" t="s">
        <v>367</v>
      </c>
      <c r="E8" s="80" t="s">
        <v>368</v>
      </c>
      <c r="F8" s="80" t="s">
        <v>369</v>
      </c>
      <c r="G8" s="80" t="s">
        <v>370</v>
      </c>
      <c r="H8" s="80" t="s">
        <v>371</v>
      </c>
      <c r="I8" s="80" t="s">
        <v>372</v>
      </c>
    </row>
    <row r="9" customFormat="false" ht="14.25" hidden="false" customHeight="true" outlineLevel="0" collapsed="false">
      <c r="A9" s="0" t="s">
        <v>68</v>
      </c>
      <c r="C9" s="125" t="n">
        <v>18349</v>
      </c>
      <c r="D9" s="125" t="n">
        <v>18542</v>
      </c>
      <c r="E9" s="125" t="n">
        <v>18886</v>
      </c>
      <c r="F9" s="125" t="n">
        <v>19319</v>
      </c>
      <c r="G9" s="125" t="n">
        <v>19669</v>
      </c>
      <c r="H9" s="125" t="n">
        <v>20009</v>
      </c>
      <c r="I9" s="125" t="n">
        <v>20339</v>
      </c>
    </row>
    <row r="10" customFormat="false" ht="14.25" hidden="false" customHeight="true" outlineLevel="0" collapsed="false">
      <c r="A10" s="0" t="s">
        <v>373</v>
      </c>
      <c r="C10" s="61" t="n">
        <f aca="false">C9</f>
        <v>18349</v>
      </c>
      <c r="D10" s="61" t="n">
        <f aca="false">D9</f>
        <v>18542</v>
      </c>
      <c r="E10" s="61" t="n">
        <f aca="false">E9</f>
        <v>18886</v>
      </c>
      <c r="F10" s="61" t="n">
        <f aca="false">F9</f>
        <v>19319</v>
      </c>
      <c r="G10" s="61" t="n">
        <f aca="false">G9</f>
        <v>19669</v>
      </c>
      <c r="H10" s="61" t="n">
        <f aca="false">H9</f>
        <v>20009</v>
      </c>
      <c r="I10" s="61" t="n">
        <f aca="false">I9</f>
        <v>20339</v>
      </c>
    </row>
    <row r="11" customFormat="false" ht="14.25" hidden="false" customHeight="true" outlineLevel="0" collapsed="false">
      <c r="A11" s="75" t="s">
        <v>374</v>
      </c>
    </row>
    <row r="13" customFormat="false" ht="14.25" hidden="false" customHeight="true" outlineLevel="0" collapsed="false">
      <c r="A13" s="105" t="s">
        <v>375</v>
      </c>
      <c r="B13" s="55" t="s">
        <v>376</v>
      </c>
      <c r="C13" s="126"/>
      <c r="D13" s="126" t="s">
        <v>377</v>
      </c>
      <c r="E13" s="126" t="s">
        <v>378</v>
      </c>
      <c r="F13" s="126" t="s">
        <v>379</v>
      </c>
      <c r="G13" s="126" t="s">
        <v>380</v>
      </c>
      <c r="H13" s="126" t="s">
        <v>381</v>
      </c>
      <c r="I13" s="126" t="s">
        <v>382</v>
      </c>
    </row>
    <row r="14" customFormat="false" ht="14.25" hidden="false" customHeight="true" outlineLevel="0" collapsed="false">
      <c r="A14" s="0" t="s">
        <v>383</v>
      </c>
      <c r="B14" s="127" t="n">
        <f aca="false">Inputs!$B$4</f>
        <v>250</v>
      </c>
      <c r="C14" s="128"/>
      <c r="D14" s="57" t="n">
        <f aca="false">B14</f>
        <v>250</v>
      </c>
      <c r="E14" s="129" t="n">
        <f aca="false">D14*(1+Inputs!$B$9)</f>
        <v>262.5</v>
      </c>
      <c r="F14" s="129" t="n">
        <f aca="false">E14*(1+'Dashboard (2)'!$T$1)</f>
        <v>270.375</v>
      </c>
      <c r="G14" s="129" t="n">
        <f aca="false">F14*(1+'Dashboard (2)'!$T$1)</f>
        <v>278.48625</v>
      </c>
      <c r="H14" s="129" t="n">
        <f aca="false">G14*(1+'Dashboard (2)'!$T$1)</f>
        <v>286.8408375</v>
      </c>
      <c r="I14" s="129" t="n">
        <f aca="false">H14*(1+'Dashboard (2)'!$T$1)</f>
        <v>295.446062625</v>
      </c>
    </row>
    <row r="15" customFormat="false" ht="14.25" hidden="false" customHeight="true" outlineLevel="0" collapsed="false">
      <c r="A15" s="75" t="s">
        <v>384</v>
      </c>
    </row>
    <row r="17" customFormat="false" ht="14.25" hidden="false" customHeight="true" outlineLevel="0" collapsed="false">
      <c r="A17" s="105" t="s">
        <v>410</v>
      </c>
    </row>
    <row r="18" customFormat="false" ht="26.25" hidden="false" customHeight="true" outlineLevel="0" collapsed="false">
      <c r="C18" s="80" t="s">
        <v>366</v>
      </c>
      <c r="D18" s="80" t="s">
        <v>367</v>
      </c>
      <c r="E18" s="80" t="s">
        <v>368</v>
      </c>
      <c r="F18" s="80" t="s">
        <v>386</v>
      </c>
      <c r="G18" s="80" t="s">
        <v>387</v>
      </c>
      <c r="H18" s="80" t="s">
        <v>388</v>
      </c>
      <c r="I18" s="80" t="s">
        <v>389</v>
      </c>
    </row>
    <row r="19" customFormat="false" ht="14.25" hidden="false" customHeight="true" outlineLevel="0" collapsed="false">
      <c r="A19" s="0" t="s">
        <v>390</v>
      </c>
      <c r="C19" s="61" t="n">
        <f aca="false">C9*$D$14</f>
        <v>4587250</v>
      </c>
      <c r="D19" s="61" t="n">
        <f aca="false">D9*$D$14</f>
        <v>4635500</v>
      </c>
      <c r="E19" s="61" t="n">
        <f aca="false">E9*$E$14</f>
        <v>4957575</v>
      </c>
      <c r="F19" s="61" t="n">
        <f aca="false">F9*F14</f>
        <v>5223374.625</v>
      </c>
      <c r="G19" s="61" t="n">
        <f aca="false">G9*G14</f>
        <v>5477546.05125</v>
      </c>
      <c r="H19" s="61" t="n">
        <f aca="false">H9*H14</f>
        <v>5739398.3175375</v>
      </c>
      <c r="I19" s="61" t="n">
        <f aca="false">I9*I14</f>
        <v>6009077.46772987</v>
      </c>
    </row>
    <row r="20" customFormat="false" ht="14.25" hidden="false" customHeight="true" outlineLevel="0" collapsed="false">
      <c r="A20" s="0" t="s">
        <v>391</v>
      </c>
      <c r="C20" s="130" t="n">
        <v>2739215.7</v>
      </c>
      <c r="D20" s="130" t="n">
        <v>2445335.24</v>
      </c>
      <c r="E20" s="130" t="n">
        <v>2973279.33</v>
      </c>
      <c r="F20" s="75"/>
    </row>
    <row r="21" customFormat="false" ht="14.25" hidden="false" customHeight="true" outlineLevel="0" collapsed="false">
      <c r="A21" s="0" t="s">
        <v>392</v>
      </c>
      <c r="C21" s="103" t="n">
        <f aca="false">C20/C19</f>
        <v>0.597136781295984</v>
      </c>
      <c r="D21" s="103" t="n">
        <f aca="false">D20/D19</f>
        <v>0.52752351202675</v>
      </c>
      <c r="E21" s="103" t="n">
        <f aca="false">E20/E19</f>
        <v>0.599744699777613</v>
      </c>
    </row>
    <row r="22" customFormat="false" ht="14.25" hidden="false" customHeight="true" outlineLevel="0" collapsed="false">
      <c r="A22" s="0" t="s">
        <v>393</v>
      </c>
      <c r="C22" s="131" t="n">
        <v>0</v>
      </c>
      <c r="D22" s="131" t="n">
        <v>0</v>
      </c>
      <c r="E22" s="131" t="n">
        <f aca="false">MAX(0,MIN('Dashboard (2)'!$N$1,Inputs!$B$38-E21))</f>
        <v>0.018</v>
      </c>
    </row>
    <row r="23" customFormat="false" ht="14.25" hidden="false" customHeight="true" outlineLevel="0" collapsed="false">
      <c r="A23" s="0" t="s">
        <v>394</v>
      </c>
      <c r="C23" s="61" t="n">
        <f aca="false">C19*C22</f>
        <v>0</v>
      </c>
      <c r="D23" s="61" t="n">
        <f aca="false">D19*D22</f>
        <v>0</v>
      </c>
      <c r="E23" s="104" t="n">
        <f aca="false">E19*E22</f>
        <v>89236.35</v>
      </c>
    </row>
    <row r="24" customFormat="false" ht="14.25" hidden="false" customHeight="true" outlineLevel="0" collapsed="false">
      <c r="A24" s="85" t="s">
        <v>395</v>
      </c>
      <c r="C24" s="87" t="n">
        <f aca="false">C20+C23</f>
        <v>2739215.7</v>
      </c>
      <c r="D24" s="87" t="n">
        <f aca="false">D20+D23</f>
        <v>2445335.24</v>
      </c>
      <c r="E24" s="96" t="n">
        <f aca="false">E20+E23</f>
        <v>3062515.68</v>
      </c>
    </row>
    <row r="25" customFormat="false" ht="14.25" hidden="false" customHeight="true" outlineLevel="0" collapsed="false">
      <c r="A25" s="0" t="s">
        <v>396</v>
      </c>
      <c r="C25" s="56" t="n">
        <f aca="false">C24/C19</f>
        <v>0.597136781295984</v>
      </c>
      <c r="D25" s="56" t="n">
        <f aca="false">D24/D19</f>
        <v>0.52752351202675</v>
      </c>
      <c r="E25" s="56" t="n">
        <f aca="false">E24/E19</f>
        <v>0.617744699777613</v>
      </c>
    </row>
    <row r="26" customFormat="false" ht="14.25" hidden="false" customHeight="true" outlineLevel="0" collapsed="false">
      <c r="A26" s="75" t="s">
        <v>397</v>
      </c>
    </row>
    <row r="27" customFormat="false" ht="14.25" hidden="false" customHeight="false" outlineLevel="0" collapsed="false">
      <c r="A27" s="6" t="s">
        <v>398</v>
      </c>
    </row>
    <row r="28" customFormat="false" ht="14.25" hidden="false" customHeight="true" outlineLevel="0" collapsed="false">
      <c r="A28" s="132" t="s">
        <v>411</v>
      </c>
    </row>
    <row r="29" customFormat="false" ht="26.25" hidden="false" customHeight="true" outlineLevel="0" collapsed="false">
      <c r="C29" s="80" t="s">
        <v>366</v>
      </c>
      <c r="D29" s="80" t="s">
        <v>367</v>
      </c>
      <c r="E29" s="80" t="s">
        <v>368</v>
      </c>
    </row>
    <row r="30" customFormat="false" ht="14.25" hidden="false" customHeight="true" outlineLevel="0" collapsed="false">
      <c r="A30" s="0" t="s">
        <v>400</v>
      </c>
      <c r="C30" s="130"/>
      <c r="D30" s="130"/>
      <c r="F30" s="138" t="s">
        <v>412</v>
      </c>
    </row>
    <row r="31" customFormat="false" ht="14.25" hidden="false" customHeight="true" outlineLevel="0" collapsed="false">
      <c r="A31" s="0" t="s">
        <v>402</v>
      </c>
      <c r="B31" s="133" t="n">
        <v>0.35</v>
      </c>
      <c r="C31" s="134"/>
      <c r="D31" s="134"/>
    </row>
    <row r="32" customFormat="false" ht="14.25" hidden="false" customHeight="true" outlineLevel="0" collapsed="false">
      <c r="A32" s="0" t="s">
        <v>403</v>
      </c>
      <c r="E32" s="135" t="n">
        <f aca="false">-E23/(B31-1)</f>
        <v>137286.692307692</v>
      </c>
    </row>
    <row r="33" customFormat="false" ht="14.25" hidden="false" customHeight="true" outlineLevel="0" collapsed="false">
      <c r="A33" s="85" t="s">
        <v>404</v>
      </c>
      <c r="E33" s="136" t="str">
        <f aca="false">IF(OR(D30="",D30="no KPI data"),"no KPI data",D30+E32)</f>
        <v>no KPI data</v>
      </c>
    </row>
    <row r="34" customFormat="false" ht="42" hidden="false" customHeight="true" outlineLevel="0" collapsed="false">
      <c r="A34" s="137" t="s">
        <v>405</v>
      </c>
    </row>
    <row r="37" customFormat="false" ht="14.25" hidden="false" customHeight="true" outlineLevel="0" collapsed="false">
      <c r="A37" s="105" t="s">
        <v>406</v>
      </c>
    </row>
    <row r="38" customFormat="false" ht="33.75" hidden="false" customHeight="true" outlineLevel="0" collapsed="false">
      <c r="A38" s="88" t="s">
        <v>407</v>
      </c>
    </row>
    <row r="39" customFormat="false" ht="22.5" hidden="false" customHeight="true" outlineLevel="0" collapsed="false">
      <c r="A39" s="88" t="s">
        <v>413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54"/>
    <col collapsed="false" customWidth="true" hidden="false" outlineLevel="0" max="2" min="2" style="0" width="13"/>
    <col collapsed="false" customWidth="true" hidden="false" outlineLevel="0" max="9" min="3" style="0" width="15"/>
    <col collapsed="false" customWidth="true" hidden="false" outlineLevel="0" max="10" min="10" style="0" width="8"/>
  </cols>
  <sheetData>
    <row r="1" customFormat="false" ht="15.75" hidden="false" customHeight="true" outlineLevel="0" collapsed="false">
      <c r="A1" s="74" t="s">
        <v>414</v>
      </c>
    </row>
    <row r="2" customFormat="false" ht="14.25" hidden="false" customHeight="true" outlineLevel="0" collapsed="false">
      <c r="A2" s="75" t="s">
        <v>361</v>
      </c>
    </row>
    <row r="3" customFormat="false" ht="14.25" hidden="false" customHeight="true" outlineLevel="0" collapsed="false">
      <c r="F3" s="85" t="s">
        <v>362</v>
      </c>
    </row>
    <row r="4" customFormat="false" ht="14.25" hidden="false" customHeight="true" outlineLevel="0" collapsed="false">
      <c r="F4" s="122" t="s">
        <v>363</v>
      </c>
    </row>
    <row r="5" customFormat="false" ht="14.25" hidden="false" customHeight="true" outlineLevel="0" collapsed="false">
      <c r="F5" s="123" t="s">
        <v>364</v>
      </c>
    </row>
    <row r="6" customFormat="false" ht="14.25" hidden="false" customHeight="true" outlineLevel="0" collapsed="false">
      <c r="I6" s="75"/>
      <c r="J6" s="124"/>
    </row>
    <row r="7" customFormat="false" ht="14.25" hidden="false" customHeight="true" outlineLevel="0" collapsed="false">
      <c r="A7" s="105" t="s">
        <v>415</v>
      </c>
    </row>
    <row r="8" customFormat="false" ht="26.25" hidden="false" customHeight="true" outlineLevel="0" collapsed="false">
      <c r="C8" s="80" t="s">
        <v>366</v>
      </c>
      <c r="D8" s="80" t="s">
        <v>367</v>
      </c>
      <c r="E8" s="80" t="s">
        <v>368</v>
      </c>
      <c r="F8" s="80" t="s">
        <v>369</v>
      </c>
      <c r="G8" s="80" t="s">
        <v>370</v>
      </c>
      <c r="H8" s="80" t="s">
        <v>371</v>
      </c>
      <c r="I8" s="80" t="s">
        <v>372</v>
      </c>
    </row>
    <row r="9" customFormat="false" ht="14.25" hidden="false" customHeight="true" outlineLevel="0" collapsed="false">
      <c r="A9" s="0" t="s">
        <v>68</v>
      </c>
      <c r="C9" s="125" t="n">
        <v>8237</v>
      </c>
      <c r="D9" s="125" t="n">
        <v>7929</v>
      </c>
      <c r="E9" s="125" t="n">
        <v>8111</v>
      </c>
      <c r="F9" s="125" t="n">
        <v>8218</v>
      </c>
      <c r="G9" s="125" t="n">
        <v>8426</v>
      </c>
      <c r="H9" s="125" t="n">
        <v>8628</v>
      </c>
      <c r="I9" s="125" t="n">
        <v>8824</v>
      </c>
    </row>
    <row r="10" customFormat="false" ht="14.25" hidden="false" customHeight="true" outlineLevel="0" collapsed="false">
      <c r="A10" s="0" t="s">
        <v>373</v>
      </c>
      <c r="C10" s="61" t="n">
        <f aca="false">C9</f>
        <v>8237</v>
      </c>
      <c r="D10" s="61" t="n">
        <f aca="false">D9</f>
        <v>7929</v>
      </c>
      <c r="E10" s="61" t="n">
        <f aca="false">E9</f>
        <v>8111</v>
      </c>
      <c r="F10" s="61" t="n">
        <f aca="false">F9</f>
        <v>8218</v>
      </c>
      <c r="G10" s="61" t="n">
        <f aca="false">G9</f>
        <v>8426</v>
      </c>
      <c r="H10" s="61" t="n">
        <f aca="false">H9</f>
        <v>8628</v>
      </c>
      <c r="I10" s="61" t="n">
        <f aca="false">I9</f>
        <v>8824</v>
      </c>
    </row>
    <row r="11" customFormat="false" ht="14.25" hidden="false" customHeight="true" outlineLevel="0" collapsed="false">
      <c r="A11" s="75" t="s">
        <v>374</v>
      </c>
    </row>
    <row r="13" customFormat="false" ht="14.25" hidden="false" customHeight="true" outlineLevel="0" collapsed="false">
      <c r="A13" s="105" t="s">
        <v>375</v>
      </c>
      <c r="B13" s="55" t="s">
        <v>376</v>
      </c>
      <c r="C13" s="126"/>
      <c r="D13" s="126" t="s">
        <v>377</v>
      </c>
      <c r="E13" s="126" t="s">
        <v>378</v>
      </c>
      <c r="F13" s="126" t="s">
        <v>379</v>
      </c>
      <c r="G13" s="126" t="s">
        <v>380</v>
      </c>
      <c r="H13" s="126" t="s">
        <v>381</v>
      </c>
      <c r="I13" s="126" t="s">
        <v>382</v>
      </c>
    </row>
    <row r="14" customFormat="false" ht="14.25" hidden="false" customHeight="true" outlineLevel="0" collapsed="false">
      <c r="A14" s="0" t="s">
        <v>383</v>
      </c>
      <c r="B14" s="127" t="n">
        <f aca="false">Inputs!$B$4</f>
        <v>250</v>
      </c>
      <c r="C14" s="128"/>
      <c r="D14" s="57" t="n">
        <f aca="false">B14</f>
        <v>250</v>
      </c>
      <c r="E14" s="129" t="n">
        <f aca="false">D14*(1+Inputs!$B$9)</f>
        <v>262.5</v>
      </c>
      <c r="F14" s="129" t="n">
        <f aca="false">E14*(1+'Dashboard (2)'!$T$1)</f>
        <v>270.375</v>
      </c>
      <c r="G14" s="129" t="n">
        <f aca="false">F14*(1+'Dashboard (2)'!$T$1)</f>
        <v>278.48625</v>
      </c>
      <c r="H14" s="129" t="n">
        <f aca="false">G14*(1+'Dashboard (2)'!$T$1)</f>
        <v>286.8408375</v>
      </c>
      <c r="I14" s="129" t="n">
        <f aca="false">H14*(1+'Dashboard (2)'!$T$1)</f>
        <v>295.446062625</v>
      </c>
    </row>
    <row r="15" customFormat="false" ht="14.25" hidden="false" customHeight="true" outlineLevel="0" collapsed="false">
      <c r="A15" s="75" t="s">
        <v>384</v>
      </c>
    </row>
    <row r="17" customFormat="false" ht="14.25" hidden="false" customHeight="true" outlineLevel="0" collapsed="false">
      <c r="A17" s="105" t="s">
        <v>416</v>
      </c>
    </row>
    <row r="18" customFormat="false" ht="26.25" hidden="false" customHeight="true" outlineLevel="0" collapsed="false">
      <c r="C18" s="80" t="s">
        <v>366</v>
      </c>
      <c r="D18" s="80" t="s">
        <v>367</v>
      </c>
      <c r="E18" s="80" t="s">
        <v>368</v>
      </c>
      <c r="F18" s="80" t="s">
        <v>386</v>
      </c>
      <c r="G18" s="80" t="s">
        <v>387</v>
      </c>
      <c r="H18" s="80" t="s">
        <v>388</v>
      </c>
      <c r="I18" s="80" t="s">
        <v>389</v>
      </c>
    </row>
    <row r="19" customFormat="false" ht="14.25" hidden="false" customHeight="true" outlineLevel="0" collapsed="false">
      <c r="A19" s="0" t="s">
        <v>390</v>
      </c>
      <c r="C19" s="61" t="n">
        <f aca="false">C9*$D$14</f>
        <v>2059250</v>
      </c>
      <c r="D19" s="61" t="n">
        <f aca="false">D9*$D$14</f>
        <v>1982250</v>
      </c>
      <c r="E19" s="61" t="n">
        <f aca="false">E9*$E$14</f>
        <v>2129137.5</v>
      </c>
      <c r="F19" s="61" t="n">
        <f aca="false">F9*F14</f>
        <v>2221941.75</v>
      </c>
      <c r="G19" s="61" t="n">
        <f aca="false">G9*G14</f>
        <v>2346525.1425</v>
      </c>
      <c r="H19" s="61" t="n">
        <f aca="false">H9*H14</f>
        <v>2474862.74595</v>
      </c>
      <c r="I19" s="61" t="n">
        <f aca="false">I9*I14</f>
        <v>2607016.056603</v>
      </c>
    </row>
    <row r="20" customFormat="false" ht="14.25" hidden="false" customHeight="true" outlineLevel="0" collapsed="false">
      <c r="A20" s="0" t="s">
        <v>391</v>
      </c>
      <c r="C20" s="130" t="n">
        <v>1162750.67</v>
      </c>
      <c r="D20" s="130" t="n">
        <v>1471434.21</v>
      </c>
      <c r="E20" s="130" t="n">
        <v>1764799.75</v>
      </c>
      <c r="F20" s="75"/>
    </row>
    <row r="21" customFormat="false" ht="14.25" hidden="false" customHeight="true" outlineLevel="0" collapsed="false">
      <c r="A21" s="0" t="s">
        <v>392</v>
      </c>
      <c r="C21" s="103" t="n">
        <f aca="false">C20/C19</f>
        <v>0.564647648415685</v>
      </c>
      <c r="D21" s="103" t="n">
        <f aca="false">D20/D19</f>
        <v>0.742305062429058</v>
      </c>
      <c r="E21" s="103" t="n">
        <f aca="false">E20/E19</f>
        <v>0.828880121645502</v>
      </c>
    </row>
    <row r="22" customFormat="false" ht="14.25" hidden="false" customHeight="true" outlineLevel="0" collapsed="false">
      <c r="A22" s="0" t="s">
        <v>393</v>
      </c>
      <c r="C22" s="131" t="n">
        <v>0</v>
      </c>
      <c r="D22" s="131" t="n">
        <v>0</v>
      </c>
      <c r="E22" s="131" t="n">
        <f aca="false">MAX(0,MIN('Dashboard (2)'!$N$1,Inputs!$B$38-E21))</f>
        <v>0.018</v>
      </c>
    </row>
    <row r="23" customFormat="false" ht="14.25" hidden="false" customHeight="true" outlineLevel="0" collapsed="false">
      <c r="A23" s="0" t="s">
        <v>394</v>
      </c>
      <c r="C23" s="61" t="n">
        <f aca="false">C19*C22</f>
        <v>0</v>
      </c>
      <c r="D23" s="61" t="n">
        <f aca="false">D19*D22</f>
        <v>0</v>
      </c>
      <c r="E23" s="104" t="n">
        <f aca="false">E19*E22</f>
        <v>38324.475</v>
      </c>
    </row>
    <row r="24" customFormat="false" ht="14.25" hidden="false" customHeight="true" outlineLevel="0" collapsed="false">
      <c r="A24" s="85" t="s">
        <v>395</v>
      </c>
      <c r="C24" s="87" t="n">
        <f aca="false">C20+C23</f>
        <v>1162750.67</v>
      </c>
      <c r="D24" s="87" t="n">
        <f aca="false">D20+D23</f>
        <v>1471434.21</v>
      </c>
      <c r="E24" s="96" t="n">
        <f aca="false">E20+E23</f>
        <v>1803124.225</v>
      </c>
    </row>
    <row r="25" customFormat="false" ht="14.25" hidden="false" customHeight="true" outlineLevel="0" collapsed="false">
      <c r="A25" s="0" t="s">
        <v>396</v>
      </c>
      <c r="C25" s="56" t="n">
        <f aca="false">C24/C19</f>
        <v>0.564647648415685</v>
      </c>
      <c r="D25" s="56" t="n">
        <f aca="false">D24/D19</f>
        <v>0.742305062429058</v>
      </c>
      <c r="E25" s="56" t="n">
        <f aca="false">E24/E19</f>
        <v>0.846880121645502</v>
      </c>
    </row>
    <row r="26" customFormat="false" ht="14.25" hidden="false" customHeight="true" outlineLevel="0" collapsed="false">
      <c r="A26" s="75" t="s">
        <v>397</v>
      </c>
    </row>
    <row r="27" customFormat="false" ht="14.25" hidden="false" customHeight="false" outlineLevel="0" collapsed="false">
      <c r="A27" s="6" t="s">
        <v>398</v>
      </c>
    </row>
    <row r="28" customFormat="false" ht="14.25" hidden="false" customHeight="true" outlineLevel="0" collapsed="false">
      <c r="A28" s="132" t="s">
        <v>417</v>
      </c>
    </row>
    <row r="29" customFormat="false" ht="26.25" hidden="false" customHeight="true" outlineLevel="0" collapsed="false">
      <c r="C29" s="80" t="s">
        <v>366</v>
      </c>
      <c r="D29" s="80" t="s">
        <v>367</v>
      </c>
      <c r="E29" s="80" t="s">
        <v>368</v>
      </c>
    </row>
    <row r="30" customFormat="false" ht="14.25" hidden="false" customHeight="true" outlineLevel="0" collapsed="false">
      <c r="A30" s="0" t="s">
        <v>400</v>
      </c>
      <c r="C30" s="130" t="n">
        <v>3367988</v>
      </c>
      <c r="D30" s="130" t="n">
        <v>4811395</v>
      </c>
      <c r="F30" s="138" t="s">
        <v>418</v>
      </c>
    </row>
    <row r="31" customFormat="false" ht="14.25" hidden="false" customHeight="true" outlineLevel="0" collapsed="false">
      <c r="A31" s="0" t="s">
        <v>402</v>
      </c>
      <c r="B31" s="133" t="n">
        <v>0.35</v>
      </c>
      <c r="C31" s="134"/>
      <c r="D31" s="134"/>
    </row>
    <row r="32" customFormat="false" ht="14.25" hidden="false" customHeight="true" outlineLevel="0" collapsed="false">
      <c r="A32" s="0" t="s">
        <v>403</v>
      </c>
      <c r="E32" s="135" t="n">
        <f aca="false">-E23/(B31-1)</f>
        <v>58960.7307692308</v>
      </c>
    </row>
    <row r="33" customFormat="false" ht="14.25" hidden="false" customHeight="true" outlineLevel="0" collapsed="false">
      <c r="A33" s="85" t="s">
        <v>404</v>
      </c>
      <c r="E33" s="136" t="n">
        <f aca="false">IF(OR(D30="",D30="no KPI data"),"no KPI data",D30+E32)</f>
        <v>4870355.73076923</v>
      </c>
    </row>
    <row r="34" customFormat="false" ht="42" hidden="false" customHeight="true" outlineLevel="0" collapsed="false">
      <c r="A34" s="137" t="s">
        <v>405</v>
      </c>
    </row>
    <row r="37" customFormat="false" ht="14.25" hidden="false" customHeight="true" outlineLevel="0" collapsed="false">
      <c r="A37" s="105" t="s">
        <v>406</v>
      </c>
    </row>
    <row r="38" customFormat="false" ht="33.75" hidden="false" customHeight="true" outlineLevel="0" collapsed="false">
      <c r="A38" s="88" t="s">
        <v>407</v>
      </c>
    </row>
    <row r="39" customFormat="false" ht="33.75" hidden="false" customHeight="true" outlineLevel="0" collapsed="false">
      <c r="A39" s="8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54"/>
    <col collapsed="false" customWidth="true" hidden="false" outlineLevel="0" max="2" min="2" style="0" width="13"/>
    <col collapsed="false" customWidth="true" hidden="false" outlineLevel="0" max="9" min="3" style="0" width="15"/>
    <col collapsed="false" customWidth="true" hidden="false" outlineLevel="0" max="10" min="10" style="0" width="8"/>
  </cols>
  <sheetData>
    <row r="1" customFormat="false" ht="15.75" hidden="false" customHeight="true" outlineLevel="0" collapsed="false">
      <c r="A1" s="74" t="s">
        <v>419</v>
      </c>
    </row>
    <row r="2" customFormat="false" ht="14.25" hidden="false" customHeight="true" outlineLevel="0" collapsed="false">
      <c r="A2" s="75" t="s">
        <v>361</v>
      </c>
    </row>
    <row r="3" customFormat="false" ht="14.25" hidden="false" customHeight="true" outlineLevel="0" collapsed="false">
      <c r="F3" s="85" t="s">
        <v>362</v>
      </c>
    </row>
    <row r="4" customFormat="false" ht="14.25" hidden="false" customHeight="true" outlineLevel="0" collapsed="false">
      <c r="F4" s="122" t="s">
        <v>363</v>
      </c>
    </row>
    <row r="5" customFormat="false" ht="14.25" hidden="false" customHeight="true" outlineLevel="0" collapsed="false">
      <c r="F5" s="123" t="s">
        <v>364</v>
      </c>
    </row>
    <row r="6" customFormat="false" ht="14.25" hidden="false" customHeight="true" outlineLevel="0" collapsed="false">
      <c r="I6" s="75"/>
      <c r="J6" s="124"/>
    </row>
    <row r="7" customFormat="false" ht="14.25" hidden="false" customHeight="true" outlineLevel="0" collapsed="false">
      <c r="A7" s="105" t="s">
        <v>420</v>
      </c>
    </row>
    <row r="8" customFormat="false" ht="26.25" hidden="false" customHeight="true" outlineLevel="0" collapsed="false">
      <c r="C8" s="80" t="s">
        <v>366</v>
      </c>
      <c r="D8" s="80" t="s">
        <v>367</v>
      </c>
      <c r="E8" s="80" t="s">
        <v>368</v>
      </c>
      <c r="F8" s="80" t="s">
        <v>369</v>
      </c>
      <c r="G8" s="80" t="s">
        <v>370</v>
      </c>
      <c r="H8" s="80" t="s">
        <v>371</v>
      </c>
      <c r="I8" s="80" t="s">
        <v>372</v>
      </c>
    </row>
    <row r="9" customFormat="false" ht="14.25" hidden="false" customHeight="true" outlineLevel="0" collapsed="false">
      <c r="A9" s="0" t="s">
        <v>68</v>
      </c>
      <c r="C9" s="125" t="n">
        <v>7221</v>
      </c>
      <c r="D9" s="125" t="n">
        <v>8443</v>
      </c>
      <c r="E9" s="125" t="n">
        <v>9090</v>
      </c>
      <c r="F9" s="125" t="n">
        <v>9737</v>
      </c>
      <c r="G9" s="125" t="n">
        <v>10320</v>
      </c>
      <c r="H9" s="125" t="n">
        <v>10885</v>
      </c>
      <c r="I9" s="125" t="n">
        <v>11433</v>
      </c>
    </row>
    <row r="10" customFormat="false" ht="14.25" hidden="false" customHeight="true" outlineLevel="0" collapsed="false">
      <c r="A10" s="0" t="s">
        <v>373</v>
      </c>
      <c r="C10" s="61" t="n">
        <f aca="false">C9</f>
        <v>7221</v>
      </c>
      <c r="D10" s="61" t="n">
        <f aca="false">D9</f>
        <v>8443</v>
      </c>
      <c r="E10" s="61" t="n">
        <f aca="false">E9</f>
        <v>9090</v>
      </c>
      <c r="F10" s="61" t="n">
        <f aca="false">F9</f>
        <v>9737</v>
      </c>
      <c r="G10" s="61" t="n">
        <f aca="false">G9</f>
        <v>10320</v>
      </c>
      <c r="H10" s="61" t="n">
        <f aca="false">H9</f>
        <v>10885</v>
      </c>
      <c r="I10" s="61" t="n">
        <f aca="false">I9</f>
        <v>11433</v>
      </c>
    </row>
    <row r="11" customFormat="false" ht="14.25" hidden="false" customHeight="true" outlineLevel="0" collapsed="false">
      <c r="A11" s="75" t="s">
        <v>374</v>
      </c>
    </row>
    <row r="13" customFormat="false" ht="14.25" hidden="false" customHeight="true" outlineLevel="0" collapsed="false">
      <c r="A13" s="105" t="s">
        <v>375</v>
      </c>
      <c r="B13" s="55" t="s">
        <v>376</v>
      </c>
      <c r="C13" s="126"/>
      <c r="D13" s="126" t="s">
        <v>377</v>
      </c>
      <c r="E13" s="126" t="s">
        <v>378</v>
      </c>
      <c r="F13" s="126" t="s">
        <v>379</v>
      </c>
      <c r="G13" s="126" t="s">
        <v>380</v>
      </c>
      <c r="H13" s="126" t="s">
        <v>381</v>
      </c>
      <c r="I13" s="126" t="s">
        <v>382</v>
      </c>
    </row>
    <row r="14" customFormat="false" ht="14.25" hidden="false" customHeight="true" outlineLevel="0" collapsed="false">
      <c r="A14" s="0" t="s">
        <v>383</v>
      </c>
      <c r="B14" s="127" t="n">
        <f aca="false">Inputs!$B$4</f>
        <v>250</v>
      </c>
      <c r="C14" s="128"/>
      <c r="D14" s="57" t="n">
        <f aca="false">B14</f>
        <v>250</v>
      </c>
      <c r="E14" s="129" t="n">
        <f aca="false">D14*(1+Inputs!$B$9)</f>
        <v>262.5</v>
      </c>
      <c r="F14" s="129" t="n">
        <f aca="false">E14*(1+'Dashboard (2)'!$T$1)</f>
        <v>270.375</v>
      </c>
      <c r="G14" s="129" t="n">
        <f aca="false">F14*(1+'Dashboard (2)'!$T$1)</f>
        <v>278.48625</v>
      </c>
      <c r="H14" s="129" t="n">
        <f aca="false">G14*(1+'Dashboard (2)'!$T$1)</f>
        <v>286.8408375</v>
      </c>
      <c r="I14" s="129" t="n">
        <f aca="false">H14*(1+'Dashboard (2)'!$T$1)</f>
        <v>295.446062625</v>
      </c>
    </row>
    <row r="15" customFormat="false" ht="14.25" hidden="false" customHeight="true" outlineLevel="0" collapsed="false">
      <c r="A15" s="75" t="s">
        <v>384</v>
      </c>
    </row>
    <row r="17" customFormat="false" ht="14.25" hidden="false" customHeight="true" outlineLevel="0" collapsed="false">
      <c r="A17" s="105" t="s">
        <v>421</v>
      </c>
    </row>
    <row r="18" customFormat="false" ht="26.25" hidden="false" customHeight="true" outlineLevel="0" collapsed="false">
      <c r="C18" s="80" t="s">
        <v>366</v>
      </c>
      <c r="D18" s="80" t="s">
        <v>367</v>
      </c>
      <c r="E18" s="80" t="s">
        <v>368</v>
      </c>
      <c r="F18" s="80" t="s">
        <v>386</v>
      </c>
      <c r="G18" s="80" t="s">
        <v>387</v>
      </c>
      <c r="H18" s="80" t="s">
        <v>388</v>
      </c>
      <c r="I18" s="80" t="s">
        <v>389</v>
      </c>
    </row>
    <row r="19" customFormat="false" ht="14.25" hidden="false" customHeight="true" outlineLevel="0" collapsed="false">
      <c r="A19" s="0" t="s">
        <v>390</v>
      </c>
      <c r="C19" s="61" t="n">
        <f aca="false">C9*$D$14</f>
        <v>1805250</v>
      </c>
      <c r="D19" s="61" t="n">
        <f aca="false">D9*$D$14</f>
        <v>2110750</v>
      </c>
      <c r="E19" s="61" t="n">
        <f aca="false">E9*$E$14</f>
        <v>2386125</v>
      </c>
      <c r="F19" s="61" t="n">
        <f aca="false">F9*F14</f>
        <v>2632641.375</v>
      </c>
      <c r="G19" s="61" t="n">
        <f aca="false">G9*G14</f>
        <v>2873978.1</v>
      </c>
      <c r="H19" s="61" t="n">
        <f aca="false">H9*H14</f>
        <v>3122262.5161875</v>
      </c>
      <c r="I19" s="61" t="n">
        <f aca="false">I9*I14</f>
        <v>3377834.83399162</v>
      </c>
    </row>
    <row r="20" customFormat="false" ht="14.25" hidden="false" customHeight="true" outlineLevel="0" collapsed="false">
      <c r="A20" s="0" t="s">
        <v>391</v>
      </c>
      <c r="C20" s="130" t="n">
        <v>1215958.33</v>
      </c>
      <c r="D20" s="130" t="n">
        <v>1298275.99</v>
      </c>
      <c r="E20" s="130" t="n">
        <v>1464302.33</v>
      </c>
      <c r="F20" s="75"/>
    </row>
    <row r="21" customFormat="false" ht="14.25" hidden="false" customHeight="true" outlineLevel="0" collapsed="false">
      <c r="A21" s="0" t="s">
        <v>392</v>
      </c>
      <c r="C21" s="103" t="n">
        <f aca="false">C20/C19</f>
        <v>0.673567832710151</v>
      </c>
      <c r="D21" s="103" t="n">
        <f aca="false">D20/D19</f>
        <v>0.615078048087173</v>
      </c>
      <c r="E21" s="103" t="n">
        <f aca="false">E20/E19</f>
        <v>0.613673772329614</v>
      </c>
    </row>
    <row r="22" customFormat="false" ht="14.25" hidden="false" customHeight="true" outlineLevel="0" collapsed="false">
      <c r="A22" s="0" t="s">
        <v>393</v>
      </c>
      <c r="C22" s="131" t="n">
        <v>0</v>
      </c>
      <c r="D22" s="131" t="n">
        <v>0</v>
      </c>
      <c r="E22" s="131" t="n">
        <f aca="false">MAX(0,MIN('Dashboard (2)'!$N$1,Inputs!$B$38-E21))</f>
        <v>0.018</v>
      </c>
    </row>
    <row r="23" customFormat="false" ht="14.25" hidden="false" customHeight="true" outlineLevel="0" collapsed="false">
      <c r="A23" s="0" t="s">
        <v>394</v>
      </c>
      <c r="C23" s="61" t="n">
        <f aca="false">C19*C22</f>
        <v>0</v>
      </c>
      <c r="D23" s="61" t="n">
        <f aca="false">D19*D22</f>
        <v>0</v>
      </c>
      <c r="E23" s="104" t="n">
        <f aca="false">E19*E22</f>
        <v>42950.25</v>
      </c>
    </row>
    <row r="24" customFormat="false" ht="14.25" hidden="false" customHeight="true" outlineLevel="0" collapsed="false">
      <c r="A24" s="85" t="s">
        <v>395</v>
      </c>
      <c r="C24" s="87" t="n">
        <f aca="false">C20+C23</f>
        <v>1215958.33</v>
      </c>
      <c r="D24" s="87" t="n">
        <f aca="false">D20+D23</f>
        <v>1298275.99</v>
      </c>
      <c r="E24" s="96" t="n">
        <f aca="false">E20+E23</f>
        <v>1507252.58</v>
      </c>
    </row>
    <row r="25" customFormat="false" ht="14.25" hidden="false" customHeight="true" outlineLevel="0" collapsed="false">
      <c r="A25" s="0" t="s">
        <v>396</v>
      </c>
      <c r="C25" s="56" t="n">
        <f aca="false">C24/C19</f>
        <v>0.673567832710151</v>
      </c>
      <c r="D25" s="56" t="n">
        <f aca="false">D24/D19</f>
        <v>0.615078048087173</v>
      </c>
      <c r="E25" s="56" t="n">
        <f aca="false">E24/E19</f>
        <v>0.631673772329614</v>
      </c>
    </row>
    <row r="26" customFormat="false" ht="14.25" hidden="false" customHeight="true" outlineLevel="0" collapsed="false">
      <c r="A26" s="75" t="s">
        <v>397</v>
      </c>
    </row>
    <row r="27" customFormat="false" ht="14.25" hidden="false" customHeight="false" outlineLevel="0" collapsed="false">
      <c r="A27" s="6" t="s">
        <v>398</v>
      </c>
    </row>
    <row r="28" customFormat="false" ht="14.25" hidden="false" customHeight="true" outlineLevel="0" collapsed="false">
      <c r="A28" s="132" t="s">
        <v>422</v>
      </c>
    </row>
    <row r="29" customFormat="false" ht="26.25" hidden="false" customHeight="true" outlineLevel="0" collapsed="false">
      <c r="C29" s="80" t="s">
        <v>366</v>
      </c>
      <c r="D29" s="80" t="s">
        <v>367</v>
      </c>
      <c r="E29" s="80" t="s">
        <v>368</v>
      </c>
    </row>
    <row r="30" customFormat="false" ht="14.25" hidden="false" customHeight="true" outlineLevel="0" collapsed="false">
      <c r="A30" s="0" t="s">
        <v>400</v>
      </c>
      <c r="C30" s="130" t="n">
        <v>2482560</v>
      </c>
      <c r="D30" s="130" t="n">
        <v>3154221.508</v>
      </c>
      <c r="F30" s="75" t="s">
        <v>401</v>
      </c>
    </row>
    <row r="31" customFormat="false" ht="14.25" hidden="false" customHeight="true" outlineLevel="0" collapsed="false">
      <c r="A31" s="0" t="s">
        <v>402</v>
      </c>
      <c r="B31" s="133" t="n">
        <v>0.35</v>
      </c>
      <c r="C31" s="134"/>
      <c r="D31" s="134"/>
    </row>
    <row r="32" customFormat="false" ht="14.25" hidden="false" customHeight="true" outlineLevel="0" collapsed="false">
      <c r="A32" s="0" t="s">
        <v>403</v>
      </c>
      <c r="E32" s="135" t="n">
        <f aca="false">-E23/(B31-1)</f>
        <v>66077.3076923077</v>
      </c>
    </row>
    <row r="33" customFormat="false" ht="14.25" hidden="false" customHeight="true" outlineLevel="0" collapsed="false">
      <c r="A33" s="85" t="s">
        <v>404</v>
      </c>
      <c r="E33" s="136" t="n">
        <f aca="false">IF(OR(D30="",D30="no KPI data"),"no KPI data",D30+E32)</f>
        <v>3220298.81569231</v>
      </c>
    </row>
    <row r="34" customFormat="false" ht="42" hidden="false" customHeight="true" outlineLevel="0" collapsed="false">
      <c r="A34" s="137" t="s">
        <v>405</v>
      </c>
    </row>
    <row r="37" customFormat="false" ht="14.25" hidden="false" customHeight="true" outlineLevel="0" collapsed="false">
      <c r="A37" s="105" t="s">
        <v>406</v>
      </c>
    </row>
    <row r="38" customFormat="false" ht="33.75" hidden="false" customHeight="true" outlineLevel="0" collapsed="false">
      <c r="A38" s="88" t="s">
        <v>407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54"/>
    <col collapsed="false" customWidth="true" hidden="false" outlineLevel="0" max="2" min="2" style="0" width="13"/>
    <col collapsed="false" customWidth="true" hidden="false" outlineLevel="0" max="9" min="3" style="0" width="15"/>
    <col collapsed="false" customWidth="true" hidden="false" outlineLevel="0" max="10" min="10" style="0" width="8"/>
  </cols>
  <sheetData>
    <row r="1" customFormat="false" ht="15.75" hidden="false" customHeight="true" outlineLevel="0" collapsed="false">
      <c r="A1" s="74" t="s">
        <v>423</v>
      </c>
    </row>
    <row r="2" customFormat="false" ht="14.25" hidden="false" customHeight="true" outlineLevel="0" collapsed="false">
      <c r="A2" s="75" t="s">
        <v>361</v>
      </c>
    </row>
    <row r="3" customFormat="false" ht="14.25" hidden="false" customHeight="true" outlineLevel="0" collapsed="false">
      <c r="F3" s="85" t="s">
        <v>362</v>
      </c>
    </row>
    <row r="4" customFormat="false" ht="14.25" hidden="false" customHeight="true" outlineLevel="0" collapsed="false">
      <c r="F4" s="122" t="s">
        <v>363</v>
      </c>
    </row>
    <row r="5" customFormat="false" ht="14.25" hidden="false" customHeight="true" outlineLevel="0" collapsed="false">
      <c r="F5" s="123" t="s">
        <v>364</v>
      </c>
    </row>
    <row r="6" customFormat="false" ht="14.25" hidden="false" customHeight="true" outlineLevel="0" collapsed="false">
      <c r="I6" s="75"/>
      <c r="J6" s="124"/>
    </row>
    <row r="7" customFormat="false" ht="14.25" hidden="false" customHeight="true" outlineLevel="0" collapsed="false">
      <c r="A7" s="105" t="s">
        <v>424</v>
      </c>
    </row>
    <row r="8" customFormat="false" ht="26.25" hidden="false" customHeight="true" outlineLevel="0" collapsed="false">
      <c r="C8" s="80" t="s">
        <v>366</v>
      </c>
      <c r="D8" s="80" t="s">
        <v>367</v>
      </c>
      <c r="E8" s="80" t="s">
        <v>368</v>
      </c>
      <c r="F8" s="80" t="s">
        <v>369</v>
      </c>
      <c r="G8" s="80" t="s">
        <v>370</v>
      </c>
      <c r="H8" s="80" t="s">
        <v>371</v>
      </c>
      <c r="I8" s="80" t="s">
        <v>372</v>
      </c>
    </row>
    <row r="9" customFormat="false" ht="14.25" hidden="false" customHeight="true" outlineLevel="0" collapsed="false">
      <c r="A9" s="0" t="s">
        <v>68</v>
      </c>
      <c r="C9" s="125" t="n">
        <v>3714</v>
      </c>
      <c r="D9" s="125" t="n">
        <v>3734</v>
      </c>
      <c r="E9" s="125" t="n">
        <v>3992</v>
      </c>
      <c r="F9" s="125" t="n">
        <v>4242</v>
      </c>
      <c r="G9" s="125" t="n">
        <v>4390</v>
      </c>
      <c r="H9" s="125" t="n">
        <v>4533</v>
      </c>
      <c r="I9" s="125" t="n">
        <v>4672</v>
      </c>
    </row>
    <row r="10" customFormat="false" ht="14.25" hidden="false" customHeight="true" outlineLevel="0" collapsed="false">
      <c r="A10" s="0" t="s">
        <v>373</v>
      </c>
      <c r="C10" s="61" t="n">
        <f aca="false">C9</f>
        <v>3714</v>
      </c>
      <c r="D10" s="61" t="n">
        <f aca="false">D9</f>
        <v>3734</v>
      </c>
      <c r="E10" s="61" t="n">
        <f aca="false">E9</f>
        <v>3992</v>
      </c>
      <c r="F10" s="61" t="n">
        <f aca="false">F9</f>
        <v>4242</v>
      </c>
      <c r="G10" s="61" t="n">
        <f aca="false">G9</f>
        <v>4390</v>
      </c>
      <c r="H10" s="61" t="n">
        <f aca="false">H9</f>
        <v>4533</v>
      </c>
      <c r="I10" s="61" t="n">
        <f aca="false">I9</f>
        <v>4672</v>
      </c>
    </row>
    <row r="11" customFormat="false" ht="14.25" hidden="false" customHeight="true" outlineLevel="0" collapsed="false">
      <c r="A11" s="75" t="s">
        <v>374</v>
      </c>
    </row>
    <row r="13" customFormat="false" ht="14.25" hidden="false" customHeight="true" outlineLevel="0" collapsed="false">
      <c r="A13" s="105" t="s">
        <v>375</v>
      </c>
      <c r="B13" s="55" t="s">
        <v>376</v>
      </c>
      <c r="C13" s="126"/>
      <c r="D13" s="126" t="s">
        <v>377</v>
      </c>
      <c r="E13" s="126" t="s">
        <v>378</v>
      </c>
      <c r="F13" s="126" t="s">
        <v>379</v>
      </c>
      <c r="G13" s="126" t="s">
        <v>380</v>
      </c>
      <c r="H13" s="126" t="s">
        <v>381</v>
      </c>
      <c r="I13" s="126" t="s">
        <v>382</v>
      </c>
    </row>
    <row r="14" customFormat="false" ht="14.25" hidden="false" customHeight="true" outlineLevel="0" collapsed="false">
      <c r="A14" s="0" t="s">
        <v>383</v>
      </c>
      <c r="B14" s="127" t="n">
        <f aca="false">Inputs!$B$4</f>
        <v>250</v>
      </c>
      <c r="C14" s="128"/>
      <c r="D14" s="57" t="n">
        <f aca="false">B14</f>
        <v>250</v>
      </c>
      <c r="E14" s="129" t="n">
        <f aca="false">D14*(1+Inputs!$B$9)</f>
        <v>262.5</v>
      </c>
      <c r="F14" s="129" t="n">
        <f aca="false">E14*(1+'Dashboard (2)'!$T$1)</f>
        <v>270.375</v>
      </c>
      <c r="G14" s="129" t="n">
        <f aca="false">F14*(1+'Dashboard (2)'!$T$1)</f>
        <v>278.48625</v>
      </c>
      <c r="H14" s="129" t="n">
        <f aca="false">G14*(1+'Dashboard (2)'!$T$1)</f>
        <v>286.8408375</v>
      </c>
      <c r="I14" s="129" t="n">
        <f aca="false">H14*(1+'Dashboard (2)'!$T$1)</f>
        <v>295.446062625</v>
      </c>
    </row>
    <row r="15" customFormat="false" ht="14.25" hidden="false" customHeight="true" outlineLevel="0" collapsed="false">
      <c r="A15" s="75" t="s">
        <v>384</v>
      </c>
    </row>
    <row r="17" customFormat="false" ht="14.25" hidden="false" customHeight="true" outlineLevel="0" collapsed="false">
      <c r="A17" s="105" t="s">
        <v>425</v>
      </c>
    </row>
    <row r="18" customFormat="false" ht="26.25" hidden="false" customHeight="true" outlineLevel="0" collapsed="false">
      <c r="C18" s="80" t="s">
        <v>366</v>
      </c>
      <c r="D18" s="80" t="s">
        <v>367</v>
      </c>
      <c r="E18" s="80" t="s">
        <v>368</v>
      </c>
      <c r="F18" s="80" t="s">
        <v>386</v>
      </c>
      <c r="G18" s="80" t="s">
        <v>387</v>
      </c>
      <c r="H18" s="80" t="s">
        <v>388</v>
      </c>
      <c r="I18" s="80" t="s">
        <v>389</v>
      </c>
    </row>
    <row r="19" customFormat="false" ht="14.25" hidden="false" customHeight="true" outlineLevel="0" collapsed="false">
      <c r="A19" s="0" t="s">
        <v>390</v>
      </c>
      <c r="C19" s="61" t="n">
        <f aca="false">C9*$D$14</f>
        <v>928500</v>
      </c>
      <c r="D19" s="61" t="n">
        <f aca="false">D9*$D$14</f>
        <v>933500</v>
      </c>
      <c r="E19" s="61" t="n">
        <f aca="false">E9*$E$14</f>
        <v>1047900</v>
      </c>
      <c r="F19" s="61" t="n">
        <f aca="false">F9*F14</f>
        <v>1146930.75</v>
      </c>
      <c r="G19" s="61" t="n">
        <f aca="false">G9*G14</f>
        <v>1222554.6375</v>
      </c>
      <c r="H19" s="61" t="n">
        <f aca="false">H9*H14</f>
        <v>1300249.5163875</v>
      </c>
      <c r="I19" s="61" t="n">
        <f aca="false">I9*I14</f>
        <v>1380324.004584</v>
      </c>
    </row>
    <row r="20" customFormat="false" ht="14.25" hidden="false" customHeight="true" outlineLevel="0" collapsed="false">
      <c r="A20" s="0" t="s">
        <v>391</v>
      </c>
      <c r="C20" s="130" t="n">
        <v>365817.37</v>
      </c>
      <c r="D20" s="130" t="n">
        <v>346246.24</v>
      </c>
      <c r="E20" s="130" t="n">
        <v>349600</v>
      </c>
      <c r="F20" s="75"/>
    </row>
    <row r="21" customFormat="false" ht="14.25" hidden="false" customHeight="true" outlineLevel="0" collapsed="false">
      <c r="A21" s="0" t="s">
        <v>392</v>
      </c>
      <c r="C21" s="103" t="n">
        <f aca="false">C20/C19</f>
        <v>0.393987474421109</v>
      </c>
      <c r="D21" s="103" t="n">
        <f aca="false">D20/D19</f>
        <v>0.370911880021425</v>
      </c>
      <c r="E21" s="103" t="n">
        <f aca="false">E20/E19</f>
        <v>0.333619620192767</v>
      </c>
    </row>
    <row r="22" customFormat="false" ht="14.25" hidden="false" customHeight="true" outlineLevel="0" collapsed="false">
      <c r="A22" s="0" t="s">
        <v>393</v>
      </c>
      <c r="C22" s="131" t="n">
        <v>0</v>
      </c>
      <c r="D22" s="131" t="n">
        <v>0</v>
      </c>
      <c r="E22" s="131" t="n">
        <f aca="false">MAX(0,MIN('Dashboard (2)'!$N$1,Inputs!$B$38-E21))</f>
        <v>0.018</v>
      </c>
    </row>
    <row r="23" customFormat="false" ht="14.25" hidden="false" customHeight="true" outlineLevel="0" collapsed="false">
      <c r="A23" s="0" t="s">
        <v>394</v>
      </c>
      <c r="C23" s="61" t="n">
        <f aca="false">C19*C22</f>
        <v>0</v>
      </c>
      <c r="D23" s="61" t="n">
        <f aca="false">D19*D22</f>
        <v>0</v>
      </c>
      <c r="E23" s="104" t="n">
        <f aca="false">E19*E22</f>
        <v>18862.2</v>
      </c>
    </row>
    <row r="24" customFormat="false" ht="14.25" hidden="false" customHeight="true" outlineLevel="0" collapsed="false">
      <c r="A24" s="85" t="s">
        <v>395</v>
      </c>
      <c r="C24" s="87" t="n">
        <f aca="false">C20+C23</f>
        <v>365817.37</v>
      </c>
      <c r="D24" s="87" t="n">
        <f aca="false">D20+D23</f>
        <v>346246.24</v>
      </c>
      <c r="E24" s="96" t="n">
        <f aca="false">E20+E23</f>
        <v>368462.2</v>
      </c>
    </row>
    <row r="25" customFormat="false" ht="14.25" hidden="false" customHeight="true" outlineLevel="0" collapsed="false">
      <c r="A25" s="0" t="s">
        <v>396</v>
      </c>
      <c r="C25" s="56" t="n">
        <f aca="false">C24/C19</f>
        <v>0.393987474421109</v>
      </c>
      <c r="D25" s="56" t="n">
        <f aca="false">D24/D19</f>
        <v>0.370911880021425</v>
      </c>
      <c r="E25" s="56" t="n">
        <f aca="false">E24/E19</f>
        <v>0.351619620192767</v>
      </c>
    </row>
    <row r="26" customFormat="false" ht="14.25" hidden="false" customHeight="true" outlineLevel="0" collapsed="false">
      <c r="A26" s="75" t="s">
        <v>397</v>
      </c>
    </row>
    <row r="27" customFormat="false" ht="14.25" hidden="false" customHeight="false" outlineLevel="0" collapsed="false">
      <c r="A27" s="6" t="s">
        <v>398</v>
      </c>
    </row>
    <row r="28" customFormat="false" ht="14.25" hidden="false" customHeight="true" outlineLevel="0" collapsed="false">
      <c r="A28" s="132" t="s">
        <v>426</v>
      </c>
    </row>
    <row r="29" customFormat="false" ht="26.25" hidden="false" customHeight="true" outlineLevel="0" collapsed="false">
      <c r="C29" s="80" t="s">
        <v>366</v>
      </c>
      <c r="D29" s="80" t="s">
        <v>367</v>
      </c>
      <c r="E29" s="80" t="s">
        <v>368</v>
      </c>
    </row>
    <row r="30" customFormat="false" ht="14.25" hidden="false" customHeight="true" outlineLevel="0" collapsed="false">
      <c r="A30" s="0" t="s">
        <v>400</v>
      </c>
      <c r="C30" s="130" t="n">
        <v>934209</v>
      </c>
      <c r="D30" s="130" t="n">
        <v>871455</v>
      </c>
      <c r="F30" s="75" t="s">
        <v>401</v>
      </c>
    </row>
    <row r="31" customFormat="false" ht="14.25" hidden="false" customHeight="true" outlineLevel="0" collapsed="false">
      <c r="A31" s="0" t="s">
        <v>402</v>
      </c>
      <c r="B31" s="133" t="n">
        <v>0.35</v>
      </c>
      <c r="C31" s="134"/>
      <c r="D31" s="134"/>
    </row>
    <row r="32" customFormat="false" ht="14.25" hidden="false" customHeight="true" outlineLevel="0" collapsed="false">
      <c r="A32" s="0" t="s">
        <v>403</v>
      </c>
      <c r="E32" s="135" t="n">
        <f aca="false">-E23/(B31-1)</f>
        <v>29018.7692307692</v>
      </c>
    </row>
    <row r="33" customFormat="false" ht="14.25" hidden="false" customHeight="true" outlineLevel="0" collapsed="false">
      <c r="A33" s="85" t="s">
        <v>404</v>
      </c>
      <c r="E33" s="136" t="n">
        <f aca="false">IF(OR(D30="",D30="no KPI data"),"no KPI data",D30+E32)</f>
        <v>900473.769230769</v>
      </c>
    </row>
    <row r="34" customFormat="false" ht="42" hidden="false" customHeight="true" outlineLevel="0" collapsed="false">
      <c r="A34" s="137" t="s">
        <v>405</v>
      </c>
    </row>
    <row r="37" customFormat="false" ht="14.25" hidden="false" customHeight="true" outlineLevel="0" collapsed="false">
      <c r="A37" s="105" t="s">
        <v>406</v>
      </c>
    </row>
    <row r="38" customFormat="false" ht="33.75" hidden="false" customHeight="true" outlineLevel="0" collapsed="false">
      <c r="A38" s="88" t="s">
        <v>407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54"/>
    <col collapsed="false" customWidth="true" hidden="false" outlineLevel="0" max="2" min="2" style="0" width="13"/>
    <col collapsed="false" customWidth="true" hidden="false" outlineLevel="0" max="9" min="3" style="0" width="15"/>
    <col collapsed="false" customWidth="true" hidden="false" outlineLevel="0" max="10" min="10" style="0" width="8"/>
  </cols>
  <sheetData>
    <row r="1" customFormat="false" ht="15.75" hidden="false" customHeight="true" outlineLevel="0" collapsed="false">
      <c r="A1" s="74" t="s">
        <v>427</v>
      </c>
    </row>
    <row r="2" customFormat="false" ht="14.25" hidden="false" customHeight="true" outlineLevel="0" collapsed="false">
      <c r="A2" s="75" t="s">
        <v>361</v>
      </c>
    </row>
    <row r="3" customFormat="false" ht="14.25" hidden="false" customHeight="true" outlineLevel="0" collapsed="false">
      <c r="F3" s="85" t="s">
        <v>362</v>
      </c>
    </row>
    <row r="4" customFormat="false" ht="14.25" hidden="false" customHeight="true" outlineLevel="0" collapsed="false">
      <c r="F4" s="122" t="s">
        <v>363</v>
      </c>
    </row>
    <row r="5" customFormat="false" ht="14.25" hidden="false" customHeight="true" outlineLevel="0" collapsed="false">
      <c r="F5" s="123" t="s">
        <v>364</v>
      </c>
    </row>
    <row r="6" customFormat="false" ht="14.25" hidden="false" customHeight="true" outlineLevel="0" collapsed="false">
      <c r="I6" s="75"/>
      <c r="J6" s="124"/>
    </row>
    <row r="7" customFormat="false" ht="14.25" hidden="false" customHeight="true" outlineLevel="0" collapsed="false">
      <c r="A7" s="105" t="s">
        <v>428</v>
      </c>
    </row>
    <row r="8" customFormat="false" ht="26.25" hidden="false" customHeight="true" outlineLevel="0" collapsed="false">
      <c r="C8" s="80" t="s">
        <v>366</v>
      </c>
      <c r="D8" s="80" t="s">
        <v>367</v>
      </c>
      <c r="E8" s="80" t="s">
        <v>368</v>
      </c>
      <c r="F8" s="80" t="s">
        <v>369</v>
      </c>
      <c r="G8" s="80" t="s">
        <v>370</v>
      </c>
      <c r="H8" s="80" t="s">
        <v>371</v>
      </c>
      <c r="I8" s="80" t="s">
        <v>372</v>
      </c>
    </row>
    <row r="9" customFormat="false" ht="14.25" hidden="false" customHeight="true" outlineLevel="0" collapsed="false">
      <c r="A9" s="0" t="s">
        <v>68</v>
      </c>
      <c r="C9" s="125" t="n">
        <v>1259</v>
      </c>
      <c r="D9" s="125" t="n">
        <v>1204</v>
      </c>
      <c r="E9" s="125" t="n">
        <v>1308</v>
      </c>
      <c r="F9" s="125" t="n">
        <v>1409</v>
      </c>
      <c r="G9" s="125" t="n">
        <v>1522</v>
      </c>
      <c r="H9" s="125" t="n">
        <v>1631</v>
      </c>
      <c r="I9" s="125" t="n">
        <v>1737</v>
      </c>
    </row>
    <row r="10" customFormat="false" ht="14.25" hidden="false" customHeight="true" outlineLevel="0" collapsed="false">
      <c r="A10" s="0" t="s">
        <v>373</v>
      </c>
      <c r="C10" s="61" t="n">
        <f aca="false">C9</f>
        <v>1259</v>
      </c>
      <c r="D10" s="61" t="n">
        <f aca="false">D9</f>
        <v>1204</v>
      </c>
      <c r="E10" s="61" t="n">
        <f aca="false">E9</f>
        <v>1308</v>
      </c>
      <c r="F10" s="61" t="n">
        <f aca="false">F9</f>
        <v>1409</v>
      </c>
      <c r="G10" s="61" t="n">
        <f aca="false">G9</f>
        <v>1522</v>
      </c>
      <c r="H10" s="61" t="n">
        <f aca="false">H9</f>
        <v>1631</v>
      </c>
      <c r="I10" s="61" t="n">
        <f aca="false">I9</f>
        <v>1737</v>
      </c>
    </row>
    <row r="11" customFormat="false" ht="14.25" hidden="false" customHeight="true" outlineLevel="0" collapsed="false">
      <c r="A11" s="75" t="s">
        <v>374</v>
      </c>
    </row>
    <row r="13" customFormat="false" ht="14.25" hidden="false" customHeight="true" outlineLevel="0" collapsed="false">
      <c r="A13" s="105" t="s">
        <v>375</v>
      </c>
      <c r="B13" s="55" t="s">
        <v>376</v>
      </c>
      <c r="C13" s="126"/>
      <c r="D13" s="126" t="s">
        <v>377</v>
      </c>
      <c r="E13" s="126" t="s">
        <v>378</v>
      </c>
      <c r="F13" s="126" t="s">
        <v>379</v>
      </c>
      <c r="G13" s="126" t="s">
        <v>380</v>
      </c>
      <c r="H13" s="126" t="s">
        <v>381</v>
      </c>
      <c r="I13" s="126" t="s">
        <v>382</v>
      </c>
    </row>
    <row r="14" customFormat="false" ht="14.25" hidden="false" customHeight="true" outlineLevel="0" collapsed="false">
      <c r="A14" s="0" t="s">
        <v>383</v>
      </c>
      <c r="B14" s="127" t="n">
        <f aca="false">Inputs!$B$4</f>
        <v>250</v>
      </c>
      <c r="C14" s="128"/>
      <c r="D14" s="57" t="n">
        <f aca="false">B14</f>
        <v>250</v>
      </c>
      <c r="E14" s="129" t="n">
        <f aca="false">D14*(1+Inputs!$B$9)</f>
        <v>262.5</v>
      </c>
      <c r="F14" s="129" t="n">
        <f aca="false">E14*(1+'Dashboard (2)'!$T$1)</f>
        <v>270.375</v>
      </c>
      <c r="G14" s="129" t="n">
        <f aca="false">F14*(1+'Dashboard (2)'!$T$1)</f>
        <v>278.48625</v>
      </c>
      <c r="H14" s="129" t="n">
        <f aca="false">G14*(1+'Dashboard (2)'!$T$1)</f>
        <v>286.8408375</v>
      </c>
      <c r="I14" s="129" t="n">
        <f aca="false">H14*(1+'Dashboard (2)'!$T$1)</f>
        <v>295.446062625</v>
      </c>
    </row>
    <row r="15" customFormat="false" ht="14.25" hidden="false" customHeight="true" outlineLevel="0" collapsed="false">
      <c r="A15" s="75" t="s">
        <v>384</v>
      </c>
    </row>
    <row r="17" customFormat="false" ht="14.25" hidden="false" customHeight="true" outlineLevel="0" collapsed="false">
      <c r="A17" s="105" t="s">
        <v>429</v>
      </c>
    </row>
    <row r="18" customFormat="false" ht="26.25" hidden="false" customHeight="true" outlineLevel="0" collapsed="false">
      <c r="C18" s="80" t="s">
        <v>366</v>
      </c>
      <c r="D18" s="80" t="s">
        <v>367</v>
      </c>
      <c r="E18" s="80" t="s">
        <v>368</v>
      </c>
      <c r="F18" s="80" t="s">
        <v>386</v>
      </c>
      <c r="G18" s="80" t="s">
        <v>387</v>
      </c>
      <c r="H18" s="80" t="s">
        <v>388</v>
      </c>
      <c r="I18" s="80" t="s">
        <v>389</v>
      </c>
    </row>
    <row r="19" customFormat="false" ht="14.25" hidden="false" customHeight="true" outlineLevel="0" collapsed="false">
      <c r="A19" s="0" t="s">
        <v>390</v>
      </c>
      <c r="C19" s="61" t="n">
        <f aca="false">C9*$D$14</f>
        <v>314750</v>
      </c>
      <c r="D19" s="61" t="n">
        <f aca="false">D9*$D$14</f>
        <v>301000</v>
      </c>
      <c r="E19" s="61" t="n">
        <f aca="false">E9*$E$14</f>
        <v>343350</v>
      </c>
      <c r="F19" s="61" t="n">
        <f aca="false">F9*F14</f>
        <v>380958.375</v>
      </c>
      <c r="G19" s="61" t="n">
        <f aca="false">G9*G14</f>
        <v>423856.0725</v>
      </c>
      <c r="H19" s="61" t="n">
        <f aca="false">H9*H14</f>
        <v>467837.4059625</v>
      </c>
      <c r="I19" s="61" t="n">
        <f aca="false">I9*I14</f>
        <v>513189.810779625</v>
      </c>
    </row>
    <row r="20" customFormat="false" ht="14.25" hidden="false" customHeight="true" outlineLevel="0" collapsed="false">
      <c r="A20" s="0" t="s">
        <v>391</v>
      </c>
      <c r="C20" s="130" t="n">
        <v>266204.48</v>
      </c>
      <c r="D20" s="130" t="n">
        <v>279383.25</v>
      </c>
      <c r="E20" s="130" t="n">
        <v>360300</v>
      </c>
      <c r="F20" s="75"/>
    </row>
    <row r="21" customFormat="false" ht="14.25" hidden="false" customHeight="true" outlineLevel="0" collapsed="false">
      <c r="A21" s="0" t="s">
        <v>392</v>
      </c>
      <c r="C21" s="103" t="n">
        <f aca="false">C20/C19</f>
        <v>0.845764829229547</v>
      </c>
      <c r="D21" s="103" t="n">
        <f aca="false">D20/D19</f>
        <v>0.928183554817276</v>
      </c>
      <c r="E21" s="103" t="n">
        <f aca="false">E20/E19</f>
        <v>1.04936653560507</v>
      </c>
    </row>
    <row r="22" customFormat="false" ht="14.25" hidden="false" customHeight="true" outlineLevel="0" collapsed="false">
      <c r="A22" s="0" t="s">
        <v>393</v>
      </c>
      <c r="C22" s="131" t="n">
        <v>0</v>
      </c>
      <c r="D22" s="131" t="n">
        <v>0</v>
      </c>
      <c r="E22" s="131" t="n">
        <f aca="false">MAX(0,MIN('Dashboard (2)'!$N$1,Inputs!$B$38-E21))</f>
        <v>0.018</v>
      </c>
    </row>
    <row r="23" customFormat="false" ht="14.25" hidden="false" customHeight="true" outlineLevel="0" collapsed="false">
      <c r="A23" s="0" t="s">
        <v>394</v>
      </c>
      <c r="C23" s="61" t="n">
        <f aca="false">C19*C22</f>
        <v>0</v>
      </c>
      <c r="D23" s="61" t="n">
        <f aca="false">D19*D22</f>
        <v>0</v>
      </c>
      <c r="E23" s="104" t="n">
        <f aca="false">E19*E22</f>
        <v>6180.3</v>
      </c>
    </row>
    <row r="24" customFormat="false" ht="14.25" hidden="false" customHeight="true" outlineLevel="0" collapsed="false">
      <c r="A24" s="85" t="s">
        <v>395</v>
      </c>
      <c r="C24" s="87" t="n">
        <f aca="false">C20+C23</f>
        <v>266204.48</v>
      </c>
      <c r="D24" s="87" t="n">
        <f aca="false">D20+D23</f>
        <v>279383.25</v>
      </c>
      <c r="E24" s="96" t="n">
        <f aca="false">E20+E23</f>
        <v>366480.3</v>
      </c>
    </row>
    <row r="25" customFormat="false" ht="14.25" hidden="false" customHeight="true" outlineLevel="0" collapsed="false">
      <c r="A25" s="0" t="s">
        <v>396</v>
      </c>
      <c r="C25" s="56" t="n">
        <f aca="false">C24/C19</f>
        <v>0.845764829229547</v>
      </c>
      <c r="D25" s="56" t="n">
        <f aca="false">D24/D19</f>
        <v>0.928183554817276</v>
      </c>
      <c r="E25" s="56" t="n">
        <f aca="false">E24/E19</f>
        <v>1.06736653560507</v>
      </c>
    </row>
    <row r="26" customFormat="false" ht="14.25" hidden="false" customHeight="true" outlineLevel="0" collapsed="false">
      <c r="A26" s="75" t="s">
        <v>397</v>
      </c>
    </row>
    <row r="27" customFormat="false" ht="14.25" hidden="false" customHeight="false" outlineLevel="0" collapsed="false">
      <c r="A27" s="6" t="s">
        <v>398</v>
      </c>
    </row>
    <row r="28" customFormat="false" ht="14.25" hidden="false" customHeight="true" outlineLevel="0" collapsed="false">
      <c r="A28" s="132" t="s">
        <v>430</v>
      </c>
    </row>
    <row r="29" customFormat="false" ht="26.25" hidden="false" customHeight="true" outlineLevel="0" collapsed="false">
      <c r="C29" s="80" t="s">
        <v>366</v>
      </c>
      <c r="D29" s="80" t="s">
        <v>367</v>
      </c>
      <c r="E29" s="80" t="s">
        <v>368</v>
      </c>
    </row>
    <row r="30" customFormat="false" ht="14.25" hidden="false" customHeight="true" outlineLevel="0" collapsed="false">
      <c r="A30" s="0" t="s">
        <v>400</v>
      </c>
      <c r="C30" s="130" t="n">
        <v>576758</v>
      </c>
      <c r="D30" s="130" t="n">
        <v>350854</v>
      </c>
      <c r="F30" s="138" t="s">
        <v>431</v>
      </c>
    </row>
    <row r="31" customFormat="false" ht="14.25" hidden="false" customHeight="true" outlineLevel="0" collapsed="false">
      <c r="A31" s="0" t="s">
        <v>402</v>
      </c>
      <c r="B31" s="133" t="n">
        <v>0.35</v>
      </c>
      <c r="C31" s="134"/>
      <c r="D31" s="134"/>
    </row>
    <row r="32" customFormat="false" ht="14.25" hidden="false" customHeight="true" outlineLevel="0" collapsed="false">
      <c r="A32" s="0" t="s">
        <v>403</v>
      </c>
      <c r="E32" s="135" t="n">
        <f aca="false">-E23/(B31-1)</f>
        <v>9508.15384615384</v>
      </c>
    </row>
    <row r="33" customFormat="false" ht="14.25" hidden="false" customHeight="true" outlineLevel="0" collapsed="false">
      <c r="A33" s="85" t="s">
        <v>404</v>
      </c>
      <c r="E33" s="136" t="n">
        <f aca="false">IF(OR(D30="",D30="no KPI data"),"no KPI data",D30+E32)</f>
        <v>360362.153846154</v>
      </c>
    </row>
    <row r="34" customFormat="false" ht="42" hidden="false" customHeight="true" outlineLevel="0" collapsed="false">
      <c r="A34" s="137" t="s">
        <v>405</v>
      </c>
    </row>
    <row r="37" customFormat="false" ht="14.25" hidden="false" customHeight="true" outlineLevel="0" collapsed="false">
      <c r="A37" s="105" t="s">
        <v>406</v>
      </c>
    </row>
    <row r="38" customFormat="false" ht="33.75" hidden="false" customHeight="true" outlineLevel="0" collapsed="false">
      <c r="A38" s="88" t="s">
        <v>407</v>
      </c>
    </row>
    <row r="39" customFormat="false" ht="22.5" hidden="false" customHeight="true" outlineLevel="0" collapsed="false">
      <c r="A39" s="88" t="s">
        <v>432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54"/>
    <col collapsed="false" customWidth="true" hidden="false" outlineLevel="0" max="2" min="2" style="0" width="13"/>
    <col collapsed="false" customWidth="true" hidden="false" outlineLevel="0" max="9" min="3" style="0" width="15"/>
    <col collapsed="false" customWidth="true" hidden="false" outlineLevel="0" max="10" min="10" style="0" width="8"/>
  </cols>
  <sheetData>
    <row r="1" customFormat="false" ht="15.75" hidden="false" customHeight="true" outlineLevel="0" collapsed="false">
      <c r="A1" s="74" t="s">
        <v>433</v>
      </c>
    </row>
    <row r="2" customFormat="false" ht="14.25" hidden="false" customHeight="true" outlineLevel="0" collapsed="false">
      <c r="A2" s="75" t="s">
        <v>361</v>
      </c>
    </row>
    <row r="3" customFormat="false" ht="14.25" hidden="false" customHeight="true" outlineLevel="0" collapsed="false">
      <c r="F3" s="85" t="s">
        <v>362</v>
      </c>
    </row>
    <row r="4" customFormat="false" ht="14.25" hidden="false" customHeight="true" outlineLevel="0" collapsed="false">
      <c r="F4" s="122" t="s">
        <v>363</v>
      </c>
    </row>
    <row r="5" customFormat="false" ht="14.25" hidden="false" customHeight="true" outlineLevel="0" collapsed="false">
      <c r="F5" s="123" t="s">
        <v>364</v>
      </c>
    </row>
    <row r="6" customFormat="false" ht="14.25" hidden="false" customHeight="true" outlineLevel="0" collapsed="false">
      <c r="I6" s="75"/>
      <c r="J6" s="124"/>
    </row>
    <row r="7" customFormat="false" ht="14.25" hidden="false" customHeight="true" outlineLevel="0" collapsed="false">
      <c r="A7" s="105" t="s">
        <v>434</v>
      </c>
    </row>
    <row r="8" customFormat="false" ht="26.25" hidden="false" customHeight="true" outlineLevel="0" collapsed="false">
      <c r="C8" s="80" t="s">
        <v>366</v>
      </c>
      <c r="D8" s="80" t="s">
        <v>367</v>
      </c>
      <c r="E8" s="80" t="s">
        <v>368</v>
      </c>
      <c r="F8" s="80" t="s">
        <v>369</v>
      </c>
      <c r="G8" s="80" t="s">
        <v>370</v>
      </c>
      <c r="H8" s="80" t="s">
        <v>371</v>
      </c>
      <c r="I8" s="80" t="s">
        <v>372</v>
      </c>
    </row>
    <row r="9" customFormat="false" ht="14.25" hidden="false" customHeight="true" outlineLevel="0" collapsed="false">
      <c r="A9" s="0" t="s">
        <v>68</v>
      </c>
      <c r="C9" s="125" t="n">
        <v>986</v>
      </c>
      <c r="D9" s="125" t="n">
        <v>1071</v>
      </c>
      <c r="E9" s="125" t="n">
        <v>1209</v>
      </c>
      <c r="F9" s="125" t="n">
        <v>1343</v>
      </c>
      <c r="G9" s="125" t="n">
        <v>1475</v>
      </c>
      <c r="H9" s="125" t="n">
        <v>1603</v>
      </c>
      <c r="I9" s="125" t="n">
        <v>1727</v>
      </c>
    </row>
    <row r="10" customFormat="false" ht="14.25" hidden="false" customHeight="true" outlineLevel="0" collapsed="false">
      <c r="A10" s="0" t="s">
        <v>373</v>
      </c>
      <c r="C10" s="61" t="n">
        <f aca="false">C9</f>
        <v>986</v>
      </c>
      <c r="D10" s="61" t="n">
        <f aca="false">D9</f>
        <v>1071</v>
      </c>
      <c r="E10" s="61" t="n">
        <f aca="false">E9</f>
        <v>1209</v>
      </c>
      <c r="F10" s="61" t="n">
        <f aca="false">F9</f>
        <v>1343</v>
      </c>
      <c r="G10" s="61" t="n">
        <f aca="false">G9</f>
        <v>1475</v>
      </c>
      <c r="H10" s="61" t="n">
        <f aca="false">H9</f>
        <v>1603</v>
      </c>
      <c r="I10" s="61" t="n">
        <f aca="false">I9</f>
        <v>1727</v>
      </c>
    </row>
    <row r="11" customFormat="false" ht="14.25" hidden="false" customHeight="true" outlineLevel="0" collapsed="false">
      <c r="A11" s="75" t="s">
        <v>374</v>
      </c>
    </row>
    <row r="13" customFormat="false" ht="14.25" hidden="false" customHeight="true" outlineLevel="0" collapsed="false">
      <c r="A13" s="105" t="s">
        <v>375</v>
      </c>
      <c r="B13" s="55" t="s">
        <v>376</v>
      </c>
      <c r="C13" s="126"/>
      <c r="D13" s="126" t="s">
        <v>377</v>
      </c>
      <c r="E13" s="126" t="s">
        <v>378</v>
      </c>
      <c r="F13" s="126" t="s">
        <v>379</v>
      </c>
      <c r="G13" s="126" t="s">
        <v>380</v>
      </c>
      <c r="H13" s="126" t="s">
        <v>381</v>
      </c>
      <c r="I13" s="126" t="s">
        <v>382</v>
      </c>
    </row>
    <row r="14" customFormat="false" ht="14.25" hidden="false" customHeight="true" outlineLevel="0" collapsed="false">
      <c r="A14" s="0" t="s">
        <v>383</v>
      </c>
      <c r="B14" s="127" t="n">
        <f aca="false">Inputs!$B$4</f>
        <v>250</v>
      </c>
      <c r="C14" s="128"/>
      <c r="D14" s="57" t="n">
        <f aca="false">B14</f>
        <v>250</v>
      </c>
      <c r="E14" s="129" t="n">
        <f aca="false">D14*(1+Inputs!$B$9)</f>
        <v>262.5</v>
      </c>
      <c r="F14" s="129" t="n">
        <f aca="false">E14*(1+'Dashboard (2)'!$T$1)</f>
        <v>270.375</v>
      </c>
      <c r="G14" s="129" t="n">
        <f aca="false">F14*(1+'Dashboard (2)'!$T$1)</f>
        <v>278.48625</v>
      </c>
      <c r="H14" s="129" t="n">
        <f aca="false">G14*(1+'Dashboard (2)'!$T$1)</f>
        <v>286.8408375</v>
      </c>
      <c r="I14" s="129" t="n">
        <f aca="false">H14*(1+'Dashboard (2)'!$T$1)</f>
        <v>295.446062625</v>
      </c>
    </row>
    <row r="15" customFormat="false" ht="14.25" hidden="false" customHeight="true" outlineLevel="0" collapsed="false">
      <c r="A15" s="75" t="s">
        <v>384</v>
      </c>
    </row>
    <row r="17" customFormat="false" ht="14.25" hidden="false" customHeight="true" outlineLevel="0" collapsed="false">
      <c r="A17" s="105" t="s">
        <v>435</v>
      </c>
    </row>
    <row r="18" customFormat="false" ht="26.25" hidden="false" customHeight="true" outlineLevel="0" collapsed="false">
      <c r="C18" s="80" t="s">
        <v>366</v>
      </c>
      <c r="D18" s="80" t="s">
        <v>367</v>
      </c>
      <c r="E18" s="80" t="s">
        <v>368</v>
      </c>
      <c r="F18" s="80" t="s">
        <v>386</v>
      </c>
      <c r="G18" s="80" t="s">
        <v>387</v>
      </c>
      <c r="H18" s="80" t="s">
        <v>388</v>
      </c>
      <c r="I18" s="80" t="s">
        <v>389</v>
      </c>
    </row>
    <row r="19" customFormat="false" ht="14.25" hidden="false" customHeight="true" outlineLevel="0" collapsed="false">
      <c r="A19" s="0" t="s">
        <v>390</v>
      </c>
      <c r="C19" s="61" t="n">
        <f aca="false">C9*$D$14</f>
        <v>246500</v>
      </c>
      <c r="D19" s="61" t="n">
        <f aca="false">D9*$D$14</f>
        <v>267750</v>
      </c>
      <c r="E19" s="61" t="n">
        <f aca="false">E9*$E$14</f>
        <v>317362.5</v>
      </c>
      <c r="F19" s="61" t="n">
        <f aca="false">F9*F14</f>
        <v>363113.625</v>
      </c>
      <c r="G19" s="61" t="n">
        <f aca="false">G9*G14</f>
        <v>410767.21875</v>
      </c>
      <c r="H19" s="61" t="n">
        <f aca="false">H9*H14</f>
        <v>459805.8625125</v>
      </c>
      <c r="I19" s="61" t="n">
        <f aca="false">I9*I14</f>
        <v>510235.350153375</v>
      </c>
    </row>
    <row r="20" customFormat="false" ht="14.25" hidden="false" customHeight="true" outlineLevel="0" collapsed="false">
      <c r="A20" s="0" t="s">
        <v>391</v>
      </c>
      <c r="C20" s="130" t="n">
        <v>151600.22</v>
      </c>
      <c r="D20" s="130" t="n">
        <v>177897.87</v>
      </c>
      <c r="E20" s="130" t="n">
        <v>199587.57</v>
      </c>
      <c r="F20" s="75"/>
    </row>
    <row r="21" customFormat="false" ht="14.25" hidden="false" customHeight="true" outlineLevel="0" collapsed="false">
      <c r="A21" s="0" t="s">
        <v>392</v>
      </c>
      <c r="C21" s="103" t="n">
        <f aca="false">C20/C19</f>
        <v>0.615011034482759</v>
      </c>
      <c r="D21" s="103" t="n">
        <f aca="false">D20/D19</f>
        <v>0.66441781512605</v>
      </c>
      <c r="E21" s="103" t="n">
        <f aca="false">E20/E19</f>
        <v>0.628894623655914</v>
      </c>
    </row>
    <row r="22" customFormat="false" ht="14.25" hidden="false" customHeight="true" outlineLevel="0" collapsed="false">
      <c r="A22" s="0" t="s">
        <v>393</v>
      </c>
      <c r="C22" s="131" t="n">
        <v>0</v>
      </c>
      <c r="D22" s="131" t="n">
        <v>0</v>
      </c>
      <c r="E22" s="131" t="n">
        <f aca="false">MAX(0,MIN('Dashboard (2)'!$N$1,Inputs!$B$38-E21))</f>
        <v>0.018</v>
      </c>
    </row>
    <row r="23" customFormat="false" ht="14.25" hidden="false" customHeight="true" outlineLevel="0" collapsed="false">
      <c r="A23" s="0" t="s">
        <v>394</v>
      </c>
      <c r="C23" s="61" t="n">
        <f aca="false">C19*C22</f>
        <v>0</v>
      </c>
      <c r="D23" s="61" t="n">
        <f aca="false">D19*D22</f>
        <v>0</v>
      </c>
      <c r="E23" s="104" t="n">
        <f aca="false">E19*E22</f>
        <v>5712.525</v>
      </c>
    </row>
    <row r="24" customFormat="false" ht="14.25" hidden="false" customHeight="true" outlineLevel="0" collapsed="false">
      <c r="A24" s="85" t="s">
        <v>395</v>
      </c>
      <c r="C24" s="87" t="n">
        <f aca="false">C20+C23</f>
        <v>151600.22</v>
      </c>
      <c r="D24" s="87" t="n">
        <f aca="false">D20+D23</f>
        <v>177897.87</v>
      </c>
      <c r="E24" s="96" t="n">
        <f aca="false">E20+E23</f>
        <v>205300.095</v>
      </c>
    </row>
    <row r="25" customFormat="false" ht="14.25" hidden="false" customHeight="true" outlineLevel="0" collapsed="false">
      <c r="A25" s="0" t="s">
        <v>396</v>
      </c>
      <c r="C25" s="56" t="n">
        <f aca="false">C24/C19</f>
        <v>0.615011034482759</v>
      </c>
      <c r="D25" s="56" t="n">
        <f aca="false">D24/D19</f>
        <v>0.66441781512605</v>
      </c>
      <c r="E25" s="56" t="n">
        <f aca="false">E24/E19</f>
        <v>0.646894623655914</v>
      </c>
    </row>
    <row r="26" customFormat="false" ht="14.25" hidden="false" customHeight="true" outlineLevel="0" collapsed="false">
      <c r="A26" s="75" t="s">
        <v>397</v>
      </c>
    </row>
    <row r="27" customFormat="false" ht="14.25" hidden="false" customHeight="false" outlineLevel="0" collapsed="false">
      <c r="A27" s="6" t="s">
        <v>398</v>
      </c>
    </row>
    <row r="28" customFormat="false" ht="14.25" hidden="false" customHeight="true" outlineLevel="0" collapsed="false">
      <c r="A28" s="132" t="s">
        <v>436</v>
      </c>
    </row>
    <row r="29" customFormat="false" ht="26.25" hidden="false" customHeight="true" outlineLevel="0" collapsed="false">
      <c r="C29" s="80" t="s">
        <v>366</v>
      </c>
      <c r="D29" s="80" t="s">
        <v>367</v>
      </c>
      <c r="E29" s="80" t="s">
        <v>368</v>
      </c>
    </row>
    <row r="30" customFormat="false" ht="14.25" hidden="false" customHeight="true" outlineLevel="0" collapsed="false">
      <c r="A30" s="0" t="s">
        <v>400</v>
      </c>
      <c r="C30" s="130" t="n">
        <v>382258</v>
      </c>
      <c r="D30" s="130" t="n">
        <v>394596.629253138</v>
      </c>
      <c r="F30" s="75" t="s">
        <v>401</v>
      </c>
    </row>
    <row r="31" customFormat="false" ht="14.25" hidden="false" customHeight="true" outlineLevel="0" collapsed="false">
      <c r="A31" s="0" t="s">
        <v>402</v>
      </c>
      <c r="B31" s="133" t="n">
        <v>0.35</v>
      </c>
      <c r="C31" s="134"/>
      <c r="D31" s="134"/>
    </row>
    <row r="32" customFormat="false" ht="14.25" hidden="false" customHeight="true" outlineLevel="0" collapsed="false">
      <c r="A32" s="0" t="s">
        <v>403</v>
      </c>
      <c r="E32" s="135" t="n">
        <f aca="false">-E23/(B31-1)</f>
        <v>8788.5</v>
      </c>
    </row>
    <row r="33" customFormat="false" ht="14.25" hidden="false" customHeight="true" outlineLevel="0" collapsed="false">
      <c r="A33" s="85" t="s">
        <v>404</v>
      </c>
      <c r="E33" s="136" t="n">
        <f aca="false">IF(OR(D30="",D30="no KPI data"),"no KPI data",D30+E32)</f>
        <v>403385.129253138</v>
      </c>
    </row>
    <row r="34" customFormat="false" ht="42" hidden="false" customHeight="true" outlineLevel="0" collapsed="false">
      <c r="A34" s="137" t="s">
        <v>405</v>
      </c>
    </row>
    <row r="37" customFormat="false" ht="14.25" hidden="false" customHeight="true" outlineLevel="0" collapsed="false">
      <c r="A37" s="105" t="s">
        <v>406</v>
      </c>
    </row>
    <row r="38" customFormat="false" ht="33.75" hidden="false" customHeight="true" outlineLevel="0" collapsed="false">
      <c r="A38" s="88" t="s">
        <v>407</v>
      </c>
    </row>
    <row r="39" customFormat="false" ht="22.5" hidden="false" customHeight="true" outlineLevel="0" collapsed="false">
      <c r="A39" s="8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54"/>
    <col collapsed="false" customWidth="true" hidden="false" outlineLevel="0" max="2" min="2" style="0" width="13"/>
    <col collapsed="false" customWidth="true" hidden="false" outlineLevel="0" max="9" min="3" style="0" width="15"/>
    <col collapsed="false" customWidth="true" hidden="false" outlineLevel="0" max="10" min="10" style="0" width="8"/>
  </cols>
  <sheetData>
    <row r="1" customFormat="false" ht="15.75" hidden="false" customHeight="true" outlineLevel="0" collapsed="false">
      <c r="A1" s="74" t="s">
        <v>437</v>
      </c>
    </row>
    <row r="2" customFormat="false" ht="14.25" hidden="false" customHeight="true" outlineLevel="0" collapsed="false">
      <c r="A2" s="75" t="s">
        <v>361</v>
      </c>
    </row>
    <row r="3" customFormat="false" ht="14.25" hidden="false" customHeight="true" outlineLevel="0" collapsed="false">
      <c r="F3" s="85" t="s">
        <v>362</v>
      </c>
    </row>
    <row r="4" customFormat="false" ht="14.25" hidden="false" customHeight="true" outlineLevel="0" collapsed="false">
      <c r="F4" s="122" t="s">
        <v>363</v>
      </c>
    </row>
    <row r="5" customFormat="false" ht="14.25" hidden="false" customHeight="true" outlineLevel="0" collapsed="false">
      <c r="F5" s="123" t="s">
        <v>364</v>
      </c>
    </row>
    <row r="6" customFormat="false" ht="14.25" hidden="false" customHeight="true" outlineLevel="0" collapsed="false">
      <c r="I6" s="75"/>
      <c r="J6" s="124"/>
    </row>
    <row r="7" customFormat="false" ht="14.25" hidden="false" customHeight="true" outlineLevel="0" collapsed="false">
      <c r="A7" s="105" t="s">
        <v>438</v>
      </c>
    </row>
    <row r="8" customFormat="false" ht="26.25" hidden="false" customHeight="true" outlineLevel="0" collapsed="false">
      <c r="C8" s="80" t="s">
        <v>366</v>
      </c>
      <c r="D8" s="80" t="s">
        <v>367</v>
      </c>
      <c r="E8" s="80" t="s">
        <v>368</v>
      </c>
      <c r="F8" s="80" t="s">
        <v>369</v>
      </c>
      <c r="G8" s="80" t="s">
        <v>370</v>
      </c>
      <c r="H8" s="80" t="s">
        <v>371</v>
      </c>
      <c r="I8" s="80" t="s">
        <v>372</v>
      </c>
    </row>
    <row r="9" customFormat="false" ht="14.25" hidden="false" customHeight="true" outlineLevel="0" collapsed="false">
      <c r="A9" s="0" t="s">
        <v>68</v>
      </c>
      <c r="C9" s="125" t="n">
        <v>829</v>
      </c>
      <c r="D9" s="125" t="n">
        <v>850</v>
      </c>
      <c r="E9" s="125" t="n">
        <v>944</v>
      </c>
      <c r="F9" s="125" t="n">
        <v>1036</v>
      </c>
      <c r="G9" s="125" t="n">
        <v>1140</v>
      </c>
      <c r="H9" s="125" t="n">
        <v>1241</v>
      </c>
      <c r="I9" s="125" t="n">
        <v>1339</v>
      </c>
    </row>
    <row r="10" customFormat="false" ht="14.25" hidden="false" customHeight="true" outlineLevel="0" collapsed="false">
      <c r="A10" s="0" t="s">
        <v>373</v>
      </c>
      <c r="C10" s="61" t="n">
        <f aca="false">C9</f>
        <v>829</v>
      </c>
      <c r="D10" s="61" t="n">
        <f aca="false">D9</f>
        <v>850</v>
      </c>
      <c r="E10" s="61" t="n">
        <f aca="false">E9</f>
        <v>944</v>
      </c>
      <c r="F10" s="61" t="n">
        <f aca="false">F9</f>
        <v>1036</v>
      </c>
      <c r="G10" s="61" t="n">
        <f aca="false">G9</f>
        <v>1140</v>
      </c>
      <c r="H10" s="61" t="n">
        <f aca="false">H9</f>
        <v>1241</v>
      </c>
      <c r="I10" s="61" t="n">
        <f aca="false">I9</f>
        <v>1339</v>
      </c>
    </row>
    <row r="11" customFormat="false" ht="14.25" hidden="false" customHeight="true" outlineLevel="0" collapsed="false">
      <c r="A11" s="75" t="s">
        <v>374</v>
      </c>
    </row>
    <row r="13" customFormat="false" ht="14.25" hidden="false" customHeight="true" outlineLevel="0" collapsed="false">
      <c r="A13" s="105" t="s">
        <v>375</v>
      </c>
      <c r="B13" s="55" t="s">
        <v>376</v>
      </c>
      <c r="C13" s="126"/>
      <c r="D13" s="126" t="s">
        <v>377</v>
      </c>
      <c r="E13" s="126" t="s">
        <v>378</v>
      </c>
      <c r="F13" s="126" t="s">
        <v>379</v>
      </c>
      <c r="G13" s="126" t="s">
        <v>380</v>
      </c>
      <c r="H13" s="126" t="s">
        <v>381</v>
      </c>
      <c r="I13" s="126" t="s">
        <v>382</v>
      </c>
    </row>
    <row r="14" customFormat="false" ht="14.25" hidden="false" customHeight="true" outlineLevel="0" collapsed="false">
      <c r="A14" s="0" t="s">
        <v>383</v>
      </c>
      <c r="B14" s="127" t="n">
        <f aca="false">Inputs!$B$4</f>
        <v>250</v>
      </c>
      <c r="C14" s="128"/>
      <c r="D14" s="57" t="n">
        <f aca="false">B14</f>
        <v>250</v>
      </c>
      <c r="E14" s="129" t="n">
        <f aca="false">D14*(1+Inputs!$B$9)</f>
        <v>262.5</v>
      </c>
      <c r="F14" s="129" t="n">
        <f aca="false">E14*(1+'Dashboard (2)'!$T$1)</f>
        <v>270.375</v>
      </c>
      <c r="G14" s="129" t="n">
        <f aca="false">F14*(1+'Dashboard (2)'!$T$1)</f>
        <v>278.48625</v>
      </c>
      <c r="H14" s="129" t="n">
        <f aca="false">G14*(1+'Dashboard (2)'!$T$1)</f>
        <v>286.8408375</v>
      </c>
      <c r="I14" s="129" t="n">
        <f aca="false">H14*(1+'Dashboard (2)'!$T$1)</f>
        <v>295.446062625</v>
      </c>
    </row>
    <row r="15" customFormat="false" ht="14.25" hidden="false" customHeight="true" outlineLevel="0" collapsed="false">
      <c r="A15" s="75" t="s">
        <v>384</v>
      </c>
    </row>
    <row r="17" customFormat="false" ht="14.25" hidden="false" customHeight="true" outlineLevel="0" collapsed="false">
      <c r="A17" s="105" t="s">
        <v>439</v>
      </c>
    </row>
    <row r="18" customFormat="false" ht="26.25" hidden="false" customHeight="true" outlineLevel="0" collapsed="false">
      <c r="C18" s="80" t="s">
        <v>366</v>
      </c>
      <c r="D18" s="80" t="s">
        <v>367</v>
      </c>
      <c r="E18" s="80" t="s">
        <v>368</v>
      </c>
      <c r="F18" s="80" t="s">
        <v>386</v>
      </c>
      <c r="G18" s="80" t="s">
        <v>387</v>
      </c>
      <c r="H18" s="80" t="s">
        <v>388</v>
      </c>
      <c r="I18" s="80" t="s">
        <v>389</v>
      </c>
    </row>
    <row r="19" customFormat="false" ht="14.25" hidden="false" customHeight="true" outlineLevel="0" collapsed="false">
      <c r="A19" s="0" t="s">
        <v>390</v>
      </c>
      <c r="C19" s="61" t="n">
        <f aca="false">C9*$D$14</f>
        <v>207250</v>
      </c>
      <c r="D19" s="61" t="n">
        <f aca="false">D9*$D$14</f>
        <v>212500</v>
      </c>
      <c r="E19" s="61" t="n">
        <f aca="false">E9*$E$14</f>
        <v>247800</v>
      </c>
      <c r="F19" s="61" t="n">
        <f aca="false">F9*F14</f>
        <v>280108.5</v>
      </c>
      <c r="G19" s="61" t="n">
        <f aca="false">G9*G14</f>
        <v>317474.325</v>
      </c>
      <c r="H19" s="61" t="n">
        <f aca="false">H9*H14</f>
        <v>355969.4793375</v>
      </c>
      <c r="I19" s="61" t="n">
        <f aca="false">I9*I14</f>
        <v>395602.277854875</v>
      </c>
    </row>
    <row r="20" customFormat="false" ht="14.25" hidden="false" customHeight="true" outlineLevel="0" collapsed="false">
      <c r="A20" s="0" t="s">
        <v>391</v>
      </c>
      <c r="C20" s="130" t="n">
        <v>122628.72</v>
      </c>
      <c r="D20" s="130" t="n">
        <v>154459.8</v>
      </c>
      <c r="E20" s="130" t="n">
        <v>187600</v>
      </c>
      <c r="F20" s="75"/>
    </row>
    <row r="21" customFormat="false" ht="14.25" hidden="false" customHeight="true" outlineLevel="0" collapsed="false">
      <c r="A21" s="0" t="s">
        <v>392</v>
      </c>
      <c r="C21" s="103" t="n">
        <f aca="false">C20/C19</f>
        <v>0.59169466827503</v>
      </c>
      <c r="D21" s="103" t="n">
        <f aca="false">D20/D19</f>
        <v>0.726869647058824</v>
      </c>
      <c r="E21" s="103" t="n">
        <f aca="false">E20/E19</f>
        <v>0.757062146892655</v>
      </c>
    </row>
    <row r="22" customFormat="false" ht="14.25" hidden="false" customHeight="true" outlineLevel="0" collapsed="false">
      <c r="A22" s="0" t="s">
        <v>393</v>
      </c>
      <c r="C22" s="131" t="n">
        <v>0</v>
      </c>
      <c r="D22" s="131" t="n">
        <v>0</v>
      </c>
      <c r="E22" s="131" t="n">
        <f aca="false">MAX(0,MIN('Dashboard (2)'!$N$1,Inputs!$B$38-E21))</f>
        <v>0.018</v>
      </c>
    </row>
    <row r="23" customFormat="false" ht="14.25" hidden="false" customHeight="true" outlineLevel="0" collapsed="false">
      <c r="A23" s="0" t="s">
        <v>394</v>
      </c>
      <c r="C23" s="61" t="n">
        <f aca="false">C19*C22</f>
        <v>0</v>
      </c>
      <c r="D23" s="61" t="n">
        <f aca="false">D19*D22</f>
        <v>0</v>
      </c>
      <c r="E23" s="104" t="n">
        <f aca="false">E19*E22</f>
        <v>4460.4</v>
      </c>
    </row>
    <row r="24" customFormat="false" ht="14.25" hidden="false" customHeight="true" outlineLevel="0" collapsed="false">
      <c r="A24" s="85" t="s">
        <v>395</v>
      </c>
      <c r="C24" s="87" t="n">
        <f aca="false">C20+C23</f>
        <v>122628.72</v>
      </c>
      <c r="D24" s="87" t="n">
        <f aca="false">D20+D23</f>
        <v>154459.8</v>
      </c>
      <c r="E24" s="96" t="n">
        <f aca="false">E20+E23</f>
        <v>192060.4</v>
      </c>
    </row>
    <row r="25" customFormat="false" ht="14.25" hidden="false" customHeight="true" outlineLevel="0" collapsed="false">
      <c r="A25" s="0" t="s">
        <v>396</v>
      </c>
      <c r="C25" s="56" t="n">
        <f aca="false">C24/C19</f>
        <v>0.59169466827503</v>
      </c>
      <c r="D25" s="56" t="n">
        <f aca="false">D24/D19</f>
        <v>0.726869647058824</v>
      </c>
      <c r="E25" s="56" t="n">
        <f aca="false">E24/E19</f>
        <v>0.775062146892655</v>
      </c>
    </row>
    <row r="26" customFormat="false" ht="14.25" hidden="false" customHeight="true" outlineLevel="0" collapsed="false">
      <c r="A26" s="75" t="s">
        <v>397</v>
      </c>
    </row>
    <row r="27" customFormat="false" ht="14.25" hidden="false" customHeight="false" outlineLevel="0" collapsed="false">
      <c r="A27" s="6" t="s">
        <v>398</v>
      </c>
    </row>
    <row r="28" customFormat="false" ht="14.25" hidden="false" customHeight="true" outlineLevel="0" collapsed="false">
      <c r="A28" s="132" t="s">
        <v>440</v>
      </c>
    </row>
    <row r="29" customFormat="false" ht="26.25" hidden="false" customHeight="true" outlineLevel="0" collapsed="false">
      <c r="C29" s="80" t="s">
        <v>366</v>
      </c>
      <c r="D29" s="80" t="s">
        <v>367</v>
      </c>
      <c r="E29" s="80" t="s">
        <v>368</v>
      </c>
    </row>
    <row r="30" customFormat="false" ht="14.25" hidden="false" customHeight="true" outlineLevel="0" collapsed="false">
      <c r="A30" s="0" t="s">
        <v>400</v>
      </c>
      <c r="C30" s="130" t="n">
        <v>356680.16</v>
      </c>
      <c r="D30" s="130" t="n">
        <v>572863.67</v>
      </c>
      <c r="F30" s="75" t="s">
        <v>401</v>
      </c>
    </row>
    <row r="31" customFormat="false" ht="14.25" hidden="false" customHeight="true" outlineLevel="0" collapsed="false">
      <c r="A31" s="0" t="s">
        <v>402</v>
      </c>
      <c r="B31" s="133" t="n">
        <v>0.35</v>
      </c>
      <c r="C31" s="134"/>
      <c r="D31" s="134"/>
    </row>
    <row r="32" customFormat="false" ht="14.25" hidden="false" customHeight="true" outlineLevel="0" collapsed="false">
      <c r="A32" s="0" t="s">
        <v>403</v>
      </c>
      <c r="E32" s="135" t="n">
        <f aca="false">-E23/(B31-1)</f>
        <v>6862.15384615385</v>
      </c>
    </row>
    <row r="33" customFormat="false" ht="14.25" hidden="false" customHeight="true" outlineLevel="0" collapsed="false">
      <c r="A33" s="85" t="s">
        <v>404</v>
      </c>
      <c r="E33" s="136" t="n">
        <f aca="false">IF(OR(D30="",D30="no KPI data"),"no KPI data",D30+E32)</f>
        <v>579725.823846154</v>
      </c>
    </row>
    <row r="34" customFormat="false" ht="42" hidden="false" customHeight="true" outlineLevel="0" collapsed="false">
      <c r="A34" s="137" t="s">
        <v>405</v>
      </c>
    </row>
    <row r="37" customFormat="false" ht="14.25" hidden="false" customHeight="true" outlineLevel="0" collapsed="false">
      <c r="A37" s="105" t="s">
        <v>406</v>
      </c>
    </row>
    <row r="38" customFormat="false" ht="33.75" hidden="false" customHeight="true" outlineLevel="0" collapsed="false">
      <c r="A38" s="88" t="s">
        <v>407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54"/>
    <col collapsed="false" customWidth="true" hidden="false" outlineLevel="0" max="2" min="2" style="0" width="13"/>
    <col collapsed="false" customWidth="true" hidden="false" outlineLevel="0" max="9" min="3" style="0" width="15"/>
    <col collapsed="false" customWidth="true" hidden="false" outlineLevel="0" max="10" min="10" style="0" width="8"/>
  </cols>
  <sheetData>
    <row r="1" customFormat="false" ht="15.75" hidden="false" customHeight="true" outlineLevel="0" collapsed="false">
      <c r="A1" s="74" t="s">
        <v>441</v>
      </c>
    </row>
    <row r="2" customFormat="false" ht="14.25" hidden="false" customHeight="true" outlineLevel="0" collapsed="false">
      <c r="A2" s="75" t="s">
        <v>361</v>
      </c>
    </row>
    <row r="3" customFormat="false" ht="14.25" hidden="false" customHeight="true" outlineLevel="0" collapsed="false">
      <c r="F3" s="85" t="s">
        <v>362</v>
      </c>
    </row>
    <row r="4" customFormat="false" ht="14.25" hidden="false" customHeight="true" outlineLevel="0" collapsed="false">
      <c r="F4" s="122" t="s">
        <v>363</v>
      </c>
    </row>
    <row r="5" customFormat="false" ht="14.25" hidden="false" customHeight="true" outlineLevel="0" collapsed="false">
      <c r="F5" s="123" t="s">
        <v>364</v>
      </c>
    </row>
    <row r="6" customFormat="false" ht="14.25" hidden="false" customHeight="true" outlineLevel="0" collapsed="false">
      <c r="I6" s="75"/>
      <c r="J6" s="124"/>
    </row>
    <row r="7" customFormat="false" ht="14.25" hidden="false" customHeight="true" outlineLevel="0" collapsed="false">
      <c r="A7" s="105" t="s">
        <v>442</v>
      </c>
    </row>
    <row r="8" customFormat="false" ht="26.25" hidden="false" customHeight="true" outlineLevel="0" collapsed="false">
      <c r="C8" s="80" t="s">
        <v>366</v>
      </c>
      <c r="D8" s="80" t="s">
        <v>367</v>
      </c>
      <c r="E8" s="80" t="s">
        <v>368</v>
      </c>
      <c r="F8" s="80" t="s">
        <v>369</v>
      </c>
      <c r="G8" s="80" t="s">
        <v>370</v>
      </c>
      <c r="H8" s="80" t="s">
        <v>371</v>
      </c>
      <c r="I8" s="80" t="s">
        <v>372</v>
      </c>
    </row>
    <row r="9" customFormat="false" ht="14.25" hidden="false" customHeight="true" outlineLevel="0" collapsed="false">
      <c r="A9" s="0" t="s">
        <v>68</v>
      </c>
      <c r="C9" s="125" t="n">
        <v>342</v>
      </c>
      <c r="D9" s="125" t="n">
        <v>406</v>
      </c>
      <c r="E9" s="125" t="n">
        <v>439</v>
      </c>
      <c r="F9" s="125" t="n">
        <v>471</v>
      </c>
      <c r="G9" s="125" t="n">
        <v>549</v>
      </c>
      <c r="H9" s="125" t="n">
        <v>625</v>
      </c>
      <c r="I9" s="125" t="n">
        <v>698</v>
      </c>
    </row>
    <row r="10" customFormat="false" ht="14.25" hidden="false" customHeight="true" outlineLevel="0" collapsed="false">
      <c r="A10" s="0" t="s">
        <v>373</v>
      </c>
      <c r="C10" s="61" t="n">
        <f aca="false">C9</f>
        <v>342</v>
      </c>
      <c r="D10" s="61" t="n">
        <f aca="false">D9</f>
        <v>406</v>
      </c>
      <c r="E10" s="61" t="n">
        <f aca="false">E9</f>
        <v>439</v>
      </c>
      <c r="F10" s="61" t="n">
        <f aca="false">F9</f>
        <v>471</v>
      </c>
      <c r="G10" s="61" t="n">
        <f aca="false">G9</f>
        <v>549</v>
      </c>
      <c r="H10" s="61" t="n">
        <f aca="false">H9</f>
        <v>625</v>
      </c>
      <c r="I10" s="61" t="n">
        <f aca="false">I9</f>
        <v>698</v>
      </c>
    </row>
    <row r="11" customFormat="false" ht="14.25" hidden="false" customHeight="true" outlineLevel="0" collapsed="false">
      <c r="A11" s="75" t="s">
        <v>374</v>
      </c>
    </row>
    <row r="13" customFormat="false" ht="14.25" hidden="false" customHeight="true" outlineLevel="0" collapsed="false">
      <c r="A13" s="105" t="s">
        <v>375</v>
      </c>
      <c r="B13" s="55" t="s">
        <v>376</v>
      </c>
      <c r="C13" s="126"/>
      <c r="D13" s="126" t="s">
        <v>377</v>
      </c>
      <c r="E13" s="126" t="s">
        <v>378</v>
      </c>
      <c r="F13" s="126" t="s">
        <v>379</v>
      </c>
      <c r="G13" s="126" t="s">
        <v>380</v>
      </c>
      <c r="H13" s="126" t="s">
        <v>381</v>
      </c>
      <c r="I13" s="126" t="s">
        <v>382</v>
      </c>
    </row>
    <row r="14" customFormat="false" ht="14.25" hidden="false" customHeight="true" outlineLevel="0" collapsed="false">
      <c r="A14" s="0" t="s">
        <v>383</v>
      </c>
      <c r="B14" s="127" t="n">
        <f aca="false">Inputs!$B$4</f>
        <v>250</v>
      </c>
      <c r="C14" s="128"/>
      <c r="D14" s="57" t="n">
        <f aca="false">B14</f>
        <v>250</v>
      </c>
      <c r="E14" s="129" t="n">
        <f aca="false">D14*(1+Inputs!$B$9)</f>
        <v>262.5</v>
      </c>
      <c r="F14" s="129" t="n">
        <f aca="false">E14*(1+'Dashboard (2)'!$T$1)</f>
        <v>270.375</v>
      </c>
      <c r="G14" s="129" t="n">
        <f aca="false">F14*(1+'Dashboard (2)'!$T$1)</f>
        <v>278.48625</v>
      </c>
      <c r="H14" s="129" t="n">
        <f aca="false">G14*(1+'Dashboard (2)'!$T$1)</f>
        <v>286.8408375</v>
      </c>
      <c r="I14" s="129" t="n">
        <f aca="false">H14*(1+'Dashboard (2)'!$T$1)</f>
        <v>295.446062625</v>
      </c>
    </row>
    <row r="15" customFormat="false" ht="14.25" hidden="false" customHeight="true" outlineLevel="0" collapsed="false">
      <c r="A15" s="75" t="s">
        <v>384</v>
      </c>
    </row>
    <row r="17" customFormat="false" ht="14.25" hidden="false" customHeight="true" outlineLevel="0" collapsed="false">
      <c r="A17" s="105" t="s">
        <v>443</v>
      </c>
    </row>
    <row r="18" customFormat="false" ht="26.25" hidden="false" customHeight="true" outlineLevel="0" collapsed="false">
      <c r="C18" s="80" t="s">
        <v>366</v>
      </c>
      <c r="D18" s="80" t="s">
        <v>367</v>
      </c>
      <c r="E18" s="80" t="s">
        <v>368</v>
      </c>
      <c r="F18" s="80" t="s">
        <v>386</v>
      </c>
      <c r="G18" s="80" t="s">
        <v>387</v>
      </c>
      <c r="H18" s="80" t="s">
        <v>388</v>
      </c>
      <c r="I18" s="80" t="s">
        <v>389</v>
      </c>
    </row>
    <row r="19" customFormat="false" ht="14.25" hidden="false" customHeight="true" outlineLevel="0" collapsed="false">
      <c r="A19" s="0" t="s">
        <v>390</v>
      </c>
      <c r="C19" s="61" t="n">
        <f aca="false">C9*$D$14</f>
        <v>85500</v>
      </c>
      <c r="D19" s="61" t="n">
        <f aca="false">D9*$D$14</f>
        <v>101500</v>
      </c>
      <c r="E19" s="61" t="n">
        <f aca="false">E9*$E$14</f>
        <v>115237.5</v>
      </c>
      <c r="F19" s="61" t="n">
        <f aca="false">F9*F14</f>
        <v>127346.625</v>
      </c>
      <c r="G19" s="61" t="n">
        <f aca="false">G9*G14</f>
        <v>152888.95125</v>
      </c>
      <c r="H19" s="61" t="n">
        <f aca="false">H9*H14</f>
        <v>179275.5234375</v>
      </c>
      <c r="I19" s="61" t="n">
        <f aca="false">I9*I14</f>
        <v>206221.35171225</v>
      </c>
    </row>
    <row r="20" customFormat="false" ht="14.25" hidden="false" customHeight="true" outlineLevel="0" collapsed="false">
      <c r="A20" s="0" t="s">
        <v>391</v>
      </c>
      <c r="C20" s="130" t="n">
        <v>73673.52</v>
      </c>
      <c r="D20" s="130" t="n">
        <v>86604.51</v>
      </c>
      <c r="E20" s="130" t="n">
        <v>104600</v>
      </c>
      <c r="F20" s="75"/>
    </row>
    <row r="21" customFormat="false" ht="14.25" hidden="false" customHeight="true" outlineLevel="0" collapsed="false">
      <c r="A21" s="0" t="s">
        <v>392</v>
      </c>
      <c r="C21" s="103" t="n">
        <f aca="false">C20/C19</f>
        <v>0.861678596491228</v>
      </c>
      <c r="D21" s="103" t="n">
        <f aca="false">D20/D19</f>
        <v>0.853246403940887</v>
      </c>
      <c r="E21" s="103" t="n">
        <f aca="false">E20/E19</f>
        <v>0.907690638897928</v>
      </c>
    </row>
    <row r="22" customFormat="false" ht="14.25" hidden="false" customHeight="true" outlineLevel="0" collapsed="false">
      <c r="A22" s="0" t="s">
        <v>393</v>
      </c>
      <c r="C22" s="131" t="n">
        <v>0</v>
      </c>
      <c r="D22" s="131" t="n">
        <v>0</v>
      </c>
      <c r="E22" s="131" t="n">
        <f aca="false">MAX(0,MIN('Dashboard (2)'!$N$1,Inputs!$B$38-E21))</f>
        <v>0.018</v>
      </c>
    </row>
    <row r="23" customFormat="false" ht="14.25" hidden="false" customHeight="true" outlineLevel="0" collapsed="false">
      <c r="A23" s="0" t="s">
        <v>394</v>
      </c>
      <c r="C23" s="61" t="n">
        <f aca="false">C19*C22</f>
        <v>0</v>
      </c>
      <c r="D23" s="61" t="n">
        <f aca="false">D19*D22</f>
        <v>0</v>
      </c>
      <c r="E23" s="104" t="n">
        <f aca="false">E19*E22</f>
        <v>2074.275</v>
      </c>
    </row>
    <row r="24" customFormat="false" ht="14.25" hidden="false" customHeight="true" outlineLevel="0" collapsed="false">
      <c r="A24" s="85" t="s">
        <v>395</v>
      </c>
      <c r="C24" s="87" t="n">
        <f aca="false">C20+C23</f>
        <v>73673.52</v>
      </c>
      <c r="D24" s="87" t="n">
        <f aca="false">D20+D23</f>
        <v>86604.51</v>
      </c>
      <c r="E24" s="96" t="n">
        <f aca="false">E20+E23</f>
        <v>106674.275</v>
      </c>
    </row>
    <row r="25" customFormat="false" ht="14.25" hidden="false" customHeight="true" outlineLevel="0" collapsed="false">
      <c r="A25" s="0" t="s">
        <v>396</v>
      </c>
      <c r="C25" s="56" t="n">
        <f aca="false">C24/C19</f>
        <v>0.861678596491228</v>
      </c>
      <c r="D25" s="56" t="n">
        <f aca="false">D24/D19</f>
        <v>0.853246403940887</v>
      </c>
      <c r="E25" s="56" t="n">
        <f aca="false">E24/E19</f>
        <v>0.925690638897928</v>
      </c>
    </row>
    <row r="26" customFormat="false" ht="14.25" hidden="false" customHeight="true" outlineLevel="0" collapsed="false">
      <c r="A26" s="75" t="s">
        <v>397</v>
      </c>
    </row>
    <row r="27" customFormat="false" ht="14.25" hidden="false" customHeight="false" outlineLevel="0" collapsed="false">
      <c r="A27" s="6" t="s">
        <v>398</v>
      </c>
    </row>
    <row r="28" customFormat="false" ht="14.25" hidden="false" customHeight="true" outlineLevel="0" collapsed="false">
      <c r="A28" s="132" t="s">
        <v>444</v>
      </c>
    </row>
    <row r="29" customFormat="false" ht="26.25" hidden="false" customHeight="true" outlineLevel="0" collapsed="false">
      <c r="C29" s="80" t="s">
        <v>366</v>
      </c>
      <c r="D29" s="80" t="s">
        <v>367</v>
      </c>
      <c r="E29" s="80" t="s">
        <v>368</v>
      </c>
    </row>
    <row r="30" customFormat="false" ht="14.25" hidden="false" customHeight="true" outlineLevel="0" collapsed="false">
      <c r="A30" s="0" t="s">
        <v>400</v>
      </c>
      <c r="C30" s="130" t="n">
        <v>209944</v>
      </c>
      <c r="D30" s="130" t="n">
        <v>195849</v>
      </c>
      <c r="F30" s="75" t="s">
        <v>401</v>
      </c>
    </row>
    <row r="31" customFormat="false" ht="14.25" hidden="false" customHeight="true" outlineLevel="0" collapsed="false">
      <c r="A31" s="0" t="s">
        <v>402</v>
      </c>
      <c r="B31" s="133" t="n">
        <v>0.35</v>
      </c>
      <c r="C31" s="134"/>
      <c r="D31" s="134"/>
    </row>
    <row r="32" customFormat="false" ht="14.25" hidden="false" customHeight="true" outlineLevel="0" collapsed="false">
      <c r="A32" s="0" t="s">
        <v>403</v>
      </c>
      <c r="E32" s="135" t="n">
        <f aca="false">-E23/(B31-1)</f>
        <v>3191.19230769231</v>
      </c>
    </row>
    <row r="33" customFormat="false" ht="14.25" hidden="false" customHeight="true" outlineLevel="0" collapsed="false">
      <c r="A33" s="85" t="s">
        <v>404</v>
      </c>
      <c r="E33" s="136" t="n">
        <f aca="false">IF(OR(D30="",D30="no KPI data"),"no KPI data",D30+E32)</f>
        <v>199040.192307692</v>
      </c>
    </row>
    <row r="34" customFormat="false" ht="42" hidden="false" customHeight="true" outlineLevel="0" collapsed="false">
      <c r="A34" s="137" t="s">
        <v>405</v>
      </c>
    </row>
    <row r="37" customFormat="false" ht="14.25" hidden="false" customHeight="true" outlineLevel="0" collapsed="false">
      <c r="A37" s="105" t="s">
        <v>406</v>
      </c>
    </row>
    <row r="38" customFormat="false" ht="33.75" hidden="false" customHeight="true" outlineLevel="0" collapsed="false">
      <c r="A38" s="88" t="s">
        <v>407</v>
      </c>
    </row>
    <row r="39" customFormat="false" ht="22.5" hidden="false" customHeight="true" outlineLevel="0" collapsed="false">
      <c r="A39" s="8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54"/>
    <col collapsed="false" customWidth="true" hidden="false" outlineLevel="0" max="2" min="2" style="0" width="13"/>
    <col collapsed="false" customWidth="true" hidden="false" outlineLevel="0" max="9" min="3" style="0" width="15"/>
    <col collapsed="false" customWidth="true" hidden="false" outlineLevel="0" max="10" min="10" style="0" width="8"/>
  </cols>
  <sheetData>
    <row r="1" customFormat="false" ht="15.75" hidden="false" customHeight="true" outlineLevel="0" collapsed="false">
      <c r="A1" s="74" t="s">
        <v>445</v>
      </c>
    </row>
    <row r="2" customFormat="false" ht="14.25" hidden="false" customHeight="true" outlineLevel="0" collapsed="false">
      <c r="A2" s="75" t="s">
        <v>361</v>
      </c>
    </row>
    <row r="3" customFormat="false" ht="14.25" hidden="false" customHeight="true" outlineLevel="0" collapsed="false">
      <c r="F3" s="85" t="s">
        <v>362</v>
      </c>
    </row>
    <row r="4" customFormat="false" ht="14.25" hidden="false" customHeight="true" outlineLevel="0" collapsed="false">
      <c r="F4" s="122" t="s">
        <v>363</v>
      </c>
    </row>
    <row r="5" customFormat="false" ht="14.25" hidden="false" customHeight="true" outlineLevel="0" collapsed="false">
      <c r="F5" s="123" t="s">
        <v>364</v>
      </c>
    </row>
    <row r="6" customFormat="false" ht="14.25" hidden="false" customHeight="true" outlineLevel="0" collapsed="false">
      <c r="I6" s="75"/>
      <c r="J6" s="124"/>
    </row>
    <row r="7" customFormat="false" ht="14.25" hidden="false" customHeight="true" outlineLevel="0" collapsed="false">
      <c r="A7" s="105" t="s">
        <v>446</v>
      </c>
    </row>
    <row r="8" customFormat="false" ht="26.25" hidden="false" customHeight="true" outlineLevel="0" collapsed="false">
      <c r="C8" s="80" t="s">
        <v>366</v>
      </c>
      <c r="D8" s="80" t="s">
        <v>367</v>
      </c>
      <c r="E8" s="80" t="s">
        <v>368</v>
      </c>
      <c r="F8" s="80" t="s">
        <v>369</v>
      </c>
      <c r="G8" s="80" t="s">
        <v>370</v>
      </c>
      <c r="H8" s="80" t="s">
        <v>371</v>
      </c>
      <c r="I8" s="80" t="s">
        <v>372</v>
      </c>
    </row>
    <row r="9" customFormat="false" ht="14.25" hidden="false" customHeight="true" outlineLevel="0" collapsed="false">
      <c r="A9" s="0" t="s">
        <v>447</v>
      </c>
      <c r="C9" s="125" t="n">
        <v>719</v>
      </c>
      <c r="D9" s="125" t="n">
        <v>697</v>
      </c>
      <c r="E9" s="125" t="n">
        <v>1066</v>
      </c>
      <c r="F9" s="125" t="n">
        <v>1422</v>
      </c>
      <c r="G9" s="125" t="n">
        <v>2003</v>
      </c>
      <c r="H9" s="125" t="n">
        <v>2841</v>
      </c>
      <c r="I9" s="125" t="n">
        <v>3756</v>
      </c>
    </row>
    <row r="10" customFormat="false" ht="14.25" hidden="false" customHeight="true" outlineLevel="0" collapsed="false">
      <c r="A10" s="0" t="s">
        <v>448</v>
      </c>
      <c r="C10" s="125" t="n">
        <v>36</v>
      </c>
      <c r="D10" s="125" t="n">
        <v>35</v>
      </c>
      <c r="E10" s="125" t="n">
        <v>34</v>
      </c>
      <c r="F10" s="125" t="n">
        <v>33</v>
      </c>
      <c r="G10" s="125" t="n">
        <v>32</v>
      </c>
      <c r="H10" s="125" t="n">
        <v>31</v>
      </c>
      <c r="I10" s="125" t="n">
        <v>30</v>
      </c>
    </row>
    <row r="11" customFormat="false" ht="14.25" hidden="false" customHeight="true" outlineLevel="0" collapsed="false">
      <c r="A11" s="0" t="s">
        <v>242</v>
      </c>
      <c r="C11" s="125" t="n">
        <v>0</v>
      </c>
      <c r="D11" s="125" t="n">
        <v>0</v>
      </c>
      <c r="E11" s="125" t="n">
        <v>0</v>
      </c>
      <c r="F11" s="125" t="n">
        <v>0</v>
      </c>
      <c r="G11" s="125" t="n">
        <v>0</v>
      </c>
      <c r="H11" s="125" t="n">
        <v>0</v>
      </c>
      <c r="I11" s="125" t="n">
        <v>0</v>
      </c>
    </row>
    <row r="12" customFormat="false" ht="14.25" hidden="false" customHeight="true" outlineLevel="0" collapsed="false">
      <c r="A12" s="0" t="s">
        <v>109</v>
      </c>
      <c r="C12" s="125" t="n">
        <v>12709</v>
      </c>
      <c r="D12" s="125" t="n">
        <v>13048</v>
      </c>
      <c r="E12" s="125" t="n">
        <v>13657</v>
      </c>
      <c r="F12" s="125" t="n">
        <v>14247</v>
      </c>
      <c r="G12" s="125" t="n">
        <v>14820</v>
      </c>
      <c r="H12" s="125" t="n">
        <v>15375</v>
      </c>
      <c r="I12" s="125" t="n">
        <v>15914</v>
      </c>
    </row>
    <row r="13" customFormat="false" ht="14.25" hidden="false" customHeight="true" outlineLevel="0" collapsed="false">
      <c r="A13" s="85" t="s">
        <v>373</v>
      </c>
      <c r="C13" s="87" t="n">
        <f aca="false">SUM(C9:C12)</f>
        <v>13464</v>
      </c>
      <c r="D13" s="87" t="n">
        <f aca="false">SUM(D9:D12)</f>
        <v>13780</v>
      </c>
      <c r="E13" s="87" t="n">
        <f aca="false">SUM(E9:E12)</f>
        <v>14757</v>
      </c>
      <c r="F13" s="87" t="n">
        <f aca="false">SUM(F9:F12)</f>
        <v>15702</v>
      </c>
      <c r="G13" s="87" t="n">
        <f aca="false">SUM(G9:G12)</f>
        <v>16855</v>
      </c>
      <c r="H13" s="87" t="n">
        <f aca="false">SUM(H9:H12)</f>
        <v>18247</v>
      </c>
      <c r="I13" s="87" t="n">
        <f aca="false">SUM(I9:I12)</f>
        <v>19700</v>
      </c>
    </row>
    <row r="14" customFormat="false" ht="14.25" hidden="false" customHeight="true" outlineLevel="0" collapsed="false">
      <c r="A14" s="75" t="s">
        <v>374</v>
      </c>
    </row>
    <row r="16" customFormat="false" ht="14.25" hidden="false" customHeight="true" outlineLevel="0" collapsed="false">
      <c r="A16" s="105" t="s">
        <v>449</v>
      </c>
      <c r="C16" s="126" t="s">
        <v>450</v>
      </c>
      <c r="D16" s="126" t="s">
        <v>378</v>
      </c>
      <c r="E16" s="126" t="s">
        <v>386</v>
      </c>
      <c r="F16" s="126" t="s">
        <v>387</v>
      </c>
      <c r="G16" s="126" t="s">
        <v>388</v>
      </c>
      <c r="H16" s="126" t="s">
        <v>389</v>
      </c>
    </row>
    <row r="17" customFormat="false" ht="14.25" hidden="false" customHeight="true" outlineLevel="0" collapsed="false">
      <c r="A17" s="0" t="s">
        <v>451</v>
      </c>
      <c r="C17" s="139" t="n">
        <f aca="false">Inputs!$B$5</f>
        <v>739</v>
      </c>
      <c r="D17" s="129" t="n">
        <f aca="false">C17*(1+Inputs!$B$9)</f>
        <v>775.95</v>
      </c>
      <c r="E17" s="129" t="n">
        <f aca="false">D17*(1+'Dashboard (2)'!$T$1)</f>
        <v>799.2285</v>
      </c>
      <c r="F17" s="129" t="n">
        <f aca="false">E17*(1+'Dashboard (2)'!$T$1)</f>
        <v>823.205355</v>
      </c>
      <c r="G17" s="129" t="n">
        <f aca="false">F17*(1+'Dashboard (2)'!$T$1)</f>
        <v>847.90151565</v>
      </c>
      <c r="H17" s="129" t="n">
        <f aca="false">G17*(1+'Dashboard (2)'!$T$1)</f>
        <v>873.3385611195</v>
      </c>
    </row>
    <row r="18" customFormat="false" ht="14.25" hidden="false" customHeight="true" outlineLevel="0" collapsed="false">
      <c r="A18" s="0" t="s">
        <v>452</v>
      </c>
      <c r="C18" s="139" t="n">
        <f aca="false">Inputs!$B$6</f>
        <v>887</v>
      </c>
      <c r="D18" s="129" t="n">
        <f aca="false">C18*(1+Inputs!$B$9)</f>
        <v>931.35</v>
      </c>
      <c r="E18" s="129" t="n">
        <f aca="false">D18*(1+'Dashboard (2)'!$T$1)</f>
        <v>959.2905</v>
      </c>
      <c r="F18" s="129" t="n">
        <f aca="false">E18*(1+'Dashboard (2)'!$T$1)</f>
        <v>988.069215</v>
      </c>
      <c r="G18" s="129" t="n">
        <f aca="false">F18*(1+'Dashboard (2)'!$T$1)</f>
        <v>1017.71129145</v>
      </c>
      <c r="H18" s="129" t="n">
        <f aca="false">G18*(1+'Dashboard (2)'!$T$1)</f>
        <v>1048.2426301935</v>
      </c>
    </row>
    <row r="19" customFormat="false" ht="14.25" hidden="false" customHeight="true" outlineLevel="0" collapsed="false">
      <c r="A19" s="0" t="s">
        <v>453</v>
      </c>
      <c r="C19" s="139" t="n">
        <f aca="false">Inputs!$B$7</f>
        <v>887</v>
      </c>
      <c r="D19" s="129" t="n">
        <f aca="false">C19*(1+Inputs!$B$9)</f>
        <v>931.35</v>
      </c>
      <c r="E19" s="129" t="n">
        <f aca="false">D19*(1+'Dashboard (2)'!$T$1)</f>
        <v>959.2905</v>
      </c>
      <c r="F19" s="129" t="n">
        <f aca="false">E19*(1+'Dashboard (2)'!$T$1)</f>
        <v>988.069215</v>
      </c>
      <c r="G19" s="129" t="n">
        <f aca="false">F19*(1+'Dashboard (2)'!$T$1)</f>
        <v>1017.71129145</v>
      </c>
      <c r="H19" s="129" t="n">
        <f aca="false">G19*(1+'Dashboard (2)'!$T$1)</f>
        <v>1048.2426301935</v>
      </c>
    </row>
    <row r="20" customFormat="false" ht="14.25" hidden="false" customHeight="true" outlineLevel="0" collapsed="false">
      <c r="A20" s="0" t="s">
        <v>454</v>
      </c>
      <c r="C20" s="140" t="n">
        <f aca="false">Inputs!$B$4</f>
        <v>250</v>
      </c>
      <c r="D20" s="129" t="n">
        <f aca="false">C20*(1+Inputs!$B$9)</f>
        <v>262.5</v>
      </c>
      <c r="E20" s="129" t="n">
        <f aca="false">D20*(1+'Dashboard (2)'!$T$1)</f>
        <v>270.375</v>
      </c>
      <c r="F20" s="129" t="n">
        <f aca="false">E20*(1+'Dashboard (2)'!$T$1)</f>
        <v>278.48625</v>
      </c>
      <c r="G20" s="129" t="n">
        <f aca="false">F20*(1+'Dashboard (2)'!$T$1)</f>
        <v>286.8408375</v>
      </c>
      <c r="H20" s="129" t="n">
        <f aca="false">G20*(1+'Dashboard (2)'!$T$1)</f>
        <v>295.446062625</v>
      </c>
    </row>
    <row r="21" customFormat="false" ht="14.25" hidden="false" customHeight="true" outlineLevel="0" collapsed="false">
      <c r="A21" s="75" t="s">
        <v>455</v>
      </c>
    </row>
    <row r="23" customFormat="false" ht="14.25" hidden="false" customHeight="true" outlineLevel="0" collapsed="false">
      <c r="A23" s="105" t="s">
        <v>456</v>
      </c>
    </row>
    <row r="24" customFormat="false" ht="26.25" hidden="false" customHeight="true" outlineLevel="0" collapsed="false">
      <c r="C24" s="80" t="s">
        <v>366</v>
      </c>
      <c r="D24" s="80" t="s">
        <v>367</v>
      </c>
      <c r="E24" s="80" t="s">
        <v>368</v>
      </c>
      <c r="F24" s="80" t="s">
        <v>386</v>
      </c>
      <c r="G24" s="80" t="s">
        <v>387</v>
      </c>
      <c r="H24" s="80" t="s">
        <v>388</v>
      </c>
      <c r="I24" s="80" t="s">
        <v>389</v>
      </c>
    </row>
    <row r="25" customFormat="false" ht="14.25" hidden="false" customHeight="true" outlineLevel="0" collapsed="false">
      <c r="A25" s="0" t="s">
        <v>390</v>
      </c>
      <c r="C25" s="61" t="n">
        <f aca="false">C9*$C$17+C10*$C$18+C11*$C$19+C12*$C$20</f>
        <v>3740523</v>
      </c>
      <c r="D25" s="61" t="n">
        <f aca="false">D9*$C$17+D10*$C$18+D11*$C$19+D12*$C$20</f>
        <v>3808128</v>
      </c>
      <c r="E25" s="61" t="n">
        <f aca="false">E9*$D$17+E10*$D$18+E11*$D$19+E12*$D$20</f>
        <v>4443791.1</v>
      </c>
      <c r="F25" s="61" t="n">
        <f aca="false">F9*E17+F10*E18+F11*E19+F12*E20</f>
        <v>5020192.1385</v>
      </c>
      <c r="G25" s="61" t="n">
        <f aca="false">G9*F17+G10*F18+G11*F19+G12*F20</f>
        <v>5807664.765945</v>
      </c>
      <c r="H25" s="61" t="n">
        <f aca="false">H9*G17+H10*G18+H11*G19+H12*G20</f>
        <v>6850615.1325591</v>
      </c>
      <c r="I25" s="61" t="n">
        <f aca="false">I9*H17+I10*H18+I11*H19+I12*H20</f>
        <v>8013435.5550849</v>
      </c>
    </row>
    <row r="26" customFormat="false" ht="14.25" hidden="false" customHeight="true" outlineLevel="0" collapsed="false">
      <c r="A26" s="0" t="s">
        <v>391</v>
      </c>
      <c r="C26" s="130" t="n">
        <v>2589331.92</v>
      </c>
      <c r="D26" s="130" t="n">
        <v>2641885.14</v>
      </c>
      <c r="E26" s="130" t="n">
        <v>2913662.84</v>
      </c>
      <c r="F26" s="75"/>
    </row>
    <row r="27" customFormat="false" ht="14.25" hidden="false" customHeight="true" outlineLevel="0" collapsed="false">
      <c r="A27" s="0" t="s">
        <v>392</v>
      </c>
      <c r="C27" s="103" t="n">
        <f aca="false">C26/C25</f>
        <v>0.692237935711129</v>
      </c>
      <c r="D27" s="103" t="n">
        <f aca="false">D26/D25</f>
        <v>0.693749038897852</v>
      </c>
      <c r="E27" s="103" t="n">
        <f aca="false">E26/E25</f>
        <v>0.655670524206235</v>
      </c>
    </row>
    <row r="28" customFormat="false" ht="14.25" hidden="false" customHeight="true" outlineLevel="0" collapsed="false">
      <c r="A28" s="0" t="s">
        <v>393</v>
      </c>
      <c r="C28" s="131" t="n">
        <v>0</v>
      </c>
      <c r="D28" s="131" t="n">
        <v>0</v>
      </c>
      <c r="E28" s="131" t="n">
        <f aca="false">MAX(0,MIN('Dashboard (2)'!$N$1,Inputs!$B$38-E27))</f>
        <v>0.018</v>
      </c>
    </row>
    <row r="29" customFormat="false" ht="14.25" hidden="false" customHeight="true" outlineLevel="0" collapsed="false">
      <c r="A29" s="0" t="s">
        <v>394</v>
      </c>
      <c r="C29" s="61" t="n">
        <f aca="false">C25*C28</f>
        <v>0</v>
      </c>
      <c r="D29" s="61" t="n">
        <f aca="false">D25*D28</f>
        <v>0</v>
      </c>
      <c r="E29" s="104" t="n">
        <f aca="false">E25*E28</f>
        <v>79988.2398</v>
      </c>
    </row>
    <row r="30" customFormat="false" ht="14.25" hidden="false" customHeight="true" outlineLevel="0" collapsed="false">
      <c r="A30" s="85" t="s">
        <v>395</v>
      </c>
      <c r="C30" s="87" t="n">
        <f aca="false">C26+C29</f>
        <v>2589331.92</v>
      </c>
      <c r="D30" s="87" t="n">
        <f aca="false">D26+D29</f>
        <v>2641885.14</v>
      </c>
      <c r="E30" s="96" t="n">
        <f aca="false">E26+E29</f>
        <v>2993651.0798</v>
      </c>
    </row>
    <row r="31" customFormat="false" ht="14.25" hidden="false" customHeight="true" outlineLevel="0" collapsed="false">
      <c r="A31" s="0" t="s">
        <v>396</v>
      </c>
      <c r="C31" s="56" t="n">
        <f aca="false">C30/C25</f>
        <v>0.692237935711129</v>
      </c>
      <c r="D31" s="56" t="n">
        <f aca="false">D30/D25</f>
        <v>0.693749038897852</v>
      </c>
      <c r="E31" s="56" t="n">
        <f aca="false">E30/E25</f>
        <v>0.673670524206235</v>
      </c>
    </row>
    <row r="32" customFormat="false" ht="14.25" hidden="false" customHeight="true" outlineLevel="0" collapsed="false">
      <c r="A32" s="75" t="s">
        <v>397</v>
      </c>
    </row>
    <row r="33" customFormat="false" ht="14.25" hidden="false" customHeight="false" outlineLevel="0" collapsed="false">
      <c r="A33" s="6" t="s">
        <v>457</v>
      </c>
    </row>
    <row r="34" customFormat="false" ht="14.25" hidden="false" customHeight="true" outlineLevel="0" collapsed="false">
      <c r="A34" s="132" t="s">
        <v>458</v>
      </c>
    </row>
    <row r="35" customFormat="false" ht="26.25" hidden="false" customHeight="true" outlineLevel="0" collapsed="false">
      <c r="C35" s="80" t="s">
        <v>366</v>
      </c>
      <c r="D35" s="80" t="s">
        <v>367</v>
      </c>
      <c r="E35" s="80" t="s">
        <v>368</v>
      </c>
    </row>
    <row r="36" customFormat="false" ht="14.25" hidden="false" customHeight="true" outlineLevel="0" collapsed="false">
      <c r="A36" s="0" t="s">
        <v>400</v>
      </c>
      <c r="C36" s="130" t="n">
        <v>4475521</v>
      </c>
      <c r="D36" s="130"/>
      <c r="F36" s="138" t="s">
        <v>459</v>
      </c>
    </row>
    <row r="37" customFormat="false" ht="14.25" hidden="false" customHeight="true" outlineLevel="0" collapsed="false">
      <c r="A37" s="0" t="s">
        <v>402</v>
      </c>
      <c r="B37" s="133" t="n">
        <v>0.35</v>
      </c>
      <c r="C37" s="134"/>
      <c r="D37" s="134"/>
    </row>
    <row r="38" customFormat="false" ht="14.25" hidden="false" customHeight="true" outlineLevel="0" collapsed="false">
      <c r="A38" s="0" t="s">
        <v>403</v>
      </c>
      <c r="E38" s="135" t="n">
        <f aca="false">-E29/(B37-1)</f>
        <v>123058.830461538</v>
      </c>
    </row>
    <row r="39" customFormat="false" ht="14.25" hidden="false" customHeight="true" outlineLevel="0" collapsed="false">
      <c r="A39" s="85" t="s">
        <v>404</v>
      </c>
      <c r="E39" s="136" t="str">
        <f aca="false">IF(OR(D36="",D36="no KPI data"),"no KPI data",D36+E38)</f>
        <v>no KPI data</v>
      </c>
    </row>
    <row r="40" customFormat="false" ht="42" hidden="false" customHeight="true" outlineLevel="0" collapsed="false">
      <c r="A40" s="137" t="s">
        <v>405</v>
      </c>
    </row>
    <row r="43" customFormat="false" ht="14.25" hidden="false" customHeight="true" outlineLevel="0" collapsed="false">
      <c r="A43" s="105" t="s">
        <v>406</v>
      </c>
    </row>
    <row r="44" customFormat="false" ht="22.5" hidden="false" customHeight="true" outlineLevel="0" collapsed="false">
      <c r="A44" s="88" t="s">
        <v>460</v>
      </c>
    </row>
    <row r="45" customFormat="false" ht="33.75" hidden="false" customHeight="true" outlineLevel="0" collapsed="false">
      <c r="A45" s="8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54"/>
    <col collapsed="false" customWidth="true" hidden="false" outlineLevel="0" max="2" min="2" style="0" width="13"/>
    <col collapsed="false" customWidth="true" hidden="false" outlineLevel="0" max="9" min="3" style="0" width="15"/>
    <col collapsed="false" customWidth="true" hidden="false" outlineLevel="0" max="10" min="10" style="0" width="8"/>
  </cols>
  <sheetData>
    <row r="1" customFormat="false" ht="15.75" hidden="false" customHeight="true" outlineLevel="0" collapsed="false">
      <c r="A1" s="74" t="s">
        <v>461</v>
      </c>
    </row>
    <row r="2" customFormat="false" ht="14.25" hidden="false" customHeight="true" outlineLevel="0" collapsed="false">
      <c r="A2" s="75" t="s">
        <v>361</v>
      </c>
    </row>
    <row r="3" customFormat="false" ht="14.25" hidden="false" customHeight="true" outlineLevel="0" collapsed="false">
      <c r="F3" s="85" t="s">
        <v>362</v>
      </c>
    </row>
    <row r="4" customFormat="false" ht="14.25" hidden="false" customHeight="true" outlineLevel="0" collapsed="false">
      <c r="F4" s="122" t="s">
        <v>363</v>
      </c>
    </row>
    <row r="5" customFormat="false" ht="14.25" hidden="false" customHeight="true" outlineLevel="0" collapsed="false">
      <c r="F5" s="123" t="s">
        <v>364</v>
      </c>
    </row>
    <row r="6" customFormat="false" ht="14.25" hidden="false" customHeight="true" outlineLevel="0" collapsed="false">
      <c r="I6" s="75"/>
      <c r="J6" s="124"/>
    </row>
    <row r="7" customFormat="false" ht="14.25" hidden="false" customHeight="true" outlineLevel="0" collapsed="false">
      <c r="A7" s="105" t="s">
        <v>462</v>
      </c>
    </row>
    <row r="8" customFormat="false" ht="26.25" hidden="false" customHeight="true" outlineLevel="0" collapsed="false">
      <c r="C8" s="80" t="s">
        <v>366</v>
      </c>
      <c r="D8" s="80" t="s">
        <v>367</v>
      </c>
      <c r="E8" s="80" t="s">
        <v>368</v>
      </c>
      <c r="F8" s="80" t="s">
        <v>369</v>
      </c>
      <c r="G8" s="80" t="s">
        <v>370</v>
      </c>
      <c r="H8" s="80" t="s">
        <v>371</v>
      </c>
      <c r="I8" s="80" t="s">
        <v>372</v>
      </c>
    </row>
    <row r="9" customFormat="false" ht="14.25" hidden="false" customHeight="true" outlineLevel="0" collapsed="false">
      <c r="A9" s="0" t="s">
        <v>447</v>
      </c>
      <c r="C9" s="125" t="n">
        <v>123</v>
      </c>
      <c r="D9" s="125" t="n">
        <v>113</v>
      </c>
      <c r="E9" s="125" t="n">
        <v>145</v>
      </c>
      <c r="F9" s="125" t="n">
        <v>176</v>
      </c>
      <c r="G9" s="125" t="n">
        <v>206</v>
      </c>
      <c r="H9" s="125" t="n">
        <v>235</v>
      </c>
      <c r="I9" s="125" t="n">
        <v>263</v>
      </c>
    </row>
    <row r="10" customFormat="false" ht="14.25" hidden="false" customHeight="true" outlineLevel="0" collapsed="false">
      <c r="A10" s="0" t="s">
        <v>448</v>
      </c>
      <c r="C10" s="125" t="n">
        <v>0</v>
      </c>
      <c r="D10" s="125" t="n">
        <v>0</v>
      </c>
      <c r="E10" s="125" t="n">
        <v>0</v>
      </c>
      <c r="F10" s="125" t="n">
        <v>0</v>
      </c>
      <c r="G10" s="125" t="n">
        <v>0</v>
      </c>
      <c r="H10" s="125" t="n">
        <v>0</v>
      </c>
      <c r="I10" s="125" t="n">
        <v>0</v>
      </c>
    </row>
    <row r="11" customFormat="false" ht="14.25" hidden="false" customHeight="true" outlineLevel="0" collapsed="false">
      <c r="A11" s="0" t="s">
        <v>242</v>
      </c>
      <c r="C11" s="125" t="n">
        <v>0</v>
      </c>
      <c r="D11" s="125" t="n">
        <v>0</v>
      </c>
      <c r="E11" s="125" t="n">
        <v>0</v>
      </c>
      <c r="F11" s="125" t="n">
        <v>0</v>
      </c>
      <c r="G11" s="125" t="n">
        <v>0</v>
      </c>
      <c r="H11" s="125" t="n">
        <v>0</v>
      </c>
      <c r="I11" s="125" t="n">
        <v>0</v>
      </c>
    </row>
    <row r="12" customFormat="false" ht="14.25" hidden="false" customHeight="true" outlineLevel="0" collapsed="false">
      <c r="A12" s="0" t="s">
        <v>109</v>
      </c>
      <c r="C12" s="125" t="n">
        <v>9160</v>
      </c>
      <c r="D12" s="125" t="n">
        <v>9452</v>
      </c>
      <c r="E12" s="125" t="n">
        <v>10008</v>
      </c>
      <c r="F12" s="125" t="n">
        <v>10548</v>
      </c>
      <c r="G12" s="125" t="n">
        <v>11072</v>
      </c>
      <c r="H12" s="125" t="n">
        <v>11580</v>
      </c>
      <c r="I12" s="125" t="n">
        <v>12073</v>
      </c>
    </row>
    <row r="13" customFormat="false" ht="14.25" hidden="false" customHeight="true" outlineLevel="0" collapsed="false">
      <c r="A13" s="85" t="s">
        <v>373</v>
      </c>
      <c r="C13" s="87" t="n">
        <f aca="false">SUM(C9:C12)</f>
        <v>9283</v>
      </c>
      <c r="D13" s="87" t="n">
        <f aca="false">SUM(D9:D12)</f>
        <v>9565</v>
      </c>
      <c r="E13" s="87" t="n">
        <f aca="false">SUM(E9:E12)</f>
        <v>10153</v>
      </c>
      <c r="F13" s="87" t="n">
        <f aca="false">SUM(F9:F12)</f>
        <v>10724</v>
      </c>
      <c r="G13" s="87" t="n">
        <f aca="false">SUM(G9:G12)</f>
        <v>11278</v>
      </c>
      <c r="H13" s="87" t="n">
        <f aca="false">SUM(H9:H12)</f>
        <v>11815</v>
      </c>
      <c r="I13" s="87" t="n">
        <f aca="false">SUM(I9:I12)</f>
        <v>12336</v>
      </c>
    </row>
    <row r="14" customFormat="false" ht="14.25" hidden="false" customHeight="true" outlineLevel="0" collapsed="false">
      <c r="A14" s="75" t="s">
        <v>374</v>
      </c>
    </row>
    <row r="16" customFormat="false" ht="14.25" hidden="false" customHeight="true" outlineLevel="0" collapsed="false">
      <c r="A16" s="105" t="s">
        <v>449</v>
      </c>
      <c r="C16" s="126" t="s">
        <v>450</v>
      </c>
      <c r="D16" s="126" t="s">
        <v>378</v>
      </c>
      <c r="E16" s="126" t="s">
        <v>386</v>
      </c>
      <c r="F16" s="126" t="s">
        <v>387</v>
      </c>
      <c r="G16" s="126" t="s">
        <v>388</v>
      </c>
      <c r="H16" s="126" t="s">
        <v>389</v>
      </c>
    </row>
    <row r="17" customFormat="false" ht="14.25" hidden="false" customHeight="true" outlineLevel="0" collapsed="false">
      <c r="A17" s="0" t="s">
        <v>451</v>
      </c>
      <c r="C17" s="139" t="n">
        <f aca="false">Inputs!$B$5</f>
        <v>739</v>
      </c>
      <c r="D17" s="129" t="n">
        <f aca="false">C17*(1+Inputs!$B$9)</f>
        <v>775.95</v>
      </c>
      <c r="E17" s="129" t="n">
        <f aca="false">D17*(1+'Dashboard (2)'!$T$1)</f>
        <v>799.2285</v>
      </c>
      <c r="F17" s="129" t="n">
        <f aca="false">E17*(1+'Dashboard (2)'!$T$1)</f>
        <v>823.205355</v>
      </c>
      <c r="G17" s="129" t="n">
        <f aca="false">F17*(1+'Dashboard (2)'!$T$1)</f>
        <v>847.90151565</v>
      </c>
      <c r="H17" s="129" t="n">
        <f aca="false">G17*(1+'Dashboard (2)'!$T$1)</f>
        <v>873.3385611195</v>
      </c>
    </row>
    <row r="18" customFormat="false" ht="14.25" hidden="false" customHeight="true" outlineLevel="0" collapsed="false">
      <c r="A18" s="0" t="s">
        <v>452</v>
      </c>
      <c r="C18" s="139" t="n">
        <f aca="false">Inputs!$B$6</f>
        <v>887</v>
      </c>
      <c r="D18" s="129" t="n">
        <f aca="false">C18*(1+Inputs!$B$9)</f>
        <v>931.35</v>
      </c>
      <c r="E18" s="129" t="n">
        <f aca="false">D18*(1+'Dashboard (2)'!$T$1)</f>
        <v>959.2905</v>
      </c>
      <c r="F18" s="129" t="n">
        <f aca="false">E18*(1+'Dashboard (2)'!$T$1)</f>
        <v>988.069215</v>
      </c>
      <c r="G18" s="129" t="n">
        <f aca="false">F18*(1+'Dashboard (2)'!$T$1)</f>
        <v>1017.71129145</v>
      </c>
      <c r="H18" s="129" t="n">
        <f aca="false">G18*(1+'Dashboard (2)'!$T$1)</f>
        <v>1048.2426301935</v>
      </c>
    </row>
    <row r="19" customFormat="false" ht="14.25" hidden="false" customHeight="true" outlineLevel="0" collapsed="false">
      <c r="A19" s="0" t="s">
        <v>453</v>
      </c>
      <c r="C19" s="139" t="n">
        <f aca="false">Inputs!$B$7</f>
        <v>887</v>
      </c>
      <c r="D19" s="129" t="n">
        <f aca="false">C19*(1+Inputs!$B$9)</f>
        <v>931.35</v>
      </c>
      <c r="E19" s="129" t="n">
        <f aca="false">D19*(1+'Dashboard (2)'!$T$1)</f>
        <v>959.2905</v>
      </c>
      <c r="F19" s="129" t="n">
        <f aca="false">E19*(1+'Dashboard (2)'!$T$1)</f>
        <v>988.069215</v>
      </c>
      <c r="G19" s="129" t="n">
        <f aca="false">F19*(1+'Dashboard (2)'!$T$1)</f>
        <v>1017.71129145</v>
      </c>
      <c r="H19" s="129" t="n">
        <f aca="false">G19*(1+'Dashboard (2)'!$T$1)</f>
        <v>1048.2426301935</v>
      </c>
    </row>
    <row r="20" customFormat="false" ht="14.25" hidden="false" customHeight="true" outlineLevel="0" collapsed="false">
      <c r="A20" s="0" t="s">
        <v>454</v>
      </c>
      <c r="C20" s="140" t="n">
        <f aca="false">Inputs!$B$4</f>
        <v>250</v>
      </c>
      <c r="D20" s="129" t="n">
        <f aca="false">C20*(1+Inputs!$B$9)</f>
        <v>262.5</v>
      </c>
      <c r="E20" s="129" t="n">
        <f aca="false">D20*(1+'Dashboard (2)'!$T$1)</f>
        <v>270.375</v>
      </c>
      <c r="F20" s="129" t="n">
        <f aca="false">E20*(1+'Dashboard (2)'!$T$1)</f>
        <v>278.48625</v>
      </c>
      <c r="G20" s="129" t="n">
        <f aca="false">F20*(1+'Dashboard (2)'!$T$1)</f>
        <v>286.8408375</v>
      </c>
      <c r="H20" s="129" t="n">
        <f aca="false">G20*(1+'Dashboard (2)'!$T$1)</f>
        <v>295.446062625</v>
      </c>
    </row>
    <row r="21" customFormat="false" ht="14.25" hidden="false" customHeight="true" outlineLevel="0" collapsed="false">
      <c r="A21" s="75" t="s">
        <v>455</v>
      </c>
    </row>
    <row r="23" customFormat="false" ht="14.25" hidden="false" customHeight="true" outlineLevel="0" collapsed="false">
      <c r="A23" s="105" t="s">
        <v>463</v>
      </c>
    </row>
    <row r="24" customFormat="false" ht="26.25" hidden="false" customHeight="true" outlineLevel="0" collapsed="false">
      <c r="C24" s="80" t="s">
        <v>366</v>
      </c>
      <c r="D24" s="80" t="s">
        <v>367</v>
      </c>
      <c r="E24" s="80" t="s">
        <v>368</v>
      </c>
      <c r="F24" s="80" t="s">
        <v>386</v>
      </c>
      <c r="G24" s="80" t="s">
        <v>387</v>
      </c>
      <c r="H24" s="80" t="s">
        <v>388</v>
      </c>
      <c r="I24" s="80" t="s">
        <v>389</v>
      </c>
    </row>
    <row r="25" customFormat="false" ht="14.25" hidden="false" customHeight="true" outlineLevel="0" collapsed="false">
      <c r="A25" s="0" t="s">
        <v>390</v>
      </c>
      <c r="C25" s="61" t="n">
        <f aca="false">C9*$C$17+C10*$C$18+C11*$C$19+C12*$C$20</f>
        <v>2380897</v>
      </c>
      <c r="D25" s="61" t="n">
        <f aca="false">D9*$C$17+D10*$C$18+D11*$C$19+D12*$C$20</f>
        <v>2446507</v>
      </c>
      <c r="E25" s="61" t="n">
        <f aca="false">E9*$D$17+E10*$D$18+E11*$D$19+E12*$D$20</f>
        <v>2739612.75</v>
      </c>
      <c r="F25" s="61" t="n">
        <f aca="false">F9*E17+F10*E18+F11*E19+F12*E20</f>
        <v>2992579.716</v>
      </c>
      <c r="G25" s="61" t="n">
        <f aca="false">G9*F17+G10*F18+G11*F19+G12*F20</f>
        <v>3252980.06313</v>
      </c>
      <c r="H25" s="61" t="n">
        <f aca="false">H9*G17+H10*G18+H11*G19+H12*G20</f>
        <v>3520873.75442775</v>
      </c>
      <c r="I25" s="61" t="n">
        <f aca="false">I9*H17+I10*H18+I11*H19+I12*H20</f>
        <v>3796608.35564605</v>
      </c>
    </row>
    <row r="26" customFormat="false" ht="14.25" hidden="false" customHeight="true" outlineLevel="0" collapsed="false">
      <c r="A26" s="0" t="s">
        <v>391</v>
      </c>
      <c r="C26" s="130" t="n">
        <v>2229128.61</v>
      </c>
      <c r="D26" s="130" t="n">
        <v>2110127.66</v>
      </c>
      <c r="E26" s="130" t="n">
        <v>2296577.34</v>
      </c>
      <c r="F26" s="75"/>
    </row>
    <row r="27" customFormat="false" ht="14.25" hidden="false" customHeight="true" outlineLevel="0" collapsed="false">
      <c r="A27" s="0" t="s">
        <v>392</v>
      </c>
      <c r="C27" s="103" t="n">
        <f aca="false">C26/C25</f>
        <v>0.936255793509757</v>
      </c>
      <c r="D27" s="103" t="n">
        <f aca="false">D26/D25</f>
        <v>0.862506283448198</v>
      </c>
      <c r="E27" s="103" t="n">
        <f aca="false">E26/E25</f>
        <v>0.838285389057267</v>
      </c>
    </row>
    <row r="28" customFormat="false" ht="14.25" hidden="false" customHeight="true" outlineLevel="0" collapsed="false">
      <c r="A28" s="0" t="s">
        <v>393</v>
      </c>
      <c r="C28" s="131" t="n">
        <v>0</v>
      </c>
      <c r="D28" s="131" t="n">
        <v>0</v>
      </c>
      <c r="E28" s="131" t="n">
        <f aca="false">MAX(0,MIN('Dashboard (2)'!$N$1,Inputs!$B$38-E27))</f>
        <v>0.018</v>
      </c>
    </row>
    <row r="29" customFormat="false" ht="14.25" hidden="false" customHeight="true" outlineLevel="0" collapsed="false">
      <c r="A29" s="0" t="s">
        <v>394</v>
      </c>
      <c r="C29" s="61" t="n">
        <f aca="false">C25*C28</f>
        <v>0</v>
      </c>
      <c r="D29" s="61" t="n">
        <f aca="false">D25*D28</f>
        <v>0</v>
      </c>
      <c r="E29" s="104" t="n">
        <f aca="false">E25*E28</f>
        <v>49313.0295</v>
      </c>
    </row>
    <row r="30" customFormat="false" ht="14.25" hidden="false" customHeight="true" outlineLevel="0" collapsed="false">
      <c r="A30" s="85" t="s">
        <v>395</v>
      </c>
      <c r="C30" s="87" t="n">
        <f aca="false">C26+C29</f>
        <v>2229128.61</v>
      </c>
      <c r="D30" s="87" t="n">
        <f aca="false">D26+D29</f>
        <v>2110127.66</v>
      </c>
      <c r="E30" s="96" t="n">
        <f aca="false">E26+E29</f>
        <v>2345890.3695</v>
      </c>
    </row>
    <row r="31" customFormat="false" ht="14.25" hidden="false" customHeight="true" outlineLevel="0" collapsed="false">
      <c r="A31" s="0" t="s">
        <v>396</v>
      </c>
      <c r="C31" s="56" t="n">
        <f aca="false">C30/C25</f>
        <v>0.936255793509757</v>
      </c>
      <c r="D31" s="56" t="n">
        <f aca="false">D30/D25</f>
        <v>0.862506283448198</v>
      </c>
      <c r="E31" s="56" t="n">
        <f aca="false">E30/E25</f>
        <v>0.856285389057267</v>
      </c>
    </row>
    <row r="32" customFormat="false" ht="14.25" hidden="false" customHeight="true" outlineLevel="0" collapsed="false">
      <c r="A32" s="75" t="s">
        <v>397</v>
      </c>
    </row>
    <row r="33" customFormat="false" ht="14.25" hidden="false" customHeight="false" outlineLevel="0" collapsed="false">
      <c r="A33" s="6" t="s">
        <v>457</v>
      </c>
    </row>
    <row r="34" customFormat="false" ht="14.25" hidden="false" customHeight="true" outlineLevel="0" collapsed="false">
      <c r="A34" s="132" t="s">
        <v>464</v>
      </c>
    </row>
    <row r="35" customFormat="false" ht="26.25" hidden="false" customHeight="true" outlineLevel="0" collapsed="false">
      <c r="C35" s="80" t="s">
        <v>366</v>
      </c>
      <c r="D35" s="80" t="s">
        <v>367</v>
      </c>
      <c r="E35" s="80" t="s">
        <v>368</v>
      </c>
    </row>
    <row r="36" customFormat="false" ht="14.25" hidden="false" customHeight="true" outlineLevel="0" collapsed="false">
      <c r="A36" s="0" t="s">
        <v>400</v>
      </c>
      <c r="C36" s="130" t="n">
        <v>4056302</v>
      </c>
      <c r="D36" s="130" t="n">
        <v>6834272</v>
      </c>
      <c r="F36" s="138" t="s">
        <v>465</v>
      </c>
    </row>
    <row r="37" customFormat="false" ht="14.25" hidden="false" customHeight="true" outlineLevel="0" collapsed="false">
      <c r="A37" s="0" t="s">
        <v>402</v>
      </c>
      <c r="B37" s="133" t="n">
        <v>0.35</v>
      </c>
      <c r="C37" s="134"/>
      <c r="D37" s="134"/>
    </row>
    <row r="38" customFormat="false" ht="14.25" hidden="false" customHeight="true" outlineLevel="0" collapsed="false">
      <c r="A38" s="0" t="s">
        <v>403</v>
      </c>
      <c r="E38" s="135" t="n">
        <f aca="false">-E29/(B37-1)</f>
        <v>75866.1992307692</v>
      </c>
    </row>
    <row r="39" customFormat="false" ht="14.25" hidden="false" customHeight="true" outlineLevel="0" collapsed="false">
      <c r="A39" s="85" t="s">
        <v>404</v>
      </c>
      <c r="E39" s="136" t="n">
        <f aca="false">IF(OR(D36="",D36="no KPI data"),"no KPI data",D36+E38)</f>
        <v>6910138.19923077</v>
      </c>
    </row>
    <row r="40" customFormat="false" ht="42" hidden="false" customHeight="true" outlineLevel="0" collapsed="false">
      <c r="A40" s="137" t="s">
        <v>405</v>
      </c>
    </row>
    <row r="43" customFormat="false" ht="14.25" hidden="false" customHeight="true" outlineLevel="0" collapsed="false">
      <c r="A43" s="105" t="s">
        <v>406</v>
      </c>
    </row>
    <row r="44" customFormat="false" ht="22.5" hidden="false" customHeight="true" outlineLevel="0" collapsed="false">
      <c r="A44" s="88" t="s">
        <v>460</v>
      </c>
    </row>
    <row r="45" customFormat="false" ht="45" hidden="false" customHeight="true" outlineLevel="0" collapsed="false">
      <c r="A45" s="88" t="s">
        <v>466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54"/>
    <col collapsed="false" customWidth="true" hidden="false" outlineLevel="0" max="2" min="2" style="0" width="13"/>
    <col collapsed="false" customWidth="true" hidden="false" outlineLevel="0" max="9" min="3" style="0" width="15"/>
    <col collapsed="false" customWidth="true" hidden="false" outlineLevel="0" max="10" min="10" style="0" width="8"/>
  </cols>
  <sheetData>
    <row r="1" customFormat="false" ht="15.75" hidden="false" customHeight="true" outlineLevel="0" collapsed="false">
      <c r="A1" s="74" t="s">
        <v>467</v>
      </c>
    </row>
    <row r="2" customFormat="false" ht="14.25" hidden="false" customHeight="true" outlineLevel="0" collapsed="false">
      <c r="A2" s="75" t="s">
        <v>361</v>
      </c>
    </row>
    <row r="3" customFormat="false" ht="14.25" hidden="false" customHeight="true" outlineLevel="0" collapsed="false">
      <c r="F3" s="85" t="s">
        <v>362</v>
      </c>
    </row>
    <row r="4" customFormat="false" ht="14.25" hidden="false" customHeight="true" outlineLevel="0" collapsed="false">
      <c r="F4" s="122" t="s">
        <v>363</v>
      </c>
    </row>
    <row r="5" customFormat="false" ht="14.25" hidden="false" customHeight="true" outlineLevel="0" collapsed="false">
      <c r="F5" s="123" t="s">
        <v>364</v>
      </c>
    </row>
    <row r="6" customFormat="false" ht="14.25" hidden="false" customHeight="true" outlineLevel="0" collapsed="false">
      <c r="I6" s="75"/>
      <c r="J6" s="124"/>
    </row>
    <row r="7" customFormat="false" ht="14.25" hidden="false" customHeight="true" outlineLevel="0" collapsed="false">
      <c r="A7" s="105" t="s">
        <v>468</v>
      </c>
    </row>
    <row r="8" customFormat="false" ht="26.25" hidden="false" customHeight="true" outlineLevel="0" collapsed="false">
      <c r="C8" s="80" t="s">
        <v>366</v>
      </c>
      <c r="D8" s="80" t="s">
        <v>367</v>
      </c>
      <c r="E8" s="80" t="s">
        <v>368</v>
      </c>
      <c r="F8" s="80" t="s">
        <v>369</v>
      </c>
      <c r="G8" s="80" t="s">
        <v>370</v>
      </c>
      <c r="H8" s="80" t="s">
        <v>371</v>
      </c>
      <c r="I8" s="80" t="s">
        <v>372</v>
      </c>
    </row>
    <row r="9" customFormat="false" ht="14.25" hidden="false" customHeight="true" outlineLevel="0" collapsed="false">
      <c r="A9" s="0" t="s">
        <v>447</v>
      </c>
      <c r="C9" s="125" t="n">
        <v>2239</v>
      </c>
      <c r="D9" s="125" t="n">
        <v>2206</v>
      </c>
      <c r="E9" s="125" t="n">
        <v>2596</v>
      </c>
      <c r="F9" s="125" t="n">
        <v>2974</v>
      </c>
      <c r="G9" s="125" t="n">
        <v>3341</v>
      </c>
      <c r="H9" s="125" t="n">
        <v>3697</v>
      </c>
      <c r="I9" s="125" t="n">
        <v>4042</v>
      </c>
    </row>
    <row r="10" customFormat="false" ht="14.25" hidden="false" customHeight="true" outlineLevel="0" collapsed="false">
      <c r="A10" s="0" t="s">
        <v>448</v>
      </c>
      <c r="C10" s="125" t="n">
        <v>0</v>
      </c>
      <c r="D10" s="125" t="n">
        <v>0</v>
      </c>
      <c r="E10" s="125" t="n">
        <v>96</v>
      </c>
      <c r="F10" s="125" t="n">
        <v>201</v>
      </c>
      <c r="G10" s="125" t="n">
        <v>303</v>
      </c>
      <c r="H10" s="125" t="n">
        <v>402</v>
      </c>
      <c r="I10" s="125" t="n">
        <v>498</v>
      </c>
    </row>
    <row r="11" customFormat="false" ht="14.25" hidden="false" customHeight="true" outlineLevel="0" collapsed="false">
      <c r="A11" s="0" t="s">
        <v>242</v>
      </c>
      <c r="C11" s="125" t="n">
        <v>254</v>
      </c>
      <c r="D11" s="125" t="n">
        <v>269</v>
      </c>
      <c r="E11" s="125" t="n">
        <v>261</v>
      </c>
      <c r="F11" s="125" t="n">
        <v>253</v>
      </c>
      <c r="G11" s="125" t="n">
        <v>245</v>
      </c>
      <c r="H11" s="125" t="n">
        <v>238</v>
      </c>
      <c r="I11" s="125" t="n">
        <v>231</v>
      </c>
    </row>
    <row r="12" customFormat="false" ht="14.25" hidden="false" customHeight="true" outlineLevel="0" collapsed="false">
      <c r="A12" s="0" t="s">
        <v>109</v>
      </c>
      <c r="C12" s="125" t="n">
        <v>4410</v>
      </c>
      <c r="D12" s="125" t="n">
        <v>4733</v>
      </c>
      <c r="E12" s="125" t="n">
        <v>5491</v>
      </c>
      <c r="F12" s="125" t="n">
        <v>6226</v>
      </c>
      <c r="G12" s="125" t="n">
        <v>6879</v>
      </c>
      <c r="H12" s="125" t="n">
        <v>7513</v>
      </c>
      <c r="I12" s="125" t="n">
        <v>8128</v>
      </c>
    </row>
    <row r="13" customFormat="false" ht="14.25" hidden="false" customHeight="true" outlineLevel="0" collapsed="false">
      <c r="A13" s="85" t="s">
        <v>373</v>
      </c>
      <c r="C13" s="87" t="n">
        <f aca="false">SUM(C9:C12)</f>
        <v>6903</v>
      </c>
      <c r="D13" s="87" t="n">
        <f aca="false">SUM(D9:D12)</f>
        <v>7208</v>
      </c>
      <c r="E13" s="87" t="n">
        <f aca="false">SUM(E9:E12)</f>
        <v>8444</v>
      </c>
      <c r="F13" s="87" t="n">
        <f aca="false">SUM(F9:F12)</f>
        <v>9654</v>
      </c>
      <c r="G13" s="87" t="n">
        <f aca="false">SUM(G9:G12)</f>
        <v>10768</v>
      </c>
      <c r="H13" s="87" t="n">
        <f aca="false">SUM(H9:H12)</f>
        <v>11850</v>
      </c>
      <c r="I13" s="87" t="n">
        <f aca="false">SUM(I9:I12)</f>
        <v>12899</v>
      </c>
    </row>
    <row r="14" customFormat="false" ht="14.25" hidden="false" customHeight="true" outlineLevel="0" collapsed="false">
      <c r="A14" s="75" t="s">
        <v>374</v>
      </c>
    </row>
    <row r="16" customFormat="false" ht="14.25" hidden="false" customHeight="true" outlineLevel="0" collapsed="false">
      <c r="A16" s="105" t="s">
        <v>449</v>
      </c>
      <c r="C16" s="126" t="s">
        <v>450</v>
      </c>
      <c r="D16" s="126" t="s">
        <v>378</v>
      </c>
      <c r="E16" s="126" t="s">
        <v>386</v>
      </c>
      <c r="F16" s="126" t="s">
        <v>387</v>
      </c>
      <c r="G16" s="126" t="s">
        <v>388</v>
      </c>
      <c r="H16" s="126" t="s">
        <v>389</v>
      </c>
    </row>
    <row r="17" customFormat="false" ht="14.25" hidden="false" customHeight="true" outlineLevel="0" collapsed="false">
      <c r="A17" s="0" t="s">
        <v>451</v>
      </c>
      <c r="C17" s="139" t="n">
        <f aca="false">Inputs!$B$5</f>
        <v>739</v>
      </c>
      <c r="D17" s="129" t="n">
        <f aca="false">C17*(1+Inputs!$B$9)</f>
        <v>775.95</v>
      </c>
      <c r="E17" s="129" t="n">
        <f aca="false">D17*(1+'Dashboard (2)'!$T$1)</f>
        <v>799.2285</v>
      </c>
      <c r="F17" s="129" t="n">
        <f aca="false">E17*(1+'Dashboard (2)'!$T$1)</f>
        <v>823.205355</v>
      </c>
      <c r="G17" s="129" t="n">
        <f aca="false">F17*(1+'Dashboard (2)'!$T$1)</f>
        <v>847.90151565</v>
      </c>
      <c r="H17" s="129" t="n">
        <f aca="false">G17*(1+'Dashboard (2)'!$T$1)</f>
        <v>873.3385611195</v>
      </c>
    </row>
    <row r="18" customFormat="false" ht="14.25" hidden="false" customHeight="true" outlineLevel="0" collapsed="false">
      <c r="A18" s="0" t="s">
        <v>452</v>
      </c>
      <c r="C18" s="139" t="n">
        <f aca="false">Inputs!$B$6</f>
        <v>887</v>
      </c>
      <c r="D18" s="129" t="n">
        <f aca="false">C18*(1+Inputs!$B$9)</f>
        <v>931.35</v>
      </c>
      <c r="E18" s="129" t="n">
        <f aca="false">D18*(1+'Dashboard (2)'!$T$1)</f>
        <v>959.2905</v>
      </c>
      <c r="F18" s="129" t="n">
        <f aca="false">E18*(1+'Dashboard (2)'!$T$1)</f>
        <v>988.069215</v>
      </c>
      <c r="G18" s="129" t="n">
        <f aca="false">F18*(1+'Dashboard (2)'!$T$1)</f>
        <v>1017.71129145</v>
      </c>
      <c r="H18" s="129" t="n">
        <f aca="false">G18*(1+'Dashboard (2)'!$T$1)</f>
        <v>1048.2426301935</v>
      </c>
    </row>
    <row r="19" customFormat="false" ht="14.25" hidden="false" customHeight="true" outlineLevel="0" collapsed="false">
      <c r="A19" s="0" t="s">
        <v>453</v>
      </c>
      <c r="C19" s="139" t="n">
        <f aca="false">Inputs!$B$7</f>
        <v>887</v>
      </c>
      <c r="D19" s="129" t="n">
        <f aca="false">C19*(1+Inputs!$B$9)</f>
        <v>931.35</v>
      </c>
      <c r="E19" s="129" t="n">
        <f aca="false">D19*(1+'Dashboard (2)'!$T$1)</f>
        <v>959.2905</v>
      </c>
      <c r="F19" s="129" t="n">
        <f aca="false">E19*(1+'Dashboard (2)'!$T$1)</f>
        <v>988.069215</v>
      </c>
      <c r="G19" s="129" t="n">
        <f aca="false">F19*(1+'Dashboard (2)'!$T$1)</f>
        <v>1017.71129145</v>
      </c>
      <c r="H19" s="129" t="n">
        <f aca="false">G19*(1+'Dashboard (2)'!$T$1)</f>
        <v>1048.2426301935</v>
      </c>
    </row>
    <row r="20" customFormat="false" ht="14.25" hidden="false" customHeight="true" outlineLevel="0" collapsed="false">
      <c r="A20" s="0" t="s">
        <v>454</v>
      </c>
      <c r="C20" s="140" t="n">
        <f aca="false">Inputs!$B$4</f>
        <v>250</v>
      </c>
      <c r="D20" s="129" t="n">
        <f aca="false">C20*(1+Inputs!$B$9)</f>
        <v>262.5</v>
      </c>
      <c r="E20" s="129" t="n">
        <f aca="false">D20*(1+'Dashboard (2)'!$T$1)</f>
        <v>270.375</v>
      </c>
      <c r="F20" s="129" t="n">
        <f aca="false">E20*(1+'Dashboard (2)'!$T$1)</f>
        <v>278.48625</v>
      </c>
      <c r="G20" s="129" t="n">
        <f aca="false">F20*(1+'Dashboard (2)'!$T$1)</f>
        <v>286.8408375</v>
      </c>
      <c r="H20" s="129" t="n">
        <f aca="false">G20*(1+'Dashboard (2)'!$T$1)</f>
        <v>295.446062625</v>
      </c>
    </row>
    <row r="21" customFormat="false" ht="14.25" hidden="false" customHeight="true" outlineLevel="0" collapsed="false">
      <c r="A21" s="75" t="s">
        <v>455</v>
      </c>
    </row>
    <row r="23" customFormat="false" ht="14.25" hidden="false" customHeight="true" outlineLevel="0" collapsed="false">
      <c r="A23" s="105" t="s">
        <v>469</v>
      </c>
    </row>
    <row r="24" customFormat="false" ht="26.25" hidden="false" customHeight="true" outlineLevel="0" collapsed="false">
      <c r="C24" s="80" t="s">
        <v>366</v>
      </c>
      <c r="D24" s="80" t="s">
        <v>367</v>
      </c>
      <c r="E24" s="80" t="s">
        <v>368</v>
      </c>
      <c r="F24" s="80" t="s">
        <v>386</v>
      </c>
      <c r="G24" s="80" t="s">
        <v>387</v>
      </c>
      <c r="H24" s="80" t="s">
        <v>388</v>
      </c>
      <c r="I24" s="80" t="s">
        <v>389</v>
      </c>
    </row>
    <row r="25" customFormat="false" ht="14.25" hidden="false" customHeight="true" outlineLevel="0" collapsed="false">
      <c r="A25" s="0" t="s">
        <v>390</v>
      </c>
      <c r="C25" s="61" t="n">
        <f aca="false">C9*$C$17+C10*$C$18+C11*$C$19+C12*$C$20</f>
        <v>2982419</v>
      </c>
      <c r="D25" s="61" t="n">
        <f aca="false">D9*$C$17+D10*$C$18+D11*$C$19+D12*$C$20</f>
        <v>3052087</v>
      </c>
      <c r="E25" s="61" t="n">
        <f aca="false">E9*$D$17+E10*$D$18+E11*$D$19+E12*$D$20</f>
        <v>3788245.65</v>
      </c>
      <c r="F25" s="61" t="n">
        <f aca="false">F9*E17+F10*E18+F11*E19+F12*E20</f>
        <v>4495778.196</v>
      </c>
      <c r="G25" s="61" t="n">
        <f aca="false">G9*F17+G10*F18+G11*F19+G12*F20</f>
        <v>5207497.934625</v>
      </c>
      <c r="H25" s="61" t="n">
        <f aca="false">H9*G17+H10*G18+H11*G19+H12*G20</f>
        <v>5941062.34202355</v>
      </c>
      <c r="I25" s="61" t="n">
        <f aca="false">I9*H17+I10*H18+I11*H19+I12*H20</f>
        <v>6695588.93847208</v>
      </c>
    </row>
    <row r="26" customFormat="false" ht="14.25" hidden="false" customHeight="true" outlineLevel="0" collapsed="false">
      <c r="A26" s="0" t="s">
        <v>391</v>
      </c>
      <c r="C26" s="130" t="n">
        <v>1544440.63</v>
      </c>
      <c r="D26" s="130" t="n">
        <v>1813146.85</v>
      </c>
      <c r="E26" s="130" t="n">
        <v>1858269.4</v>
      </c>
      <c r="F26" s="75"/>
    </row>
    <row r="27" customFormat="false" ht="14.25" hidden="false" customHeight="true" outlineLevel="0" collapsed="false">
      <c r="A27" s="0" t="s">
        <v>392</v>
      </c>
      <c r="C27" s="103" t="n">
        <f aca="false">C26/C25</f>
        <v>0.517848307028623</v>
      </c>
      <c r="D27" s="103" t="n">
        <f aca="false">D26/D25</f>
        <v>0.594067878798999</v>
      </c>
      <c r="E27" s="103" t="n">
        <f aca="false">E26/E25</f>
        <v>0.490535612441078</v>
      </c>
    </row>
    <row r="28" customFormat="false" ht="14.25" hidden="false" customHeight="true" outlineLevel="0" collapsed="false">
      <c r="A28" s="0" t="s">
        <v>393</v>
      </c>
      <c r="C28" s="131" t="n">
        <v>0</v>
      </c>
      <c r="D28" s="131" t="n">
        <v>0</v>
      </c>
      <c r="E28" s="131" t="n">
        <f aca="false">MAX(0,MIN('Dashboard (2)'!$N$1,Inputs!$B$38-E27))</f>
        <v>0.018</v>
      </c>
    </row>
    <row r="29" customFormat="false" ht="14.25" hidden="false" customHeight="true" outlineLevel="0" collapsed="false">
      <c r="A29" s="0" t="s">
        <v>394</v>
      </c>
      <c r="C29" s="61" t="n">
        <f aca="false">C25*C28</f>
        <v>0</v>
      </c>
      <c r="D29" s="61" t="n">
        <f aca="false">D25*D28</f>
        <v>0</v>
      </c>
      <c r="E29" s="104" t="n">
        <f aca="false">E25*E28</f>
        <v>68188.4217</v>
      </c>
    </row>
    <row r="30" customFormat="false" ht="14.25" hidden="false" customHeight="true" outlineLevel="0" collapsed="false">
      <c r="A30" s="85" t="s">
        <v>395</v>
      </c>
      <c r="C30" s="87" t="n">
        <f aca="false">C26+C29</f>
        <v>1544440.63</v>
      </c>
      <c r="D30" s="87" t="n">
        <f aca="false">D26+D29</f>
        <v>1813146.85</v>
      </c>
      <c r="E30" s="96" t="n">
        <f aca="false">E26+E29</f>
        <v>1926457.8217</v>
      </c>
    </row>
    <row r="31" customFormat="false" ht="14.25" hidden="false" customHeight="true" outlineLevel="0" collapsed="false">
      <c r="A31" s="0" t="s">
        <v>396</v>
      </c>
      <c r="C31" s="56" t="n">
        <f aca="false">C30/C25</f>
        <v>0.517848307028623</v>
      </c>
      <c r="D31" s="56" t="n">
        <f aca="false">D30/D25</f>
        <v>0.594067878798999</v>
      </c>
      <c r="E31" s="56" t="n">
        <f aca="false">E30/E25</f>
        <v>0.508535612441078</v>
      </c>
    </row>
    <row r="32" customFormat="false" ht="14.25" hidden="false" customHeight="true" outlineLevel="0" collapsed="false">
      <c r="A32" s="75" t="s">
        <v>397</v>
      </c>
    </row>
    <row r="33" customFormat="false" ht="14.25" hidden="false" customHeight="false" outlineLevel="0" collapsed="false">
      <c r="A33" s="6" t="s">
        <v>457</v>
      </c>
    </row>
    <row r="34" customFormat="false" ht="14.25" hidden="false" customHeight="true" outlineLevel="0" collapsed="false">
      <c r="A34" s="132" t="s">
        <v>470</v>
      </c>
    </row>
    <row r="35" customFormat="false" ht="26.25" hidden="false" customHeight="true" outlineLevel="0" collapsed="false">
      <c r="C35" s="80" t="s">
        <v>366</v>
      </c>
      <c r="D35" s="80" t="s">
        <v>367</v>
      </c>
      <c r="E35" s="80" t="s">
        <v>368</v>
      </c>
    </row>
    <row r="36" customFormat="false" ht="14.25" hidden="false" customHeight="true" outlineLevel="0" collapsed="false">
      <c r="A36" s="0" t="s">
        <v>400</v>
      </c>
      <c r="C36" s="130" t="n">
        <v>2229187</v>
      </c>
      <c r="D36" s="130" t="n">
        <v>4047903</v>
      </c>
      <c r="F36" s="138" t="s">
        <v>471</v>
      </c>
    </row>
    <row r="37" customFormat="false" ht="14.25" hidden="false" customHeight="true" outlineLevel="0" collapsed="false">
      <c r="A37" s="0" t="s">
        <v>402</v>
      </c>
      <c r="B37" s="133" t="n">
        <v>0.35</v>
      </c>
      <c r="C37" s="134"/>
      <c r="D37" s="134"/>
    </row>
    <row r="38" customFormat="false" ht="14.25" hidden="false" customHeight="true" outlineLevel="0" collapsed="false">
      <c r="A38" s="0" t="s">
        <v>403</v>
      </c>
      <c r="E38" s="135" t="n">
        <f aca="false">-E29/(B37-1)</f>
        <v>104905.264153846</v>
      </c>
    </row>
    <row r="39" customFormat="false" ht="14.25" hidden="false" customHeight="true" outlineLevel="0" collapsed="false">
      <c r="A39" s="85" t="s">
        <v>404</v>
      </c>
      <c r="E39" s="136" t="n">
        <f aca="false">IF(OR(D36="",D36="no KPI data"),"no KPI data",D36+E38)</f>
        <v>4152808.26415385</v>
      </c>
    </row>
    <row r="40" customFormat="false" ht="42" hidden="false" customHeight="true" outlineLevel="0" collapsed="false">
      <c r="A40" s="137" t="s">
        <v>405</v>
      </c>
    </row>
    <row r="43" customFormat="false" ht="14.25" hidden="false" customHeight="true" outlineLevel="0" collapsed="false">
      <c r="A43" s="105" t="s">
        <v>406</v>
      </c>
    </row>
    <row r="44" customFormat="false" ht="22.5" hidden="false" customHeight="true" outlineLevel="0" collapsed="false">
      <c r="A44" s="88" t="s">
        <v>460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54"/>
    <col collapsed="false" customWidth="true" hidden="false" outlineLevel="0" max="2" min="2" style="0" width="13"/>
    <col collapsed="false" customWidth="true" hidden="false" outlineLevel="0" max="9" min="3" style="0" width="15"/>
    <col collapsed="false" customWidth="true" hidden="false" outlineLevel="0" max="10" min="10" style="0" width="8"/>
  </cols>
  <sheetData>
    <row r="1" customFormat="false" ht="15.75" hidden="false" customHeight="true" outlineLevel="0" collapsed="false">
      <c r="A1" s="74" t="s">
        <v>472</v>
      </c>
    </row>
    <row r="2" customFormat="false" ht="14.25" hidden="false" customHeight="true" outlineLevel="0" collapsed="false">
      <c r="A2" s="75" t="s">
        <v>361</v>
      </c>
    </row>
    <row r="3" customFormat="false" ht="14.25" hidden="false" customHeight="true" outlineLevel="0" collapsed="false">
      <c r="F3" s="85" t="s">
        <v>362</v>
      </c>
    </row>
    <row r="4" customFormat="false" ht="14.25" hidden="false" customHeight="true" outlineLevel="0" collapsed="false">
      <c r="F4" s="122" t="s">
        <v>363</v>
      </c>
    </row>
    <row r="5" customFormat="false" ht="14.25" hidden="false" customHeight="true" outlineLevel="0" collapsed="false">
      <c r="F5" s="123" t="s">
        <v>364</v>
      </c>
    </row>
    <row r="6" customFormat="false" ht="14.25" hidden="false" customHeight="true" outlineLevel="0" collapsed="false">
      <c r="I6" s="75"/>
      <c r="J6" s="124"/>
    </row>
    <row r="7" customFormat="false" ht="14.25" hidden="false" customHeight="true" outlineLevel="0" collapsed="false">
      <c r="A7" s="105" t="s">
        <v>473</v>
      </c>
    </row>
    <row r="8" customFormat="false" ht="26.25" hidden="false" customHeight="true" outlineLevel="0" collapsed="false">
      <c r="C8" s="80" t="s">
        <v>366</v>
      </c>
      <c r="D8" s="80" t="s">
        <v>367</v>
      </c>
      <c r="E8" s="80" t="s">
        <v>368</v>
      </c>
      <c r="F8" s="80" t="s">
        <v>369</v>
      </c>
      <c r="G8" s="80" t="s">
        <v>370</v>
      </c>
      <c r="H8" s="80" t="s">
        <v>371</v>
      </c>
      <c r="I8" s="80" t="s">
        <v>372</v>
      </c>
    </row>
    <row r="9" customFormat="false" ht="14.25" hidden="false" customHeight="true" outlineLevel="0" collapsed="false">
      <c r="A9" s="0" t="s">
        <v>447</v>
      </c>
      <c r="C9" s="125" t="n">
        <v>749</v>
      </c>
      <c r="D9" s="125" t="n">
        <v>731</v>
      </c>
      <c r="E9" s="125" t="n">
        <v>925</v>
      </c>
      <c r="F9" s="125" t="n">
        <v>1113</v>
      </c>
      <c r="G9" s="125" t="n">
        <v>1296</v>
      </c>
      <c r="H9" s="125" t="n">
        <v>1473</v>
      </c>
      <c r="I9" s="125" t="n">
        <v>1645</v>
      </c>
    </row>
    <row r="10" customFormat="false" ht="14.25" hidden="false" customHeight="true" outlineLevel="0" collapsed="false">
      <c r="A10" s="0" t="s">
        <v>448</v>
      </c>
      <c r="C10" s="125" t="n">
        <v>0</v>
      </c>
      <c r="D10" s="125" t="n">
        <v>0</v>
      </c>
      <c r="E10" s="125" t="n">
        <v>36</v>
      </c>
      <c r="F10" s="125" t="n">
        <v>71</v>
      </c>
      <c r="G10" s="125" t="n">
        <v>105</v>
      </c>
      <c r="H10" s="125" t="n">
        <v>138</v>
      </c>
      <c r="I10" s="125" t="n">
        <v>170</v>
      </c>
    </row>
    <row r="11" customFormat="false" ht="14.25" hidden="false" customHeight="true" outlineLevel="0" collapsed="false">
      <c r="A11" s="0" t="s">
        <v>242</v>
      </c>
      <c r="C11" s="125" t="n">
        <v>67</v>
      </c>
      <c r="D11" s="125" t="n">
        <v>92</v>
      </c>
      <c r="E11" s="125" t="n">
        <v>89</v>
      </c>
      <c r="F11" s="125" t="n">
        <v>86</v>
      </c>
      <c r="G11" s="125" t="n">
        <v>83</v>
      </c>
      <c r="H11" s="125" t="n">
        <v>81</v>
      </c>
      <c r="I11" s="125" t="n">
        <v>79</v>
      </c>
    </row>
    <row r="12" customFormat="false" ht="14.25" hidden="false" customHeight="true" outlineLevel="0" collapsed="false">
      <c r="A12" s="0" t="s">
        <v>109</v>
      </c>
      <c r="C12" s="125" t="n">
        <v>1135</v>
      </c>
      <c r="D12" s="125" t="n">
        <v>1338</v>
      </c>
      <c r="E12" s="125" t="n">
        <v>1728</v>
      </c>
      <c r="F12" s="125" t="n">
        <v>2106</v>
      </c>
      <c r="G12" s="125" t="n">
        <v>2473</v>
      </c>
      <c r="H12" s="125" t="n">
        <v>2829</v>
      </c>
      <c r="I12" s="125" t="n">
        <v>3174</v>
      </c>
    </row>
    <row r="13" customFormat="false" ht="14.25" hidden="false" customHeight="true" outlineLevel="0" collapsed="false">
      <c r="A13" s="85" t="s">
        <v>373</v>
      </c>
      <c r="C13" s="87" t="n">
        <f aca="false">SUM(C9:C12)</f>
        <v>1951</v>
      </c>
      <c r="D13" s="87" t="n">
        <f aca="false">SUM(D9:D12)</f>
        <v>2161</v>
      </c>
      <c r="E13" s="87" t="n">
        <f aca="false">SUM(E9:E12)</f>
        <v>2778</v>
      </c>
      <c r="F13" s="87" t="n">
        <f aca="false">SUM(F9:F12)</f>
        <v>3376</v>
      </c>
      <c r="G13" s="87" t="n">
        <f aca="false">SUM(G9:G12)</f>
        <v>3957</v>
      </c>
      <c r="H13" s="87" t="n">
        <f aca="false">SUM(H9:H12)</f>
        <v>4521</v>
      </c>
      <c r="I13" s="87" t="n">
        <f aca="false">SUM(I9:I12)</f>
        <v>5068</v>
      </c>
    </row>
    <row r="14" customFormat="false" ht="14.25" hidden="false" customHeight="true" outlineLevel="0" collapsed="false">
      <c r="A14" s="75" t="s">
        <v>374</v>
      </c>
    </row>
    <row r="16" customFormat="false" ht="14.25" hidden="false" customHeight="true" outlineLevel="0" collapsed="false">
      <c r="A16" s="105" t="s">
        <v>449</v>
      </c>
      <c r="C16" s="126" t="s">
        <v>450</v>
      </c>
      <c r="D16" s="126" t="s">
        <v>378</v>
      </c>
      <c r="E16" s="126" t="s">
        <v>386</v>
      </c>
      <c r="F16" s="126" t="s">
        <v>387</v>
      </c>
      <c r="G16" s="126" t="s">
        <v>388</v>
      </c>
      <c r="H16" s="126" t="s">
        <v>389</v>
      </c>
    </row>
    <row r="17" customFormat="false" ht="14.25" hidden="false" customHeight="true" outlineLevel="0" collapsed="false">
      <c r="A17" s="0" t="s">
        <v>451</v>
      </c>
      <c r="C17" s="139" t="n">
        <f aca="false">Inputs!$B$5</f>
        <v>739</v>
      </c>
      <c r="D17" s="129" t="n">
        <f aca="false">C17*(1+Inputs!$B$9)</f>
        <v>775.95</v>
      </c>
      <c r="E17" s="129" t="n">
        <f aca="false">D17*(1+'Dashboard (2)'!$T$1)</f>
        <v>799.2285</v>
      </c>
      <c r="F17" s="129" t="n">
        <f aca="false">E17*(1+'Dashboard (2)'!$T$1)</f>
        <v>823.205355</v>
      </c>
      <c r="G17" s="129" t="n">
        <f aca="false">F17*(1+'Dashboard (2)'!$T$1)</f>
        <v>847.90151565</v>
      </c>
      <c r="H17" s="129" t="n">
        <f aca="false">G17*(1+'Dashboard (2)'!$T$1)</f>
        <v>873.3385611195</v>
      </c>
    </row>
    <row r="18" customFormat="false" ht="14.25" hidden="false" customHeight="true" outlineLevel="0" collapsed="false">
      <c r="A18" s="0" t="s">
        <v>452</v>
      </c>
      <c r="C18" s="139" t="n">
        <f aca="false">Inputs!$B$6</f>
        <v>887</v>
      </c>
      <c r="D18" s="129" t="n">
        <f aca="false">C18*(1+Inputs!$B$9)</f>
        <v>931.35</v>
      </c>
      <c r="E18" s="129" t="n">
        <f aca="false">D18*(1+'Dashboard (2)'!$T$1)</f>
        <v>959.2905</v>
      </c>
      <c r="F18" s="129" t="n">
        <f aca="false">E18*(1+'Dashboard (2)'!$T$1)</f>
        <v>988.069215</v>
      </c>
      <c r="G18" s="129" t="n">
        <f aca="false">F18*(1+'Dashboard (2)'!$T$1)</f>
        <v>1017.71129145</v>
      </c>
      <c r="H18" s="129" t="n">
        <f aca="false">G18*(1+'Dashboard (2)'!$T$1)</f>
        <v>1048.2426301935</v>
      </c>
    </row>
    <row r="19" customFormat="false" ht="14.25" hidden="false" customHeight="true" outlineLevel="0" collapsed="false">
      <c r="A19" s="0" t="s">
        <v>453</v>
      </c>
      <c r="C19" s="139" t="n">
        <f aca="false">Inputs!$B$7</f>
        <v>887</v>
      </c>
      <c r="D19" s="129" t="n">
        <f aca="false">C19*(1+Inputs!$B$9)</f>
        <v>931.35</v>
      </c>
      <c r="E19" s="129" t="n">
        <f aca="false">D19*(1+'Dashboard (2)'!$T$1)</f>
        <v>959.2905</v>
      </c>
      <c r="F19" s="129" t="n">
        <f aca="false">E19*(1+'Dashboard (2)'!$T$1)</f>
        <v>988.069215</v>
      </c>
      <c r="G19" s="129" t="n">
        <f aca="false">F19*(1+'Dashboard (2)'!$T$1)</f>
        <v>1017.71129145</v>
      </c>
      <c r="H19" s="129" t="n">
        <f aca="false">G19*(1+'Dashboard (2)'!$T$1)</f>
        <v>1048.2426301935</v>
      </c>
    </row>
    <row r="20" customFormat="false" ht="14.25" hidden="false" customHeight="true" outlineLevel="0" collapsed="false">
      <c r="A20" s="0" t="s">
        <v>454</v>
      </c>
      <c r="C20" s="140" t="n">
        <f aca="false">Inputs!$B$4</f>
        <v>250</v>
      </c>
      <c r="D20" s="129" t="n">
        <f aca="false">C20*(1+Inputs!$B$9)</f>
        <v>262.5</v>
      </c>
      <c r="E20" s="129" t="n">
        <f aca="false">D20*(1+'Dashboard (2)'!$T$1)</f>
        <v>270.375</v>
      </c>
      <c r="F20" s="129" t="n">
        <f aca="false">E20*(1+'Dashboard (2)'!$T$1)</f>
        <v>278.48625</v>
      </c>
      <c r="G20" s="129" t="n">
        <f aca="false">F20*(1+'Dashboard (2)'!$T$1)</f>
        <v>286.8408375</v>
      </c>
      <c r="H20" s="129" t="n">
        <f aca="false">G20*(1+'Dashboard (2)'!$T$1)</f>
        <v>295.446062625</v>
      </c>
    </row>
    <row r="21" customFormat="false" ht="14.25" hidden="false" customHeight="true" outlineLevel="0" collapsed="false">
      <c r="A21" s="75" t="s">
        <v>455</v>
      </c>
    </row>
    <row r="23" customFormat="false" ht="14.25" hidden="false" customHeight="true" outlineLevel="0" collapsed="false">
      <c r="A23" s="105" t="s">
        <v>474</v>
      </c>
    </row>
    <row r="24" customFormat="false" ht="26.25" hidden="false" customHeight="true" outlineLevel="0" collapsed="false">
      <c r="C24" s="80" t="s">
        <v>366</v>
      </c>
      <c r="D24" s="80" t="s">
        <v>367</v>
      </c>
      <c r="E24" s="80" t="s">
        <v>368</v>
      </c>
      <c r="F24" s="80" t="s">
        <v>386</v>
      </c>
      <c r="G24" s="80" t="s">
        <v>387</v>
      </c>
      <c r="H24" s="80" t="s">
        <v>388</v>
      </c>
      <c r="I24" s="80" t="s">
        <v>389</v>
      </c>
    </row>
    <row r="25" customFormat="false" ht="14.25" hidden="false" customHeight="true" outlineLevel="0" collapsed="false">
      <c r="A25" s="0" t="s">
        <v>390</v>
      </c>
      <c r="C25" s="61" t="n">
        <f aca="false">C9*$C$17+C10*$C$18+C11*$C$19+C12*$C$20</f>
        <v>896690</v>
      </c>
      <c r="D25" s="61" t="n">
        <f aca="false">D9*$C$17+D10*$C$18+D11*$C$19+D12*$C$20</f>
        <v>956313</v>
      </c>
      <c r="E25" s="61" t="n">
        <f aca="false">E9*$D$17+E10*$D$18+E11*$D$19+E12*$D$20</f>
        <v>1287772.5</v>
      </c>
      <c r="F25" s="61" t="n">
        <f aca="false">F9*E17+F10*E18+F11*E19+F12*E20</f>
        <v>1609559.679</v>
      </c>
      <c r="G25" s="61" t="n">
        <f aca="false">G9*F17+G10*F18+G11*F19+G12*F20</f>
        <v>1941327.64875</v>
      </c>
      <c r="H25" s="61" t="n">
        <f aca="false">H9*G17+H10*G18+H11*G19+H12*G20</f>
        <v>2283310.4346675</v>
      </c>
      <c r="I25" s="61" t="n">
        <f aca="false">I9*H17+I10*H18+I11*H19+I12*H20</f>
        <v>2635400.15073151</v>
      </c>
    </row>
    <row r="26" customFormat="false" ht="14.25" hidden="false" customHeight="true" outlineLevel="0" collapsed="false">
      <c r="A26" s="0" t="s">
        <v>391</v>
      </c>
      <c r="C26" s="130" t="n">
        <v>1222521.53</v>
      </c>
      <c r="D26" s="130" t="n">
        <v>1116861.54</v>
      </c>
      <c r="E26" s="130" t="n">
        <v>1267443.35</v>
      </c>
      <c r="F26" s="75"/>
    </row>
    <row r="27" customFormat="false" ht="14.25" hidden="false" customHeight="true" outlineLevel="0" collapsed="false">
      <c r="A27" s="0" t="s">
        <v>392</v>
      </c>
      <c r="C27" s="103" t="n">
        <f aca="false">C26/C25</f>
        <v>1.36337143271365</v>
      </c>
      <c r="D27" s="103" t="n">
        <f aca="false">D26/D25</f>
        <v>1.16788283752286</v>
      </c>
      <c r="E27" s="103" t="n">
        <f aca="false">E26/E25</f>
        <v>0.984213710107958</v>
      </c>
    </row>
    <row r="28" customFormat="false" ht="14.25" hidden="false" customHeight="true" outlineLevel="0" collapsed="false">
      <c r="A28" s="0" t="s">
        <v>393</v>
      </c>
      <c r="C28" s="131" t="n">
        <v>0</v>
      </c>
      <c r="D28" s="131" t="n">
        <v>0</v>
      </c>
      <c r="E28" s="131" t="n">
        <f aca="false">MAX(0,MIN('Dashboard (2)'!$N$1,Inputs!$B$38-E27))</f>
        <v>0.018</v>
      </c>
    </row>
    <row r="29" customFormat="false" ht="14.25" hidden="false" customHeight="true" outlineLevel="0" collapsed="false">
      <c r="A29" s="0" t="s">
        <v>394</v>
      </c>
      <c r="C29" s="61" t="n">
        <f aca="false">C25*C28</f>
        <v>0</v>
      </c>
      <c r="D29" s="61" t="n">
        <f aca="false">D25*D28</f>
        <v>0</v>
      </c>
      <c r="E29" s="104" t="n">
        <f aca="false">E25*E28</f>
        <v>23179.905</v>
      </c>
    </row>
    <row r="30" customFormat="false" ht="14.25" hidden="false" customHeight="true" outlineLevel="0" collapsed="false">
      <c r="A30" s="85" t="s">
        <v>395</v>
      </c>
      <c r="C30" s="87" t="n">
        <f aca="false">C26+C29</f>
        <v>1222521.53</v>
      </c>
      <c r="D30" s="87" t="n">
        <f aca="false">D26+D29</f>
        <v>1116861.54</v>
      </c>
      <c r="E30" s="96" t="n">
        <f aca="false">E26+E29</f>
        <v>1290623.255</v>
      </c>
    </row>
    <row r="31" customFormat="false" ht="14.25" hidden="false" customHeight="true" outlineLevel="0" collapsed="false">
      <c r="A31" s="0" t="s">
        <v>396</v>
      </c>
      <c r="C31" s="56" t="n">
        <f aca="false">C30/C25</f>
        <v>1.36337143271365</v>
      </c>
      <c r="D31" s="56" t="n">
        <f aca="false">D30/D25</f>
        <v>1.16788283752286</v>
      </c>
      <c r="E31" s="56" t="n">
        <f aca="false">E30/E25</f>
        <v>1.00221371010796</v>
      </c>
    </row>
    <row r="32" customFormat="false" ht="14.25" hidden="false" customHeight="true" outlineLevel="0" collapsed="false">
      <c r="A32" s="75" t="s">
        <v>397</v>
      </c>
    </row>
    <row r="33" customFormat="false" ht="14.25" hidden="false" customHeight="false" outlineLevel="0" collapsed="false">
      <c r="A33" s="6" t="s">
        <v>457</v>
      </c>
    </row>
    <row r="34" customFormat="false" ht="14.25" hidden="false" customHeight="true" outlineLevel="0" collapsed="false">
      <c r="A34" s="132" t="s">
        <v>475</v>
      </c>
    </row>
    <row r="35" customFormat="false" ht="26.25" hidden="false" customHeight="true" outlineLevel="0" collapsed="false">
      <c r="C35" s="80" t="s">
        <v>366</v>
      </c>
      <c r="D35" s="80" t="s">
        <v>367</v>
      </c>
      <c r="E35" s="80" t="s">
        <v>368</v>
      </c>
    </row>
    <row r="36" customFormat="false" ht="14.25" hidden="false" customHeight="true" outlineLevel="0" collapsed="false">
      <c r="A36" s="0" t="s">
        <v>400</v>
      </c>
      <c r="C36" s="130" t="n">
        <v>2687539</v>
      </c>
      <c r="D36" s="130" t="n">
        <v>2833637</v>
      </c>
      <c r="F36" s="75" t="s">
        <v>401</v>
      </c>
    </row>
    <row r="37" customFormat="false" ht="14.25" hidden="false" customHeight="true" outlineLevel="0" collapsed="false">
      <c r="A37" s="0" t="s">
        <v>402</v>
      </c>
      <c r="B37" s="133" t="n">
        <v>0.35</v>
      </c>
      <c r="C37" s="134"/>
      <c r="D37" s="134"/>
    </row>
    <row r="38" customFormat="false" ht="14.25" hidden="false" customHeight="true" outlineLevel="0" collapsed="false">
      <c r="A38" s="0" t="s">
        <v>403</v>
      </c>
      <c r="E38" s="135" t="n">
        <f aca="false">-E29/(B37-1)</f>
        <v>35661.3923076923</v>
      </c>
    </row>
    <row r="39" customFormat="false" ht="14.25" hidden="false" customHeight="true" outlineLevel="0" collapsed="false">
      <c r="A39" s="85" t="s">
        <v>404</v>
      </c>
      <c r="E39" s="136" t="n">
        <f aca="false">IF(OR(D36="",D36="no KPI data"),"no KPI data",D36+E38)</f>
        <v>2869298.39230769</v>
      </c>
    </row>
    <row r="40" customFormat="false" ht="42" hidden="false" customHeight="true" outlineLevel="0" collapsed="false">
      <c r="A40" s="137" t="s">
        <v>405</v>
      </c>
    </row>
    <row r="43" customFormat="false" ht="14.25" hidden="false" customHeight="true" outlineLevel="0" collapsed="false">
      <c r="A43" s="105" t="s">
        <v>406</v>
      </c>
    </row>
    <row r="44" customFormat="false" ht="22.5" hidden="false" customHeight="true" outlineLevel="0" collapsed="false">
      <c r="A44" s="88" t="s">
        <v>460</v>
      </c>
    </row>
    <row r="45" customFormat="false" ht="33.75" hidden="false" customHeight="true" outlineLevel="0" collapsed="false">
      <c r="A45" s="88" t="s">
        <v>476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54"/>
    <col collapsed="false" customWidth="true" hidden="false" outlineLevel="0" max="2" min="2" style="0" width="13"/>
    <col collapsed="false" customWidth="true" hidden="false" outlineLevel="0" max="9" min="3" style="0" width="15"/>
    <col collapsed="false" customWidth="true" hidden="false" outlineLevel="0" max="10" min="10" style="0" width="8"/>
  </cols>
  <sheetData>
    <row r="1" customFormat="false" ht="15.75" hidden="false" customHeight="true" outlineLevel="0" collapsed="false">
      <c r="A1" s="74" t="s">
        <v>477</v>
      </c>
    </row>
    <row r="2" customFormat="false" ht="14.25" hidden="false" customHeight="true" outlineLevel="0" collapsed="false">
      <c r="A2" s="75" t="s">
        <v>361</v>
      </c>
    </row>
    <row r="3" customFormat="false" ht="14.25" hidden="false" customHeight="true" outlineLevel="0" collapsed="false">
      <c r="F3" s="85" t="s">
        <v>362</v>
      </c>
    </row>
    <row r="4" customFormat="false" ht="14.25" hidden="false" customHeight="true" outlineLevel="0" collapsed="false">
      <c r="F4" s="122" t="s">
        <v>363</v>
      </c>
    </row>
    <row r="5" customFormat="false" ht="14.25" hidden="false" customHeight="true" outlineLevel="0" collapsed="false">
      <c r="F5" s="123" t="s">
        <v>364</v>
      </c>
    </row>
    <row r="6" customFormat="false" ht="14.25" hidden="false" customHeight="true" outlineLevel="0" collapsed="false">
      <c r="I6" s="75"/>
      <c r="J6" s="124"/>
    </row>
    <row r="7" customFormat="false" ht="14.25" hidden="false" customHeight="true" outlineLevel="0" collapsed="false">
      <c r="A7" s="105" t="s">
        <v>478</v>
      </c>
    </row>
    <row r="8" customFormat="false" ht="26.25" hidden="false" customHeight="true" outlineLevel="0" collapsed="false">
      <c r="C8" s="80" t="s">
        <v>366</v>
      </c>
      <c r="D8" s="80" t="s">
        <v>367</v>
      </c>
      <c r="E8" s="80" t="s">
        <v>368</v>
      </c>
      <c r="F8" s="80" t="s">
        <v>369</v>
      </c>
      <c r="G8" s="80" t="s">
        <v>370</v>
      </c>
      <c r="H8" s="80" t="s">
        <v>371</v>
      </c>
      <c r="I8" s="80" t="s">
        <v>372</v>
      </c>
    </row>
    <row r="9" customFormat="false" ht="14.25" hidden="false" customHeight="true" outlineLevel="0" collapsed="false">
      <c r="A9" s="0" t="s">
        <v>447</v>
      </c>
      <c r="C9" s="125" t="n">
        <v>43</v>
      </c>
      <c r="D9" s="125" t="n">
        <v>37</v>
      </c>
      <c r="E9" s="125" t="n">
        <v>56</v>
      </c>
      <c r="F9" s="125" t="n">
        <v>74</v>
      </c>
      <c r="G9" s="125" t="n">
        <v>92</v>
      </c>
      <c r="H9" s="125" t="n">
        <v>109</v>
      </c>
      <c r="I9" s="125" t="n">
        <v>126</v>
      </c>
    </row>
    <row r="10" customFormat="false" ht="14.25" hidden="false" customHeight="true" outlineLevel="0" collapsed="false">
      <c r="A10" s="0" t="s">
        <v>448</v>
      </c>
      <c r="C10" s="125" t="n">
        <v>0</v>
      </c>
      <c r="D10" s="125" t="n">
        <v>0</v>
      </c>
      <c r="E10" s="125" t="n">
        <v>5</v>
      </c>
      <c r="F10" s="125" t="n">
        <v>10</v>
      </c>
      <c r="G10" s="125" t="n">
        <v>15</v>
      </c>
      <c r="H10" s="125" t="n">
        <v>20</v>
      </c>
      <c r="I10" s="125" t="n">
        <v>24</v>
      </c>
    </row>
    <row r="11" customFormat="false" ht="14.25" hidden="false" customHeight="true" outlineLevel="0" collapsed="false">
      <c r="A11" s="0" t="s">
        <v>242</v>
      </c>
      <c r="C11" s="125" t="n">
        <v>0</v>
      </c>
      <c r="D11" s="125" t="n">
        <v>0</v>
      </c>
      <c r="E11" s="125" t="n">
        <v>0</v>
      </c>
      <c r="F11" s="125" t="n">
        <v>0</v>
      </c>
      <c r="G11" s="125" t="n">
        <v>0</v>
      </c>
      <c r="H11" s="125" t="n">
        <v>0</v>
      </c>
      <c r="I11" s="125" t="n">
        <v>0</v>
      </c>
    </row>
    <row r="12" customFormat="false" ht="14.25" hidden="false" customHeight="true" outlineLevel="0" collapsed="false">
      <c r="A12" s="0" t="s">
        <v>109</v>
      </c>
      <c r="C12" s="125" t="n">
        <v>3075</v>
      </c>
      <c r="D12" s="125" t="n">
        <v>3705</v>
      </c>
      <c r="E12" s="125" t="n">
        <v>4224</v>
      </c>
      <c r="F12" s="125" t="n">
        <v>4727</v>
      </c>
      <c r="G12" s="125" t="n">
        <v>5215</v>
      </c>
      <c r="H12" s="125" t="n">
        <v>5689</v>
      </c>
      <c r="I12" s="125" t="n">
        <v>6148</v>
      </c>
    </row>
    <row r="13" customFormat="false" ht="14.25" hidden="false" customHeight="true" outlineLevel="0" collapsed="false">
      <c r="A13" s="85" t="s">
        <v>373</v>
      </c>
      <c r="C13" s="87" t="n">
        <f aca="false">SUM(C9:C12)</f>
        <v>3118</v>
      </c>
      <c r="D13" s="87" t="n">
        <f aca="false">SUM(D9:D12)</f>
        <v>3742</v>
      </c>
      <c r="E13" s="87" t="n">
        <f aca="false">SUM(E9:E12)</f>
        <v>4285</v>
      </c>
      <c r="F13" s="87" t="n">
        <f aca="false">SUM(F9:F12)</f>
        <v>4811</v>
      </c>
      <c r="G13" s="87" t="n">
        <f aca="false">SUM(G9:G12)</f>
        <v>5322</v>
      </c>
      <c r="H13" s="87" t="n">
        <f aca="false">SUM(H9:H12)</f>
        <v>5818</v>
      </c>
      <c r="I13" s="87" t="n">
        <f aca="false">SUM(I9:I12)</f>
        <v>6298</v>
      </c>
    </row>
    <row r="14" customFormat="false" ht="14.25" hidden="false" customHeight="true" outlineLevel="0" collapsed="false">
      <c r="A14" s="75" t="s">
        <v>374</v>
      </c>
    </row>
    <row r="16" customFormat="false" ht="14.25" hidden="false" customHeight="true" outlineLevel="0" collapsed="false">
      <c r="A16" s="105" t="s">
        <v>449</v>
      </c>
      <c r="C16" s="126" t="s">
        <v>450</v>
      </c>
      <c r="D16" s="126" t="s">
        <v>378</v>
      </c>
      <c r="E16" s="126" t="s">
        <v>386</v>
      </c>
      <c r="F16" s="126" t="s">
        <v>387</v>
      </c>
      <c r="G16" s="126" t="s">
        <v>388</v>
      </c>
      <c r="H16" s="126" t="s">
        <v>389</v>
      </c>
    </row>
    <row r="17" customFormat="false" ht="14.25" hidden="false" customHeight="true" outlineLevel="0" collapsed="false">
      <c r="A17" s="0" t="s">
        <v>451</v>
      </c>
      <c r="C17" s="139" t="n">
        <f aca="false">Inputs!$B$5</f>
        <v>739</v>
      </c>
      <c r="D17" s="129" t="n">
        <f aca="false">C17*(1+Inputs!$B$9)</f>
        <v>775.95</v>
      </c>
      <c r="E17" s="129" t="n">
        <f aca="false">D17*(1+'Dashboard (2)'!$T$1)</f>
        <v>799.2285</v>
      </c>
      <c r="F17" s="129" t="n">
        <f aca="false">E17*(1+'Dashboard (2)'!$T$1)</f>
        <v>823.205355</v>
      </c>
      <c r="G17" s="129" t="n">
        <f aca="false">F17*(1+'Dashboard (2)'!$T$1)</f>
        <v>847.90151565</v>
      </c>
      <c r="H17" s="129" t="n">
        <f aca="false">G17*(1+'Dashboard (2)'!$T$1)</f>
        <v>873.3385611195</v>
      </c>
    </row>
    <row r="18" customFormat="false" ht="14.25" hidden="false" customHeight="true" outlineLevel="0" collapsed="false">
      <c r="A18" s="0" t="s">
        <v>452</v>
      </c>
      <c r="C18" s="139" t="n">
        <f aca="false">Inputs!$B$6</f>
        <v>887</v>
      </c>
      <c r="D18" s="129" t="n">
        <f aca="false">C18*(1+Inputs!$B$9)</f>
        <v>931.35</v>
      </c>
      <c r="E18" s="129" t="n">
        <f aca="false">D18*(1+'Dashboard (2)'!$T$1)</f>
        <v>959.2905</v>
      </c>
      <c r="F18" s="129" t="n">
        <f aca="false">E18*(1+'Dashboard (2)'!$T$1)</f>
        <v>988.069215</v>
      </c>
      <c r="G18" s="129" t="n">
        <f aca="false">F18*(1+'Dashboard (2)'!$T$1)</f>
        <v>1017.71129145</v>
      </c>
      <c r="H18" s="129" t="n">
        <f aca="false">G18*(1+'Dashboard (2)'!$T$1)</f>
        <v>1048.2426301935</v>
      </c>
    </row>
    <row r="19" customFormat="false" ht="14.25" hidden="false" customHeight="true" outlineLevel="0" collapsed="false">
      <c r="A19" s="0" t="s">
        <v>453</v>
      </c>
      <c r="C19" s="139" t="n">
        <f aca="false">Inputs!$B$7</f>
        <v>887</v>
      </c>
      <c r="D19" s="129" t="n">
        <f aca="false">C19*(1+Inputs!$B$9)</f>
        <v>931.35</v>
      </c>
      <c r="E19" s="129" t="n">
        <f aca="false">D19*(1+'Dashboard (2)'!$T$1)</f>
        <v>959.2905</v>
      </c>
      <c r="F19" s="129" t="n">
        <f aca="false">E19*(1+'Dashboard (2)'!$T$1)</f>
        <v>988.069215</v>
      </c>
      <c r="G19" s="129" t="n">
        <f aca="false">F19*(1+'Dashboard (2)'!$T$1)</f>
        <v>1017.71129145</v>
      </c>
      <c r="H19" s="129" t="n">
        <f aca="false">G19*(1+'Dashboard (2)'!$T$1)</f>
        <v>1048.2426301935</v>
      </c>
    </row>
    <row r="20" customFormat="false" ht="14.25" hidden="false" customHeight="true" outlineLevel="0" collapsed="false">
      <c r="A20" s="0" t="s">
        <v>454</v>
      </c>
      <c r="C20" s="140" t="n">
        <f aca="false">Inputs!$B$4</f>
        <v>250</v>
      </c>
      <c r="D20" s="129" t="n">
        <f aca="false">C20*(1+Inputs!$B$9)</f>
        <v>262.5</v>
      </c>
      <c r="E20" s="129" t="n">
        <f aca="false">D20*(1+'Dashboard (2)'!$T$1)</f>
        <v>270.375</v>
      </c>
      <c r="F20" s="129" t="n">
        <f aca="false">E20*(1+'Dashboard (2)'!$T$1)</f>
        <v>278.48625</v>
      </c>
      <c r="G20" s="129" t="n">
        <f aca="false">F20*(1+'Dashboard (2)'!$T$1)</f>
        <v>286.8408375</v>
      </c>
      <c r="H20" s="129" t="n">
        <f aca="false">G20*(1+'Dashboard (2)'!$T$1)</f>
        <v>295.446062625</v>
      </c>
    </row>
    <row r="21" customFormat="false" ht="14.25" hidden="false" customHeight="true" outlineLevel="0" collapsed="false">
      <c r="A21" s="75" t="s">
        <v>455</v>
      </c>
    </row>
    <row r="23" customFormat="false" ht="14.25" hidden="false" customHeight="true" outlineLevel="0" collapsed="false">
      <c r="A23" s="105" t="s">
        <v>479</v>
      </c>
    </row>
    <row r="24" customFormat="false" ht="26.25" hidden="false" customHeight="true" outlineLevel="0" collapsed="false">
      <c r="C24" s="80" t="s">
        <v>366</v>
      </c>
      <c r="D24" s="80" t="s">
        <v>367</v>
      </c>
      <c r="E24" s="80" t="s">
        <v>368</v>
      </c>
      <c r="F24" s="80" t="s">
        <v>386</v>
      </c>
      <c r="G24" s="80" t="s">
        <v>387</v>
      </c>
      <c r="H24" s="80" t="s">
        <v>388</v>
      </c>
      <c r="I24" s="80" t="s">
        <v>389</v>
      </c>
    </row>
    <row r="25" customFormat="false" ht="14.25" hidden="false" customHeight="true" outlineLevel="0" collapsed="false">
      <c r="A25" s="0" t="s">
        <v>390</v>
      </c>
      <c r="C25" s="61" t="n">
        <f aca="false">C9*$C$17+C10*$C$18+C11*$C$19+C12*$C$20</f>
        <v>800527</v>
      </c>
      <c r="D25" s="61" t="n">
        <f aca="false">D9*$C$17+D10*$C$18+D11*$C$19+D12*$C$20</f>
        <v>953593</v>
      </c>
      <c r="E25" s="61" t="n">
        <f aca="false">E9*$D$17+E10*$D$18+E11*$D$19+E12*$D$20</f>
        <v>1156909.95</v>
      </c>
      <c r="F25" s="61" t="n">
        <f aca="false">F9*E17+F10*E18+F11*E19+F12*E20</f>
        <v>1346798.439</v>
      </c>
      <c r="G25" s="61" t="n">
        <f aca="false">G9*F17+G10*F18+G11*F19+G12*F20</f>
        <v>1542861.724635</v>
      </c>
      <c r="H25" s="61" t="n">
        <f aca="false">H9*G17+H10*G18+H11*G19+H12*G20</f>
        <v>1744613.01557235</v>
      </c>
      <c r="I25" s="61" t="n">
        <f aca="false">I9*H17+I10*H18+I11*H19+I12*H20</f>
        <v>1951600.8748442</v>
      </c>
    </row>
    <row r="26" customFormat="false" ht="14.25" hidden="false" customHeight="true" outlineLevel="0" collapsed="false">
      <c r="A26" s="0" t="s">
        <v>391</v>
      </c>
      <c r="C26" s="130" t="n">
        <v>460697.42</v>
      </c>
      <c r="D26" s="130" t="n">
        <v>460633.72</v>
      </c>
      <c r="E26" s="130" t="n">
        <v>574400</v>
      </c>
      <c r="F26" s="75"/>
    </row>
    <row r="27" customFormat="false" ht="14.25" hidden="false" customHeight="true" outlineLevel="0" collapsed="false">
      <c r="A27" s="0" t="s">
        <v>392</v>
      </c>
      <c r="C27" s="103" t="n">
        <f aca="false">C26/C25</f>
        <v>0.575492669204162</v>
      </c>
      <c r="D27" s="103" t="n">
        <f aca="false">D26/D25</f>
        <v>0.483050651588256</v>
      </c>
      <c r="E27" s="103" t="n">
        <f aca="false">E26/E25</f>
        <v>0.496494995137694</v>
      </c>
    </row>
    <row r="28" customFormat="false" ht="14.25" hidden="false" customHeight="true" outlineLevel="0" collapsed="false">
      <c r="A28" s="0" t="s">
        <v>393</v>
      </c>
      <c r="C28" s="131" t="n">
        <v>0</v>
      </c>
      <c r="D28" s="131" t="n">
        <v>0</v>
      </c>
      <c r="E28" s="131" t="n">
        <f aca="false">MAX(0,MIN('Dashboard (2)'!$N$1,Inputs!$B$38-E27))</f>
        <v>0.018</v>
      </c>
    </row>
    <row r="29" customFormat="false" ht="14.25" hidden="false" customHeight="true" outlineLevel="0" collapsed="false">
      <c r="A29" s="0" t="s">
        <v>394</v>
      </c>
      <c r="C29" s="61" t="n">
        <f aca="false">C25*C28</f>
        <v>0</v>
      </c>
      <c r="D29" s="61" t="n">
        <f aca="false">D25*D28</f>
        <v>0</v>
      </c>
      <c r="E29" s="104" t="n">
        <f aca="false">E25*E28</f>
        <v>20824.3791</v>
      </c>
    </row>
    <row r="30" customFormat="false" ht="14.25" hidden="false" customHeight="true" outlineLevel="0" collapsed="false">
      <c r="A30" s="85" t="s">
        <v>395</v>
      </c>
      <c r="C30" s="87" t="n">
        <f aca="false">C26+C29</f>
        <v>460697.42</v>
      </c>
      <c r="D30" s="87" t="n">
        <f aca="false">D26+D29</f>
        <v>460633.72</v>
      </c>
      <c r="E30" s="96" t="n">
        <f aca="false">E26+E29</f>
        <v>595224.3791</v>
      </c>
    </row>
    <row r="31" customFormat="false" ht="14.25" hidden="false" customHeight="true" outlineLevel="0" collapsed="false">
      <c r="A31" s="0" t="s">
        <v>396</v>
      </c>
      <c r="C31" s="56" t="n">
        <f aca="false">C30/C25</f>
        <v>0.575492669204162</v>
      </c>
      <c r="D31" s="56" t="n">
        <f aca="false">D30/D25</f>
        <v>0.483050651588256</v>
      </c>
      <c r="E31" s="56" t="n">
        <f aca="false">E30/E25</f>
        <v>0.514494995137694</v>
      </c>
    </row>
    <row r="32" customFormat="false" ht="14.25" hidden="false" customHeight="true" outlineLevel="0" collapsed="false">
      <c r="A32" s="75" t="s">
        <v>397</v>
      </c>
    </row>
    <row r="33" customFormat="false" ht="14.25" hidden="false" customHeight="false" outlineLevel="0" collapsed="false">
      <c r="A33" s="6" t="s">
        <v>457</v>
      </c>
    </row>
    <row r="34" customFormat="false" ht="14.25" hidden="false" customHeight="true" outlineLevel="0" collapsed="false">
      <c r="A34" s="132" t="s">
        <v>480</v>
      </c>
    </row>
    <row r="35" customFormat="false" ht="26.25" hidden="false" customHeight="true" outlineLevel="0" collapsed="false">
      <c r="C35" s="80" t="s">
        <v>366</v>
      </c>
      <c r="D35" s="80" t="s">
        <v>367</v>
      </c>
      <c r="E35" s="80" t="s">
        <v>368</v>
      </c>
    </row>
    <row r="36" customFormat="false" ht="14.25" hidden="false" customHeight="true" outlineLevel="0" collapsed="false">
      <c r="A36" s="0" t="s">
        <v>400</v>
      </c>
      <c r="C36" s="130" t="n">
        <v>515115</v>
      </c>
      <c r="D36" s="130"/>
      <c r="F36" s="138" t="s">
        <v>481</v>
      </c>
    </row>
    <row r="37" customFormat="false" ht="14.25" hidden="false" customHeight="true" outlineLevel="0" collapsed="false">
      <c r="A37" s="0" t="s">
        <v>402</v>
      </c>
      <c r="B37" s="133" t="n">
        <v>0.35</v>
      </c>
      <c r="C37" s="134"/>
      <c r="D37" s="134"/>
    </row>
    <row r="38" customFormat="false" ht="14.25" hidden="false" customHeight="true" outlineLevel="0" collapsed="false">
      <c r="A38" s="0" t="s">
        <v>403</v>
      </c>
      <c r="E38" s="135" t="n">
        <f aca="false">-E29/(B37-1)</f>
        <v>32037.5063076923</v>
      </c>
    </row>
    <row r="39" customFormat="false" ht="14.25" hidden="false" customHeight="true" outlineLevel="0" collapsed="false">
      <c r="A39" s="85" t="s">
        <v>404</v>
      </c>
      <c r="E39" s="136" t="str">
        <f aca="false">IF(OR(D36="",D36="no KPI data"),"no KPI data",D36+E38)</f>
        <v>no KPI data</v>
      </c>
    </row>
    <row r="40" customFormat="false" ht="42" hidden="false" customHeight="true" outlineLevel="0" collapsed="false">
      <c r="A40" s="137" t="s">
        <v>405</v>
      </c>
    </row>
    <row r="43" customFormat="false" ht="14.25" hidden="false" customHeight="true" outlineLevel="0" collapsed="false">
      <c r="A43" s="105" t="s">
        <v>406</v>
      </c>
    </row>
    <row r="44" customFormat="false" ht="22.5" hidden="false" customHeight="true" outlineLevel="0" collapsed="false">
      <c r="A44" s="88" t="s">
        <v>460</v>
      </c>
    </row>
    <row r="45" customFormat="false" ht="33.75" hidden="false" customHeight="true" outlineLevel="0" collapsed="false">
      <c r="A45" s="8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54"/>
    <col collapsed="false" customWidth="true" hidden="false" outlineLevel="0" max="2" min="2" style="0" width="13"/>
    <col collapsed="false" customWidth="true" hidden="false" outlineLevel="0" max="9" min="3" style="0" width="15"/>
    <col collapsed="false" customWidth="true" hidden="false" outlineLevel="0" max="10" min="10" style="0" width="8"/>
  </cols>
  <sheetData>
    <row r="1" customFormat="false" ht="15.75" hidden="false" customHeight="true" outlineLevel="0" collapsed="false">
      <c r="A1" s="74" t="s">
        <v>482</v>
      </c>
    </row>
    <row r="2" customFormat="false" ht="14.25" hidden="false" customHeight="true" outlineLevel="0" collapsed="false">
      <c r="A2" s="75" t="s">
        <v>361</v>
      </c>
    </row>
    <row r="3" customFormat="false" ht="14.25" hidden="false" customHeight="true" outlineLevel="0" collapsed="false">
      <c r="F3" s="85" t="s">
        <v>362</v>
      </c>
    </row>
    <row r="4" customFormat="false" ht="14.25" hidden="false" customHeight="true" outlineLevel="0" collapsed="false">
      <c r="F4" s="122" t="s">
        <v>363</v>
      </c>
    </row>
    <row r="5" customFormat="false" ht="14.25" hidden="false" customHeight="true" outlineLevel="0" collapsed="false">
      <c r="F5" s="123" t="s">
        <v>364</v>
      </c>
    </row>
    <row r="6" customFormat="false" ht="14.25" hidden="false" customHeight="true" outlineLevel="0" collapsed="false">
      <c r="I6" s="75"/>
      <c r="J6" s="124"/>
    </row>
    <row r="7" customFormat="false" ht="14.25" hidden="false" customHeight="true" outlineLevel="0" collapsed="false">
      <c r="A7" s="105" t="s">
        <v>483</v>
      </c>
    </row>
    <row r="8" customFormat="false" ht="26.25" hidden="false" customHeight="true" outlineLevel="0" collapsed="false">
      <c r="C8" s="80" t="s">
        <v>366</v>
      </c>
      <c r="D8" s="80" t="s">
        <v>367</v>
      </c>
      <c r="E8" s="80" t="s">
        <v>368</v>
      </c>
      <c r="F8" s="80" t="s">
        <v>369</v>
      </c>
      <c r="G8" s="80" t="s">
        <v>370</v>
      </c>
      <c r="H8" s="80" t="s">
        <v>371</v>
      </c>
      <c r="I8" s="80" t="s">
        <v>372</v>
      </c>
    </row>
    <row r="9" customFormat="false" ht="14.25" hidden="false" customHeight="true" outlineLevel="0" collapsed="false">
      <c r="A9" s="0" t="s">
        <v>447</v>
      </c>
      <c r="C9" s="125" t="n">
        <v>213</v>
      </c>
      <c r="D9" s="125" t="n">
        <v>203</v>
      </c>
      <c r="E9" s="125" t="n">
        <v>227</v>
      </c>
      <c r="F9" s="125" t="n">
        <v>250</v>
      </c>
      <c r="G9" s="125" t="n">
        <v>272</v>
      </c>
      <c r="H9" s="125" t="n">
        <v>294</v>
      </c>
      <c r="I9" s="125" t="n">
        <v>315</v>
      </c>
    </row>
    <row r="10" customFormat="false" ht="14.25" hidden="false" customHeight="true" outlineLevel="0" collapsed="false">
      <c r="A10" s="0" t="s">
        <v>448</v>
      </c>
      <c r="C10" s="125" t="n">
        <v>0</v>
      </c>
      <c r="D10" s="125" t="n">
        <v>0</v>
      </c>
      <c r="E10" s="125" t="n">
        <v>5</v>
      </c>
      <c r="F10" s="125" t="n">
        <v>10</v>
      </c>
      <c r="G10" s="125" t="n">
        <v>15</v>
      </c>
      <c r="H10" s="125" t="n">
        <v>20</v>
      </c>
      <c r="I10" s="125" t="n">
        <v>24</v>
      </c>
    </row>
    <row r="11" customFormat="false" ht="14.25" hidden="false" customHeight="true" outlineLevel="0" collapsed="false">
      <c r="A11" s="0" t="s">
        <v>242</v>
      </c>
      <c r="C11" s="125" t="n">
        <v>0</v>
      </c>
      <c r="D11" s="125" t="n">
        <v>0</v>
      </c>
      <c r="E11" s="125" t="n">
        <v>0</v>
      </c>
      <c r="F11" s="125" t="n">
        <v>0</v>
      </c>
      <c r="G11" s="125" t="n">
        <v>0</v>
      </c>
      <c r="H11" s="125" t="n">
        <v>0</v>
      </c>
      <c r="I11" s="125" t="n">
        <v>0</v>
      </c>
    </row>
    <row r="12" customFormat="false" ht="14.25" hidden="false" customHeight="true" outlineLevel="0" collapsed="false">
      <c r="A12" s="0" t="s">
        <v>109</v>
      </c>
      <c r="C12" s="125" t="n">
        <v>1859</v>
      </c>
      <c r="D12" s="125" t="n">
        <v>2105</v>
      </c>
      <c r="E12" s="125" t="n">
        <v>2402</v>
      </c>
      <c r="F12" s="125" t="n">
        <v>2730</v>
      </c>
      <c r="G12" s="125" t="n">
        <v>3008</v>
      </c>
      <c r="H12" s="125" t="n">
        <v>3278</v>
      </c>
      <c r="I12" s="125" t="n">
        <v>3540</v>
      </c>
    </row>
    <row r="13" customFormat="false" ht="14.25" hidden="false" customHeight="true" outlineLevel="0" collapsed="false">
      <c r="A13" s="85" t="s">
        <v>373</v>
      </c>
      <c r="C13" s="87" t="n">
        <f aca="false">SUM(C9:C12)</f>
        <v>2072</v>
      </c>
      <c r="D13" s="87" t="n">
        <f aca="false">SUM(D9:D12)</f>
        <v>2308</v>
      </c>
      <c r="E13" s="87" t="n">
        <f aca="false">SUM(E9:E12)</f>
        <v>2634</v>
      </c>
      <c r="F13" s="87" t="n">
        <f aca="false">SUM(F9:F12)</f>
        <v>2990</v>
      </c>
      <c r="G13" s="87" t="n">
        <f aca="false">SUM(G9:G12)</f>
        <v>3295</v>
      </c>
      <c r="H13" s="87" t="n">
        <f aca="false">SUM(H9:H12)</f>
        <v>3592</v>
      </c>
      <c r="I13" s="87" t="n">
        <f aca="false">SUM(I9:I12)</f>
        <v>3879</v>
      </c>
    </row>
    <row r="14" customFormat="false" ht="14.25" hidden="false" customHeight="true" outlineLevel="0" collapsed="false">
      <c r="A14" s="75" t="s">
        <v>374</v>
      </c>
    </row>
    <row r="16" customFormat="false" ht="14.25" hidden="false" customHeight="true" outlineLevel="0" collapsed="false">
      <c r="A16" s="105" t="s">
        <v>449</v>
      </c>
      <c r="C16" s="126" t="s">
        <v>450</v>
      </c>
      <c r="D16" s="126" t="s">
        <v>378</v>
      </c>
      <c r="E16" s="126" t="s">
        <v>386</v>
      </c>
      <c r="F16" s="126" t="s">
        <v>387</v>
      </c>
      <c r="G16" s="126" t="s">
        <v>388</v>
      </c>
      <c r="H16" s="126" t="s">
        <v>389</v>
      </c>
    </row>
    <row r="17" customFormat="false" ht="14.25" hidden="false" customHeight="true" outlineLevel="0" collapsed="false">
      <c r="A17" s="0" t="s">
        <v>451</v>
      </c>
      <c r="C17" s="139" t="n">
        <f aca="false">Inputs!$B$5</f>
        <v>739</v>
      </c>
      <c r="D17" s="129" t="n">
        <f aca="false">C17*(1+Inputs!$B$9)</f>
        <v>775.95</v>
      </c>
      <c r="E17" s="129" t="n">
        <f aca="false">D17*(1+'Dashboard (2)'!$T$1)</f>
        <v>799.2285</v>
      </c>
      <c r="F17" s="129" t="n">
        <f aca="false">E17*(1+'Dashboard (2)'!$T$1)</f>
        <v>823.205355</v>
      </c>
      <c r="G17" s="129" t="n">
        <f aca="false">F17*(1+'Dashboard (2)'!$T$1)</f>
        <v>847.90151565</v>
      </c>
      <c r="H17" s="129" t="n">
        <f aca="false">G17*(1+'Dashboard (2)'!$T$1)</f>
        <v>873.3385611195</v>
      </c>
    </row>
    <row r="18" customFormat="false" ht="14.25" hidden="false" customHeight="true" outlineLevel="0" collapsed="false">
      <c r="A18" s="0" t="s">
        <v>452</v>
      </c>
      <c r="C18" s="139" t="n">
        <f aca="false">Inputs!$B$6</f>
        <v>887</v>
      </c>
      <c r="D18" s="129" t="n">
        <f aca="false">C18*(1+Inputs!$B$9)</f>
        <v>931.35</v>
      </c>
      <c r="E18" s="129" t="n">
        <f aca="false">D18*(1+'Dashboard (2)'!$T$1)</f>
        <v>959.2905</v>
      </c>
      <c r="F18" s="129" t="n">
        <f aca="false">E18*(1+'Dashboard (2)'!$T$1)</f>
        <v>988.069215</v>
      </c>
      <c r="G18" s="129" t="n">
        <f aca="false">F18*(1+'Dashboard (2)'!$T$1)</f>
        <v>1017.71129145</v>
      </c>
      <c r="H18" s="129" t="n">
        <f aca="false">G18*(1+'Dashboard (2)'!$T$1)</f>
        <v>1048.2426301935</v>
      </c>
    </row>
    <row r="19" customFormat="false" ht="14.25" hidden="false" customHeight="true" outlineLevel="0" collapsed="false">
      <c r="A19" s="0" t="s">
        <v>453</v>
      </c>
      <c r="C19" s="139" t="n">
        <f aca="false">Inputs!$B$7</f>
        <v>887</v>
      </c>
      <c r="D19" s="129" t="n">
        <f aca="false">C19*(1+Inputs!$B$9)</f>
        <v>931.35</v>
      </c>
      <c r="E19" s="129" t="n">
        <f aca="false">D19*(1+'Dashboard (2)'!$T$1)</f>
        <v>959.2905</v>
      </c>
      <c r="F19" s="129" t="n">
        <f aca="false">E19*(1+'Dashboard (2)'!$T$1)</f>
        <v>988.069215</v>
      </c>
      <c r="G19" s="129" t="n">
        <f aca="false">F19*(1+'Dashboard (2)'!$T$1)</f>
        <v>1017.71129145</v>
      </c>
      <c r="H19" s="129" t="n">
        <f aca="false">G19*(1+'Dashboard (2)'!$T$1)</f>
        <v>1048.2426301935</v>
      </c>
    </row>
    <row r="20" customFormat="false" ht="14.25" hidden="false" customHeight="true" outlineLevel="0" collapsed="false">
      <c r="A20" s="0" t="s">
        <v>454</v>
      </c>
      <c r="C20" s="140" t="n">
        <f aca="false">Inputs!$B$4</f>
        <v>250</v>
      </c>
      <c r="D20" s="129" t="n">
        <f aca="false">C20*(1+Inputs!$B$9)</f>
        <v>262.5</v>
      </c>
      <c r="E20" s="129" t="n">
        <f aca="false">D20*(1+'Dashboard (2)'!$T$1)</f>
        <v>270.375</v>
      </c>
      <c r="F20" s="129" t="n">
        <f aca="false">E20*(1+'Dashboard (2)'!$T$1)</f>
        <v>278.48625</v>
      </c>
      <c r="G20" s="129" t="n">
        <f aca="false">F20*(1+'Dashboard (2)'!$T$1)</f>
        <v>286.8408375</v>
      </c>
      <c r="H20" s="129" t="n">
        <f aca="false">G20*(1+'Dashboard (2)'!$T$1)</f>
        <v>295.446062625</v>
      </c>
    </row>
    <row r="21" customFormat="false" ht="14.25" hidden="false" customHeight="true" outlineLevel="0" collapsed="false">
      <c r="A21" s="75" t="s">
        <v>455</v>
      </c>
    </row>
    <row r="23" customFormat="false" ht="14.25" hidden="false" customHeight="true" outlineLevel="0" collapsed="false">
      <c r="A23" s="105" t="s">
        <v>484</v>
      </c>
    </row>
    <row r="24" customFormat="false" ht="26.25" hidden="false" customHeight="true" outlineLevel="0" collapsed="false">
      <c r="C24" s="80" t="s">
        <v>366</v>
      </c>
      <c r="D24" s="80" t="s">
        <v>367</v>
      </c>
      <c r="E24" s="80" t="s">
        <v>368</v>
      </c>
      <c r="F24" s="80" t="s">
        <v>386</v>
      </c>
      <c r="G24" s="80" t="s">
        <v>387</v>
      </c>
      <c r="H24" s="80" t="s">
        <v>388</v>
      </c>
      <c r="I24" s="80" t="s">
        <v>389</v>
      </c>
    </row>
    <row r="25" customFormat="false" ht="14.25" hidden="false" customHeight="true" outlineLevel="0" collapsed="false">
      <c r="A25" s="0" t="s">
        <v>390</v>
      </c>
      <c r="C25" s="61" t="n">
        <f aca="false">C9*$C$17+C10*$C$18+C11*$C$19+C12*$C$20</f>
        <v>622157</v>
      </c>
      <c r="D25" s="61" t="n">
        <f aca="false">D9*$C$17+D10*$C$18+D11*$C$19+D12*$C$20</f>
        <v>676267</v>
      </c>
      <c r="E25" s="61" t="n">
        <f aca="false">E9*$D$17+E10*$D$18+E11*$D$19+E12*$D$20</f>
        <v>811322.4</v>
      </c>
      <c r="F25" s="61" t="n">
        <f aca="false">F9*E17+F10*E18+F11*E19+F12*E20</f>
        <v>947523.78</v>
      </c>
      <c r="G25" s="61" t="n">
        <f aca="false">G9*F17+G10*F18+G11*F19+G12*F20</f>
        <v>1076419.534785</v>
      </c>
      <c r="H25" s="61" t="n">
        <f aca="false">H9*G17+H10*G18+H11*G19+H12*G20</f>
        <v>1209901.5367551</v>
      </c>
      <c r="I25" s="61" t="n">
        <f aca="false">I9*H17+I10*H18+I11*H19+I12*H20</f>
        <v>1346138.53156979</v>
      </c>
    </row>
    <row r="26" customFormat="false" ht="14.25" hidden="false" customHeight="true" outlineLevel="0" collapsed="false">
      <c r="A26" s="0" t="s">
        <v>391</v>
      </c>
      <c r="C26" s="130" t="n">
        <v>395930.56</v>
      </c>
      <c r="D26" s="130" t="n">
        <v>401055.88</v>
      </c>
      <c r="E26" s="130" t="n">
        <v>539600</v>
      </c>
      <c r="F26" s="75"/>
    </row>
    <row r="27" customFormat="false" ht="14.25" hidden="false" customHeight="true" outlineLevel="0" collapsed="false">
      <c r="A27" s="0" t="s">
        <v>392</v>
      </c>
      <c r="C27" s="103" t="n">
        <f aca="false">C26/C25</f>
        <v>0.636383678074827</v>
      </c>
      <c r="D27" s="103" t="n">
        <f aca="false">D26/D25</f>
        <v>0.593043694280514</v>
      </c>
      <c r="E27" s="103" t="n">
        <f aca="false">E26/E25</f>
        <v>0.665087023358408</v>
      </c>
    </row>
    <row r="28" customFormat="false" ht="14.25" hidden="false" customHeight="true" outlineLevel="0" collapsed="false">
      <c r="A28" s="0" t="s">
        <v>393</v>
      </c>
      <c r="C28" s="131" t="n">
        <v>0</v>
      </c>
      <c r="D28" s="131" t="n">
        <v>0</v>
      </c>
      <c r="E28" s="131" t="n">
        <f aca="false">MAX(0,MIN('Dashboard (2)'!$N$1,Inputs!$B$38-E27))</f>
        <v>0.018</v>
      </c>
    </row>
    <row r="29" customFormat="false" ht="14.25" hidden="false" customHeight="true" outlineLevel="0" collapsed="false">
      <c r="A29" s="0" t="s">
        <v>394</v>
      </c>
      <c r="C29" s="61" t="n">
        <f aca="false">C25*C28</f>
        <v>0</v>
      </c>
      <c r="D29" s="61" t="n">
        <f aca="false">D25*D28</f>
        <v>0</v>
      </c>
      <c r="E29" s="104" t="n">
        <f aca="false">E25*E28</f>
        <v>14603.8032</v>
      </c>
    </row>
    <row r="30" customFormat="false" ht="14.25" hidden="false" customHeight="true" outlineLevel="0" collapsed="false">
      <c r="A30" s="85" t="s">
        <v>395</v>
      </c>
      <c r="C30" s="87" t="n">
        <f aca="false">C26+C29</f>
        <v>395930.56</v>
      </c>
      <c r="D30" s="87" t="n">
        <f aca="false">D26+D29</f>
        <v>401055.88</v>
      </c>
      <c r="E30" s="96" t="n">
        <f aca="false">E26+E29</f>
        <v>554203.8032</v>
      </c>
    </row>
    <row r="31" customFormat="false" ht="14.25" hidden="false" customHeight="true" outlineLevel="0" collapsed="false">
      <c r="A31" s="0" t="s">
        <v>396</v>
      </c>
      <c r="C31" s="56" t="n">
        <f aca="false">C30/C25</f>
        <v>0.636383678074827</v>
      </c>
      <c r="D31" s="56" t="n">
        <f aca="false">D30/D25</f>
        <v>0.593043694280514</v>
      </c>
      <c r="E31" s="56" t="n">
        <f aca="false">E30/E25</f>
        <v>0.683087023358408</v>
      </c>
    </row>
    <row r="32" customFormat="false" ht="14.25" hidden="false" customHeight="true" outlineLevel="0" collapsed="false">
      <c r="A32" s="75" t="s">
        <v>397</v>
      </c>
    </row>
    <row r="33" customFormat="false" ht="14.25" hidden="false" customHeight="false" outlineLevel="0" collapsed="false">
      <c r="A33" s="6" t="s">
        <v>457</v>
      </c>
    </row>
    <row r="34" customFormat="false" ht="14.25" hidden="false" customHeight="true" outlineLevel="0" collapsed="false">
      <c r="A34" s="132" t="s">
        <v>485</v>
      </c>
    </row>
    <row r="35" customFormat="false" ht="26.25" hidden="false" customHeight="true" outlineLevel="0" collapsed="false">
      <c r="C35" s="80" t="s">
        <v>366</v>
      </c>
      <c r="D35" s="80" t="s">
        <v>367</v>
      </c>
      <c r="E35" s="80" t="s">
        <v>368</v>
      </c>
    </row>
    <row r="36" customFormat="false" ht="14.25" hidden="false" customHeight="true" outlineLevel="0" collapsed="false">
      <c r="A36" s="0" t="s">
        <v>400</v>
      </c>
      <c r="C36" s="130"/>
      <c r="D36" s="130"/>
      <c r="F36" s="138" t="s">
        <v>412</v>
      </c>
    </row>
    <row r="37" customFormat="false" ht="14.25" hidden="false" customHeight="true" outlineLevel="0" collapsed="false">
      <c r="A37" s="0" t="s">
        <v>402</v>
      </c>
      <c r="B37" s="133" t="n">
        <v>0.35</v>
      </c>
      <c r="C37" s="134"/>
      <c r="D37" s="134"/>
    </row>
    <row r="38" customFormat="false" ht="14.25" hidden="false" customHeight="true" outlineLevel="0" collapsed="false">
      <c r="A38" s="0" t="s">
        <v>403</v>
      </c>
      <c r="E38" s="135" t="n">
        <f aca="false">-E29/(B37-1)</f>
        <v>22467.3895384615</v>
      </c>
    </row>
    <row r="39" customFormat="false" ht="14.25" hidden="false" customHeight="true" outlineLevel="0" collapsed="false">
      <c r="A39" s="85" t="s">
        <v>404</v>
      </c>
      <c r="E39" s="136" t="str">
        <f aca="false">IF(OR(D36="",D36="no KPI data"),"no KPI data",D36+E38)</f>
        <v>no KPI data</v>
      </c>
    </row>
    <row r="40" customFormat="false" ht="42" hidden="false" customHeight="true" outlineLevel="0" collapsed="false">
      <c r="A40" s="137" t="s">
        <v>405</v>
      </c>
    </row>
    <row r="43" customFormat="false" ht="14.25" hidden="false" customHeight="true" outlineLevel="0" collapsed="false">
      <c r="A43" s="105" t="s">
        <v>406</v>
      </c>
    </row>
    <row r="44" customFormat="false" ht="22.5" hidden="false" customHeight="true" outlineLevel="0" collapsed="false">
      <c r="A44" s="88" t="s">
        <v>460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54"/>
    <col collapsed="false" customWidth="true" hidden="false" outlineLevel="0" max="2" min="2" style="0" width="13"/>
    <col collapsed="false" customWidth="true" hidden="false" outlineLevel="0" max="9" min="3" style="0" width="15"/>
    <col collapsed="false" customWidth="true" hidden="false" outlineLevel="0" max="10" min="10" style="0" width="8"/>
  </cols>
  <sheetData>
    <row r="1" customFormat="false" ht="15.75" hidden="false" customHeight="true" outlineLevel="0" collapsed="false">
      <c r="A1" s="74" t="s">
        <v>486</v>
      </c>
    </row>
    <row r="2" customFormat="false" ht="14.25" hidden="false" customHeight="true" outlineLevel="0" collapsed="false">
      <c r="A2" s="75" t="s">
        <v>361</v>
      </c>
    </row>
    <row r="3" customFormat="false" ht="14.25" hidden="false" customHeight="true" outlineLevel="0" collapsed="false">
      <c r="F3" s="85" t="s">
        <v>362</v>
      </c>
    </row>
    <row r="4" customFormat="false" ht="14.25" hidden="false" customHeight="true" outlineLevel="0" collapsed="false">
      <c r="F4" s="122" t="s">
        <v>363</v>
      </c>
    </row>
    <row r="5" customFormat="false" ht="14.25" hidden="false" customHeight="true" outlineLevel="0" collapsed="false">
      <c r="F5" s="123" t="s">
        <v>364</v>
      </c>
    </row>
    <row r="6" customFormat="false" ht="14.25" hidden="false" customHeight="true" outlineLevel="0" collapsed="false">
      <c r="I6" s="75"/>
      <c r="J6" s="124"/>
    </row>
    <row r="7" customFormat="false" ht="14.25" hidden="false" customHeight="true" outlineLevel="0" collapsed="false">
      <c r="A7" s="105" t="s">
        <v>487</v>
      </c>
    </row>
    <row r="8" customFormat="false" ht="26.25" hidden="false" customHeight="true" outlineLevel="0" collapsed="false">
      <c r="C8" s="80" t="s">
        <v>366</v>
      </c>
      <c r="D8" s="80" t="s">
        <v>367</v>
      </c>
      <c r="E8" s="80" t="s">
        <v>368</v>
      </c>
      <c r="F8" s="80" t="s">
        <v>369</v>
      </c>
      <c r="G8" s="80" t="s">
        <v>370</v>
      </c>
      <c r="H8" s="80" t="s">
        <v>371</v>
      </c>
      <c r="I8" s="80" t="s">
        <v>372</v>
      </c>
    </row>
    <row r="9" customFormat="false" ht="14.25" hidden="false" customHeight="true" outlineLevel="0" collapsed="false">
      <c r="A9" s="0" t="s">
        <v>447</v>
      </c>
      <c r="C9" s="125" t="n">
        <v>261</v>
      </c>
      <c r="D9" s="125" t="n">
        <v>243</v>
      </c>
      <c r="E9" s="125" t="n">
        <v>260</v>
      </c>
      <c r="F9" s="125" t="n">
        <v>276</v>
      </c>
      <c r="G9" s="125" t="n">
        <v>292</v>
      </c>
      <c r="H9" s="125" t="n">
        <v>307</v>
      </c>
      <c r="I9" s="125" t="n">
        <v>322</v>
      </c>
    </row>
    <row r="10" customFormat="false" ht="14.25" hidden="false" customHeight="true" outlineLevel="0" collapsed="false">
      <c r="A10" s="0" t="s">
        <v>448</v>
      </c>
      <c r="C10" s="125" t="n">
        <v>0</v>
      </c>
      <c r="D10" s="125" t="n">
        <v>0</v>
      </c>
      <c r="E10" s="125" t="n">
        <v>0</v>
      </c>
      <c r="F10" s="125" t="n">
        <v>0</v>
      </c>
      <c r="G10" s="125" t="n">
        <v>0</v>
      </c>
      <c r="H10" s="125" t="n">
        <v>0</v>
      </c>
      <c r="I10" s="125" t="n">
        <v>0</v>
      </c>
    </row>
    <row r="11" customFormat="false" ht="14.25" hidden="false" customHeight="true" outlineLevel="0" collapsed="false">
      <c r="A11" s="0" t="s">
        <v>242</v>
      </c>
      <c r="C11" s="125" t="n">
        <v>0</v>
      </c>
      <c r="D11" s="125" t="n">
        <v>0</v>
      </c>
      <c r="E11" s="125" t="n">
        <v>0</v>
      </c>
      <c r="F11" s="125" t="n">
        <v>0</v>
      </c>
      <c r="G11" s="125" t="n">
        <v>0</v>
      </c>
      <c r="H11" s="125" t="n">
        <v>0</v>
      </c>
      <c r="I11" s="125" t="n">
        <v>0</v>
      </c>
    </row>
    <row r="12" customFormat="false" ht="14.25" hidden="false" customHeight="true" outlineLevel="0" collapsed="false">
      <c r="A12" s="0" t="s">
        <v>109</v>
      </c>
      <c r="C12" s="125" t="n">
        <v>793</v>
      </c>
      <c r="D12" s="125" t="n">
        <v>797</v>
      </c>
      <c r="E12" s="125" t="n">
        <v>848</v>
      </c>
      <c r="F12" s="125" t="n">
        <v>948</v>
      </c>
      <c r="G12" s="125" t="n">
        <v>1025</v>
      </c>
      <c r="H12" s="125" t="n">
        <v>1099</v>
      </c>
      <c r="I12" s="125" t="n">
        <v>1171</v>
      </c>
    </row>
    <row r="13" customFormat="false" ht="14.25" hidden="false" customHeight="true" outlineLevel="0" collapsed="false">
      <c r="A13" s="85" t="s">
        <v>373</v>
      </c>
      <c r="C13" s="87" t="n">
        <f aca="false">SUM(C9:C12)</f>
        <v>1054</v>
      </c>
      <c r="D13" s="87" t="n">
        <f aca="false">SUM(D9:D12)</f>
        <v>1040</v>
      </c>
      <c r="E13" s="87" t="n">
        <f aca="false">SUM(E9:E12)</f>
        <v>1108</v>
      </c>
      <c r="F13" s="87" t="n">
        <f aca="false">SUM(F9:F12)</f>
        <v>1224</v>
      </c>
      <c r="G13" s="87" t="n">
        <f aca="false">SUM(G9:G12)</f>
        <v>1317</v>
      </c>
      <c r="H13" s="87" t="n">
        <f aca="false">SUM(H9:H12)</f>
        <v>1406</v>
      </c>
      <c r="I13" s="87" t="n">
        <f aca="false">SUM(I9:I12)</f>
        <v>1493</v>
      </c>
    </row>
    <row r="14" customFormat="false" ht="14.25" hidden="false" customHeight="true" outlineLevel="0" collapsed="false">
      <c r="A14" s="75" t="s">
        <v>374</v>
      </c>
    </row>
    <row r="16" customFormat="false" ht="14.25" hidden="false" customHeight="true" outlineLevel="0" collapsed="false">
      <c r="A16" s="105" t="s">
        <v>449</v>
      </c>
      <c r="C16" s="126" t="s">
        <v>450</v>
      </c>
      <c r="D16" s="126" t="s">
        <v>378</v>
      </c>
      <c r="E16" s="126" t="s">
        <v>386</v>
      </c>
      <c r="F16" s="126" t="s">
        <v>387</v>
      </c>
      <c r="G16" s="126" t="s">
        <v>388</v>
      </c>
      <c r="H16" s="126" t="s">
        <v>389</v>
      </c>
    </row>
    <row r="17" customFormat="false" ht="14.25" hidden="false" customHeight="true" outlineLevel="0" collapsed="false">
      <c r="A17" s="0" t="s">
        <v>451</v>
      </c>
      <c r="C17" s="139" t="n">
        <f aca="false">Inputs!$B$5</f>
        <v>739</v>
      </c>
      <c r="D17" s="129" t="n">
        <f aca="false">C17*(1+Inputs!$B$9)</f>
        <v>775.95</v>
      </c>
      <c r="E17" s="129" t="n">
        <f aca="false">D17*(1+'Dashboard (2)'!$T$1)</f>
        <v>799.2285</v>
      </c>
      <c r="F17" s="129" t="n">
        <f aca="false">E17*(1+'Dashboard (2)'!$T$1)</f>
        <v>823.205355</v>
      </c>
      <c r="G17" s="129" t="n">
        <f aca="false">F17*(1+'Dashboard (2)'!$T$1)</f>
        <v>847.90151565</v>
      </c>
      <c r="H17" s="129" t="n">
        <f aca="false">G17*(1+'Dashboard (2)'!$T$1)</f>
        <v>873.3385611195</v>
      </c>
    </row>
    <row r="18" customFormat="false" ht="14.25" hidden="false" customHeight="true" outlineLevel="0" collapsed="false">
      <c r="A18" s="0" t="s">
        <v>452</v>
      </c>
      <c r="C18" s="139" t="n">
        <f aca="false">Inputs!$B$6</f>
        <v>887</v>
      </c>
      <c r="D18" s="129" t="n">
        <f aca="false">C18*(1+Inputs!$B$9)</f>
        <v>931.35</v>
      </c>
      <c r="E18" s="129" t="n">
        <f aca="false">D18*(1+'Dashboard (2)'!$T$1)</f>
        <v>959.2905</v>
      </c>
      <c r="F18" s="129" t="n">
        <f aca="false">E18*(1+'Dashboard (2)'!$T$1)</f>
        <v>988.069215</v>
      </c>
      <c r="G18" s="129" t="n">
        <f aca="false">F18*(1+'Dashboard (2)'!$T$1)</f>
        <v>1017.71129145</v>
      </c>
      <c r="H18" s="129" t="n">
        <f aca="false">G18*(1+'Dashboard (2)'!$T$1)</f>
        <v>1048.2426301935</v>
      </c>
    </row>
    <row r="19" customFormat="false" ht="14.25" hidden="false" customHeight="true" outlineLevel="0" collapsed="false">
      <c r="A19" s="0" t="s">
        <v>453</v>
      </c>
      <c r="C19" s="139" t="n">
        <f aca="false">Inputs!$B$7</f>
        <v>887</v>
      </c>
      <c r="D19" s="129" t="n">
        <f aca="false">C19*(1+Inputs!$B$9)</f>
        <v>931.35</v>
      </c>
      <c r="E19" s="129" t="n">
        <f aca="false">D19*(1+'Dashboard (2)'!$T$1)</f>
        <v>959.2905</v>
      </c>
      <c r="F19" s="129" t="n">
        <f aca="false">E19*(1+'Dashboard (2)'!$T$1)</f>
        <v>988.069215</v>
      </c>
      <c r="G19" s="129" t="n">
        <f aca="false">F19*(1+'Dashboard (2)'!$T$1)</f>
        <v>1017.71129145</v>
      </c>
      <c r="H19" s="129" t="n">
        <f aca="false">G19*(1+'Dashboard (2)'!$T$1)</f>
        <v>1048.2426301935</v>
      </c>
    </row>
    <row r="20" customFormat="false" ht="14.25" hidden="false" customHeight="true" outlineLevel="0" collapsed="false">
      <c r="A20" s="0" t="s">
        <v>454</v>
      </c>
      <c r="C20" s="140" t="n">
        <f aca="false">Inputs!$B$4</f>
        <v>250</v>
      </c>
      <c r="D20" s="129" t="n">
        <f aca="false">C20*(1+Inputs!$B$9)</f>
        <v>262.5</v>
      </c>
      <c r="E20" s="129" t="n">
        <f aca="false">D20*(1+'Dashboard (2)'!$T$1)</f>
        <v>270.375</v>
      </c>
      <c r="F20" s="129" t="n">
        <f aca="false">E20*(1+'Dashboard (2)'!$T$1)</f>
        <v>278.48625</v>
      </c>
      <c r="G20" s="129" t="n">
        <f aca="false">F20*(1+'Dashboard (2)'!$T$1)</f>
        <v>286.8408375</v>
      </c>
      <c r="H20" s="129" t="n">
        <f aca="false">G20*(1+'Dashboard (2)'!$T$1)</f>
        <v>295.446062625</v>
      </c>
    </row>
    <row r="21" customFormat="false" ht="14.25" hidden="false" customHeight="true" outlineLevel="0" collapsed="false">
      <c r="A21" s="75" t="s">
        <v>455</v>
      </c>
    </row>
    <row r="23" customFormat="false" ht="14.25" hidden="false" customHeight="true" outlineLevel="0" collapsed="false">
      <c r="A23" s="105" t="s">
        <v>488</v>
      </c>
    </row>
    <row r="24" customFormat="false" ht="26.25" hidden="false" customHeight="true" outlineLevel="0" collapsed="false">
      <c r="C24" s="80" t="s">
        <v>366</v>
      </c>
      <c r="D24" s="80" t="s">
        <v>367</v>
      </c>
      <c r="E24" s="80" t="s">
        <v>368</v>
      </c>
      <c r="F24" s="80" t="s">
        <v>386</v>
      </c>
      <c r="G24" s="80" t="s">
        <v>387</v>
      </c>
      <c r="H24" s="80" t="s">
        <v>388</v>
      </c>
      <c r="I24" s="80" t="s">
        <v>389</v>
      </c>
    </row>
    <row r="25" customFormat="false" ht="14.25" hidden="false" customHeight="true" outlineLevel="0" collapsed="false">
      <c r="A25" s="0" t="s">
        <v>390</v>
      </c>
      <c r="C25" s="61" t="n">
        <f aca="false">C9*$C$17+C10*$C$18+C11*$C$19+C12*$C$20</f>
        <v>391129</v>
      </c>
      <c r="D25" s="61" t="n">
        <f aca="false">D9*$C$17+D10*$C$18+D11*$C$19+D12*$C$20</f>
        <v>378827</v>
      </c>
      <c r="E25" s="61" t="n">
        <f aca="false">E9*$D$17+E10*$D$18+E11*$D$19+E12*$D$20</f>
        <v>424347</v>
      </c>
      <c r="F25" s="61" t="n">
        <f aca="false">F9*E17+F10*E18+F11*E19+F12*E20</f>
        <v>476902.566</v>
      </c>
      <c r="G25" s="61" t="n">
        <f aca="false">G9*F17+G10*F18+G11*F19+G12*F20</f>
        <v>525824.36991</v>
      </c>
      <c r="H25" s="61" t="n">
        <f aca="false">H9*G17+H10*G18+H11*G19+H12*G20</f>
        <v>575543.84571705</v>
      </c>
      <c r="I25" s="61" t="n">
        <f aca="false">I9*H17+I10*H18+I11*H19+I12*H20</f>
        <v>627182.356014354</v>
      </c>
    </row>
    <row r="26" customFormat="false" ht="14.25" hidden="false" customHeight="true" outlineLevel="0" collapsed="false">
      <c r="A26" s="0" t="s">
        <v>391</v>
      </c>
      <c r="C26" s="130" t="n">
        <v>208360.36</v>
      </c>
      <c r="D26" s="130" t="n">
        <v>197021.69</v>
      </c>
      <c r="E26" s="130" t="n">
        <v>233100</v>
      </c>
      <c r="F26" s="75"/>
    </row>
    <row r="27" customFormat="false" ht="14.25" hidden="false" customHeight="true" outlineLevel="0" collapsed="false">
      <c r="A27" s="0" t="s">
        <v>392</v>
      </c>
      <c r="C27" s="103" t="n">
        <f aca="false">C26/C25</f>
        <v>0.532715191151768</v>
      </c>
      <c r="D27" s="103" t="n">
        <f aca="false">D26/D25</f>
        <v>0.520083547371228</v>
      </c>
      <c r="E27" s="103" t="n">
        <f aca="false">E26/E25</f>
        <v>0.549314593952591</v>
      </c>
    </row>
    <row r="28" customFormat="false" ht="14.25" hidden="false" customHeight="true" outlineLevel="0" collapsed="false">
      <c r="A28" s="0" t="s">
        <v>393</v>
      </c>
      <c r="C28" s="131" t="n">
        <v>0</v>
      </c>
      <c r="D28" s="131" t="n">
        <v>0</v>
      </c>
      <c r="E28" s="131" t="n">
        <f aca="false">MAX(0,MIN('Dashboard (2)'!$N$1,Inputs!$B$38-E27))</f>
        <v>0.018</v>
      </c>
    </row>
    <row r="29" customFormat="false" ht="14.25" hidden="false" customHeight="true" outlineLevel="0" collapsed="false">
      <c r="A29" s="0" t="s">
        <v>394</v>
      </c>
      <c r="C29" s="61" t="n">
        <f aca="false">C25*C28</f>
        <v>0</v>
      </c>
      <c r="D29" s="61" t="n">
        <f aca="false">D25*D28</f>
        <v>0</v>
      </c>
      <c r="E29" s="104" t="n">
        <f aca="false">E25*E28</f>
        <v>7638.246</v>
      </c>
    </row>
    <row r="30" customFormat="false" ht="14.25" hidden="false" customHeight="true" outlineLevel="0" collapsed="false">
      <c r="A30" s="85" t="s">
        <v>395</v>
      </c>
      <c r="C30" s="87" t="n">
        <f aca="false">C26+C29</f>
        <v>208360.36</v>
      </c>
      <c r="D30" s="87" t="n">
        <f aca="false">D26+D29</f>
        <v>197021.69</v>
      </c>
      <c r="E30" s="96" t="n">
        <f aca="false">E26+E29</f>
        <v>240738.246</v>
      </c>
    </row>
    <row r="31" customFormat="false" ht="14.25" hidden="false" customHeight="true" outlineLevel="0" collapsed="false">
      <c r="A31" s="0" t="s">
        <v>396</v>
      </c>
      <c r="C31" s="56" t="n">
        <f aca="false">C30/C25</f>
        <v>0.532715191151768</v>
      </c>
      <c r="D31" s="56" t="n">
        <f aca="false">D30/D25</f>
        <v>0.520083547371228</v>
      </c>
      <c r="E31" s="56" t="n">
        <f aca="false">E30/E25</f>
        <v>0.567314593952591</v>
      </c>
    </row>
    <row r="32" customFormat="false" ht="14.25" hidden="false" customHeight="true" outlineLevel="0" collapsed="false">
      <c r="A32" s="75" t="s">
        <v>397</v>
      </c>
    </row>
    <row r="33" customFormat="false" ht="14.25" hidden="false" customHeight="false" outlineLevel="0" collapsed="false">
      <c r="A33" s="6" t="s">
        <v>457</v>
      </c>
    </row>
    <row r="34" customFormat="false" ht="14.25" hidden="false" customHeight="true" outlineLevel="0" collapsed="false">
      <c r="A34" s="132" t="s">
        <v>489</v>
      </c>
    </row>
    <row r="35" customFormat="false" ht="26.25" hidden="false" customHeight="true" outlineLevel="0" collapsed="false">
      <c r="C35" s="80" t="s">
        <v>366</v>
      </c>
      <c r="D35" s="80" t="s">
        <v>367</v>
      </c>
      <c r="E35" s="80" t="s">
        <v>368</v>
      </c>
    </row>
    <row r="36" customFormat="false" ht="14.25" hidden="false" customHeight="true" outlineLevel="0" collapsed="false">
      <c r="A36" s="0" t="s">
        <v>400</v>
      </c>
      <c r="C36" s="130" t="n">
        <v>555482</v>
      </c>
      <c r="D36" s="130" t="n">
        <v>553873</v>
      </c>
      <c r="F36" s="75" t="s">
        <v>401</v>
      </c>
    </row>
    <row r="37" customFormat="false" ht="14.25" hidden="false" customHeight="true" outlineLevel="0" collapsed="false">
      <c r="A37" s="0" t="s">
        <v>402</v>
      </c>
      <c r="B37" s="133" t="n">
        <v>0.35</v>
      </c>
      <c r="C37" s="134"/>
      <c r="D37" s="134"/>
    </row>
    <row r="38" customFormat="false" ht="14.25" hidden="false" customHeight="true" outlineLevel="0" collapsed="false">
      <c r="A38" s="0" t="s">
        <v>403</v>
      </c>
      <c r="E38" s="135" t="n">
        <f aca="false">-E29/(B37-1)</f>
        <v>11751.1476923077</v>
      </c>
    </row>
    <row r="39" customFormat="false" ht="14.25" hidden="false" customHeight="true" outlineLevel="0" collapsed="false">
      <c r="A39" s="85" t="s">
        <v>404</v>
      </c>
      <c r="E39" s="136" t="n">
        <f aca="false">IF(OR(D36="",D36="no KPI data"),"no KPI data",D36+E38)</f>
        <v>565624.147692308</v>
      </c>
    </row>
    <row r="40" customFormat="false" ht="42" hidden="false" customHeight="true" outlineLevel="0" collapsed="false">
      <c r="A40" s="137" t="s">
        <v>405</v>
      </c>
    </row>
    <row r="43" customFormat="false" ht="14.25" hidden="false" customHeight="true" outlineLevel="0" collapsed="false">
      <c r="A43" s="105" t="s">
        <v>406</v>
      </c>
    </row>
    <row r="44" customFormat="false" ht="22.5" hidden="false" customHeight="true" outlineLevel="0" collapsed="false">
      <c r="A44" s="88" t="s">
        <v>460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6"/>
    <col collapsed="false" customWidth="true" hidden="false" outlineLevel="0" max="19" min="2" style="0" width="15"/>
  </cols>
  <sheetData>
    <row r="1" customFormat="false" ht="15.75" hidden="false" customHeight="true" outlineLevel="0" collapsed="false">
      <c r="A1" s="74" t="s">
        <v>490</v>
      </c>
    </row>
    <row r="2" customFormat="false" ht="14.25" hidden="false" customHeight="true" outlineLevel="0" collapsed="false">
      <c r="A2" s="75" t="s">
        <v>491</v>
      </c>
    </row>
    <row r="7" customFormat="false" ht="14.25" hidden="false" customHeight="true" outlineLevel="0" collapsed="false">
      <c r="P7" s="130" t="n">
        <v>952037.422457297</v>
      </c>
      <c r="S7" s="55" t="s">
        <v>308</v>
      </c>
    </row>
    <row r="8" customFormat="false" ht="14.25" hidden="false" customHeight="true" outlineLevel="0" collapsed="false">
      <c r="O8" s="130" t="n">
        <v>210000</v>
      </c>
      <c r="P8" s="55" t="s">
        <v>492</v>
      </c>
      <c r="Q8" s="130" t="n">
        <v>-260000</v>
      </c>
      <c r="S8" s="130" t="n">
        <v>35284444.2378</v>
      </c>
    </row>
    <row r="9" customFormat="false" ht="14.25" hidden="false" customHeight="true" outlineLevel="0" collapsed="false">
      <c r="O9" s="0" t="s">
        <v>311</v>
      </c>
      <c r="R9" s="130" t="n">
        <v>-350000</v>
      </c>
    </row>
    <row r="10" customFormat="false" ht="14.25" hidden="false" customHeight="true" outlineLevel="0" collapsed="false">
      <c r="N10" s="130" t="n">
        <v>378908</v>
      </c>
      <c r="Q10" s="55" t="s">
        <v>312</v>
      </c>
      <c r="S10" s="130" t="n">
        <v>35284444.2378</v>
      </c>
    </row>
    <row r="11" customFormat="false" ht="14.25" hidden="false" customHeight="true" outlineLevel="0" collapsed="false">
      <c r="K11" s="130" t="n">
        <v>93000</v>
      </c>
      <c r="N11" s="55" t="s">
        <v>313</v>
      </c>
      <c r="R11" s="55" t="s">
        <v>314</v>
      </c>
    </row>
    <row r="12" customFormat="false" ht="14.25" hidden="false" customHeight="true" outlineLevel="0" collapsed="false">
      <c r="M12" s="130" t="n">
        <v>55000</v>
      </c>
    </row>
    <row r="13" customFormat="false" ht="14.25" hidden="false" customHeight="true" outlineLevel="0" collapsed="false">
      <c r="J13" s="130" t="n">
        <v>280000</v>
      </c>
      <c r="K13" s="55" t="s">
        <v>316</v>
      </c>
      <c r="M13" s="55" t="s">
        <v>317</v>
      </c>
      <c r="N13" s="55" t="s">
        <v>318</v>
      </c>
    </row>
    <row r="14" customFormat="false" ht="14.25" hidden="false" customHeight="true" outlineLevel="0" collapsed="false">
      <c r="H14" s="130" t="n">
        <v>46000</v>
      </c>
      <c r="I14" s="130" t="n">
        <v>11940</v>
      </c>
      <c r="J14" s="55" t="s">
        <v>320</v>
      </c>
      <c r="M14" s="55" t="s">
        <v>321</v>
      </c>
      <c r="N14" s="55" t="s">
        <v>322</v>
      </c>
    </row>
    <row r="15" customFormat="false" ht="14.25" hidden="false" customHeight="true" outlineLevel="0" collapsed="false">
      <c r="G15" s="130" t="n">
        <v>75000</v>
      </c>
      <c r="H15" s="55" t="s">
        <v>323</v>
      </c>
      <c r="I15" s="55" t="s">
        <v>324</v>
      </c>
      <c r="N15" s="55" t="s">
        <v>325</v>
      </c>
    </row>
    <row r="16" customFormat="false" ht="14.25" hidden="false" customHeight="true" outlineLevel="0" collapsed="false">
      <c r="F16" s="130" t="n">
        <v>60000</v>
      </c>
      <c r="G16" s="55" t="s">
        <v>327</v>
      </c>
      <c r="H16" s="55" t="s">
        <v>328</v>
      </c>
      <c r="I16" s="55" t="s">
        <v>329</v>
      </c>
      <c r="N16" s="55" t="s">
        <v>330</v>
      </c>
    </row>
    <row r="17" customFormat="false" ht="14.25" hidden="false" customHeight="true" outlineLevel="0" collapsed="false">
      <c r="E17" s="130" t="n">
        <v>96664.1975427</v>
      </c>
      <c r="F17" s="55" t="s">
        <v>332</v>
      </c>
      <c r="H17" s="55" t="s">
        <v>333</v>
      </c>
      <c r="I17" s="55" t="s">
        <v>334</v>
      </c>
      <c r="N17" s="55" t="s">
        <v>330</v>
      </c>
    </row>
    <row r="18" customFormat="false" ht="14.25" hidden="false" customHeight="true" outlineLevel="0" collapsed="false">
      <c r="D18" s="130" t="n">
        <v>691851.847800002</v>
      </c>
      <c r="E18" s="55" t="s">
        <v>336</v>
      </c>
      <c r="H18" s="55" t="s">
        <v>337</v>
      </c>
      <c r="I18" s="55" t="s">
        <v>338</v>
      </c>
    </row>
    <row r="19" customFormat="false" ht="14.25" hidden="false" customHeight="true" outlineLevel="0" collapsed="false">
      <c r="C19" s="130" t="n">
        <v>32944042.77</v>
      </c>
      <c r="D19" s="55" t="s">
        <v>340</v>
      </c>
      <c r="H19" s="55" t="s">
        <v>338</v>
      </c>
      <c r="I19" s="55" t="s">
        <v>337</v>
      </c>
    </row>
    <row r="20" customFormat="false" ht="14.25" hidden="false" customHeight="true" outlineLevel="0" collapsed="false">
      <c r="H20" s="0" t="s">
        <v>342</v>
      </c>
      <c r="I20" s="0" t="s">
        <v>339</v>
      </c>
    </row>
    <row r="21" customFormat="false" ht="14.25" hidden="false" customHeight="true" outlineLevel="0" collapsed="false">
      <c r="H21" s="0" t="s">
        <v>342</v>
      </c>
      <c r="I21" s="0" t="s">
        <v>342</v>
      </c>
    </row>
    <row r="22" customFormat="false" ht="14.25" hidden="false" customHeight="true" outlineLevel="0" collapsed="false">
      <c r="H22" s="0" t="s">
        <v>342</v>
      </c>
      <c r="I22" s="0" t="s">
        <v>342</v>
      </c>
    </row>
    <row r="28" customFormat="false" ht="14.25" hidden="false" customHeight="true" outlineLevel="0" collapsed="false">
      <c r="C28" s="0" t="s">
        <v>351</v>
      </c>
      <c r="S28" s="0" t="s">
        <v>352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0" width="150"/>
  </cols>
  <sheetData>
    <row r="1" customFormat="false" ht="15.75" hidden="false" customHeight="true" outlineLevel="0" collapsed="false">
      <c r="A1" s="66" t="s">
        <v>493</v>
      </c>
    </row>
    <row r="2" customFormat="false" ht="14.25" hidden="false" customHeight="true" outlineLevel="0" collapsed="false">
      <c r="A2" s="75"/>
    </row>
    <row r="3" customFormat="false" ht="14.25" hidden="false" customHeight="true" outlineLevel="0" collapsed="false">
      <c r="A3" s="3" t="s">
        <v>494</v>
      </c>
    </row>
    <row r="4" customFormat="false" ht="14.25" hidden="false" customHeight="true" outlineLevel="0" collapsed="false">
      <c r="A4" s="75" t="s">
        <v>495</v>
      </c>
    </row>
    <row r="5" customFormat="false" ht="14.25" hidden="false" customHeight="true" outlineLevel="0" collapsed="false">
      <c r="A5" s="75" t="s">
        <v>496</v>
      </c>
    </row>
    <row r="6" customFormat="false" ht="14.25" hidden="false" customHeight="true" outlineLevel="0" collapsed="false">
      <c r="A6" s="75"/>
    </row>
    <row r="7" customFormat="false" ht="14.25" hidden="false" customHeight="true" outlineLevel="0" collapsed="false">
      <c r="A7" s="3" t="s">
        <v>497</v>
      </c>
    </row>
    <row r="8" customFormat="false" ht="14.25" hidden="false" customHeight="true" outlineLevel="0" collapsed="false">
      <c r="A8" s="75" t="s">
        <v>498</v>
      </c>
    </row>
    <row r="9" customFormat="false" ht="14.25" hidden="false" customHeight="true" outlineLevel="0" collapsed="false">
      <c r="A9" s="75" t="s">
        <v>499</v>
      </c>
    </row>
    <row r="10" customFormat="false" ht="14.25" hidden="false" customHeight="true" outlineLevel="0" collapsed="false">
      <c r="A10" s="105"/>
    </row>
    <row r="11" customFormat="false" ht="14.25" hidden="false" customHeight="true" outlineLevel="0" collapsed="false">
      <c r="A11" s="3" t="s">
        <v>500</v>
      </c>
    </row>
    <row r="12" customFormat="false" ht="14.25" hidden="false" customHeight="true" outlineLevel="0" collapsed="false">
      <c r="A12" s="75" t="s">
        <v>501</v>
      </c>
    </row>
    <row r="13" customFormat="false" ht="14.25" hidden="false" customHeight="true" outlineLevel="0" collapsed="false">
      <c r="A13" s="75"/>
    </row>
    <row r="14" customFormat="false" ht="14.25" hidden="false" customHeight="true" outlineLevel="0" collapsed="false">
      <c r="A14" s="3" t="s">
        <v>502</v>
      </c>
    </row>
    <row r="15" customFormat="false" ht="14.25" hidden="false" customHeight="true" outlineLevel="0" collapsed="false">
      <c r="A15" s="75" t="s">
        <v>503</v>
      </c>
    </row>
    <row r="16" customFormat="false" ht="14.25" hidden="false" customHeight="true" outlineLevel="0" collapsed="false">
      <c r="A16" s="75" t="s">
        <v>504</v>
      </c>
    </row>
    <row r="17" customFormat="false" ht="14.25" hidden="false" customHeight="true" outlineLevel="0" collapsed="false">
      <c r="A17" s="75" t="s">
        <v>505</v>
      </c>
    </row>
    <row r="18" customFormat="false" ht="14.25" hidden="false" customHeight="true" outlineLevel="0" collapsed="false">
      <c r="A18" s="75" t="s">
        <v>506</v>
      </c>
    </row>
    <row r="19" customFormat="false" ht="14.25" hidden="false" customHeight="true" outlineLevel="0" collapsed="false">
      <c r="A19" s="75"/>
    </row>
    <row r="20" customFormat="false" ht="14.25" hidden="false" customHeight="true" outlineLevel="0" collapsed="false">
      <c r="A20" s="3" t="s">
        <v>507</v>
      </c>
    </row>
    <row r="21" customFormat="false" ht="14.25" hidden="false" customHeight="true" outlineLevel="0" collapsed="false">
      <c r="A21" s="75" t="s">
        <v>508</v>
      </c>
    </row>
    <row r="22" customFormat="false" ht="14.25" hidden="false" customHeight="true" outlineLevel="0" collapsed="false">
      <c r="A22" s="75" t="s">
        <v>509</v>
      </c>
    </row>
    <row r="23" customFormat="false" ht="14.25" hidden="false" customHeight="true" outlineLevel="0" collapsed="false">
      <c r="A23" s="75" t="s">
        <v>510</v>
      </c>
    </row>
    <row r="24" customFormat="false" ht="14.25" hidden="false" customHeight="false" outlineLevel="0" collapsed="false">
      <c r="A24" s="0" t="s">
        <v>511</v>
      </c>
    </row>
    <row r="26" customFormat="false" ht="14.25" hidden="false" customHeight="true" outlineLevel="0" collapsed="false">
      <c r="A26" s="3" t="s">
        <v>512</v>
      </c>
    </row>
    <row r="27" customFormat="false" ht="14.25" hidden="false" customHeight="true" outlineLevel="0" collapsed="false">
      <c r="A27" s="73" t="s">
        <v>513</v>
      </c>
    </row>
    <row r="28" customFormat="false" ht="14.25" hidden="false" customHeight="false" outlineLevel="0" collapsed="false">
      <c r="A28" s="73" t="s">
        <v>514</v>
      </c>
    </row>
    <row r="29" customFormat="false" ht="14.25" hidden="false" customHeight="true" outlineLevel="0" collapsed="false">
      <c r="A29" s="73" t="s">
        <v>515</v>
      </c>
    </row>
    <row r="30" customFormat="false" ht="14.25" hidden="false" customHeight="true" outlineLevel="0" collapsed="false">
      <c r="A30" s="3"/>
    </row>
    <row r="31" customFormat="false" ht="14.25" hidden="false" customHeight="true" outlineLevel="0" collapsed="false">
      <c r="A31" s="3" t="s">
        <v>516</v>
      </c>
    </row>
    <row r="32" customFormat="false" ht="14.25" hidden="false" customHeight="true" outlineLevel="0" collapsed="false">
      <c r="A32" s="73" t="s">
        <v>517</v>
      </c>
    </row>
    <row r="33" customFormat="false" ht="14.25" hidden="false" customHeight="true" outlineLevel="0" collapsed="false">
      <c r="A33" s="73"/>
    </row>
    <row r="34" customFormat="false" ht="14.25" hidden="false" customHeight="false" outlineLevel="0" collapsed="false">
      <c r="A34" s="6" t="s">
        <v>518</v>
      </c>
    </row>
    <row r="35" customFormat="false" ht="14.25" hidden="false" customHeight="true" outlineLevel="0" collapsed="false">
      <c r="A35" s="73"/>
    </row>
    <row r="36" customFormat="false" ht="14.25" hidden="false" customHeight="true" outlineLevel="0" collapsed="false">
      <c r="A36" s="73"/>
    </row>
    <row r="37" customFormat="false" ht="14.25" hidden="false" customHeight="true" outlineLevel="0" collapsed="false">
      <c r="A37" s="3"/>
    </row>
    <row r="38" customFormat="false" ht="14.25" hidden="false" customHeight="true" outlineLevel="0" collapsed="false">
      <c r="A38" s="73"/>
    </row>
    <row r="39" customFormat="false" ht="14.25" hidden="false" customHeight="true" outlineLevel="0" collapsed="false">
      <c r="A39" s="73"/>
    </row>
    <row r="40" customFormat="false" ht="14.25" hidden="false" customHeight="true" outlineLevel="0" collapsed="false">
      <c r="A40" s="73"/>
    </row>
    <row r="41" customFormat="false" ht="14.25" hidden="false" customHeight="true" outlineLevel="0" collapsed="false">
      <c r="A41" s="73"/>
    </row>
    <row r="42" customFormat="false" ht="14.25" hidden="false" customHeight="true" outlineLevel="0" collapsed="false">
      <c r="A42" s="73"/>
    </row>
    <row r="43" customFormat="false" ht="14.25" hidden="false" customHeight="false" outlineLevel="0" collapsed="false">
      <c r="A43" s="73"/>
    </row>
    <row r="44" customFormat="false" ht="14.25" hidden="false" customHeight="true" outlineLevel="0" collapsed="false">
      <c r="A44" s="73"/>
    </row>
    <row r="45" customFormat="false" ht="14.25" hidden="false" customHeight="true" outlineLevel="0" collapsed="false">
      <c r="A45" s="3"/>
    </row>
    <row r="46" customFormat="false" ht="14.25" hidden="false" customHeight="true" outlineLevel="0" collapsed="false">
      <c r="A46" s="73"/>
    </row>
    <row r="47" customFormat="false" ht="14.25" hidden="false" customHeight="true" outlineLevel="0" collapsed="false">
      <c r="A47" s="73"/>
    </row>
    <row r="48" customFormat="false" ht="14.25" hidden="false" customHeight="false" outlineLevel="0" collapsed="false">
      <c r="A48" s="3"/>
    </row>
    <row r="49" customFormat="false" ht="14.25" hidden="false" customHeight="true" outlineLevel="0" collapsed="false">
      <c r="A49" s="73"/>
    </row>
    <row r="56" customFormat="false" ht="14.25" hidden="false" customHeight="false" outlineLevel="0" collapsed="false">
      <c r="A56"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2026-07-17T12:24:24Z</dcterms:created>
  <dc:creator>openpyxl</dc:creator>
  <dc:description/>
  <dc:language>en-US</dc:language>
  <cp:lastModifiedBy>Masumi Hayakawa</cp:lastModifiedBy>
  <dcterms:modified xsi:type="dcterms:W3CDTF">2026-10-23T01:26:15Z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