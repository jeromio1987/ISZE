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sze-my.sharepoint.com/personal/masumi_hayakawa_isuzu-e_com/Documents/2026/ISZE/GPS/"/>
    </mc:Choice>
  </mc:AlternateContent>
  <xr:revisionPtr revIDLastSave="87" documentId="13_ncr:1_{8AB7897D-0C63-4E15-837E-6D43AB0B4468}" xr6:coauthVersionLast="47" xr6:coauthVersionMax="47" xr10:uidLastSave="{FFFF9833-37F4-41FE-8AC7-9B26DE223257}"/>
  <bookViews>
    <workbookView xWindow="-28920" yWindow="-120" windowWidth="29040" windowHeight="15720" tabRatio="500" xr2:uid="{00000000-000D-0000-FFFF-FFFF00000000}"/>
  </bookViews>
  <sheets>
    <sheet name="Dashboard (2)" sheetId="21" r:id="rId1"/>
    <sheet name="Dashboard" sheetId="1" r:id="rId2"/>
    <sheet name="Waterfall VP" sheetId="2" r:id="rId3"/>
    <sheet name="IUK" sheetId="3" r:id="rId4"/>
    <sheet name="UMI" sheetId="4" r:id="rId5"/>
    <sheet name="NORWAY" sheetId="5" r:id="rId6"/>
    <sheet name="SWEDEN" sheetId="6" r:id="rId7"/>
    <sheet name="HUNGARY" sheetId="7" r:id="rId8"/>
    <sheet name="FINLAND" sheetId="8" r:id="rId9"/>
    <sheet name="ROMANIA" sheetId="9" r:id="rId10"/>
    <sheet name="DENMARK" sheetId="10" r:id="rId11"/>
    <sheet name="ICELAND" sheetId="11" r:id="rId12"/>
    <sheet name="GERMANY" sheetId="12" r:id="rId13"/>
    <sheet name="BELGIUM" sheetId="13" r:id="rId14"/>
    <sheet name="PORTUGAL" sheetId="14" r:id="rId15"/>
    <sheet name="IRELAND" sheetId="15" r:id="rId16"/>
    <sheet name="GREECE" sheetId="16" r:id="rId17"/>
    <sheet name="CYPRUS" sheetId="17" r:id="rId18"/>
    <sheet name="MALTA" sheetId="18" r:id="rId19"/>
    <sheet name="Waterfall VP (original)" sheetId="19" r:id="rId20"/>
    <sheet name="Method" sheetId="20" r:id="rId21"/>
  </sheets>
  <externalReferences>
    <externalReference r:id="rId22"/>
  </externalReferences>
  <definedNames>
    <definedName name="_xlnm._FilterDatabase" localSheetId="1" hidden="1">Dashboard!$A$4:$W$4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D9" i="21" l="1"/>
  <c r="AC9" i="21"/>
  <c r="AA8" i="21"/>
  <c r="AA7" i="21"/>
  <c r="AB7" i="21" s="1"/>
  <c r="AA6" i="21"/>
  <c r="T9" i="21"/>
  <c r="S9" i="21"/>
  <c r="R9" i="21"/>
  <c r="R8" i="21"/>
  <c r="R7" i="21"/>
  <c r="R6" i="21"/>
  <c r="Q8" i="21"/>
  <c r="Q7" i="21"/>
  <c r="Q6" i="21"/>
  <c r="AB8" i="21"/>
  <c r="AB6" i="21"/>
  <c r="N45" i="21"/>
  <c r="O44" i="21"/>
  <c r="N44" i="21"/>
  <c r="I44" i="21"/>
  <c r="G44" i="21"/>
  <c r="C47" i="21" s="1"/>
  <c r="C48" i="21" s="1"/>
  <c r="D44" i="21"/>
  <c r="C44" i="21"/>
  <c r="W42" i="21"/>
  <c r="V42" i="21"/>
  <c r="M42" i="21"/>
  <c r="L42" i="21"/>
  <c r="W41" i="21"/>
  <c r="W43" i="21" s="1"/>
  <c r="V41" i="21"/>
  <c r="M41" i="21"/>
  <c r="L41" i="21"/>
  <c r="W39" i="21"/>
  <c r="V39" i="21"/>
  <c r="X39" i="21" s="1"/>
  <c r="M39" i="21"/>
  <c r="L39" i="21"/>
  <c r="W38" i="21"/>
  <c r="W40" i="21" s="1"/>
  <c r="V38" i="21"/>
  <c r="M38" i="21"/>
  <c r="L38" i="21"/>
  <c r="W36" i="21"/>
  <c r="V36" i="21"/>
  <c r="M36" i="21"/>
  <c r="L36" i="21"/>
  <c r="N36" i="21" s="1"/>
  <c r="W35" i="21"/>
  <c r="V35" i="21"/>
  <c r="M35" i="21"/>
  <c r="L35" i="21"/>
  <c r="W33" i="21"/>
  <c r="V33" i="21"/>
  <c r="X33" i="21" s="1"/>
  <c r="M33" i="21"/>
  <c r="L33" i="21"/>
  <c r="W32" i="21"/>
  <c r="V32" i="21"/>
  <c r="X32" i="21" s="1"/>
  <c r="M32" i="21"/>
  <c r="L32" i="21"/>
  <c r="W31" i="21"/>
  <c r="W34" i="21" s="1"/>
  <c r="V31" i="21"/>
  <c r="X31" i="21" s="1"/>
  <c r="M31" i="21"/>
  <c r="L31" i="21"/>
  <c r="W29" i="21"/>
  <c r="V29" i="21"/>
  <c r="X29" i="21" s="1"/>
  <c r="M29" i="21"/>
  <c r="L29" i="21"/>
  <c r="W28" i="21"/>
  <c r="V28" i="21"/>
  <c r="M28" i="21"/>
  <c r="L28" i="21"/>
  <c r="W27" i="21"/>
  <c r="V27" i="21"/>
  <c r="M27" i="21"/>
  <c r="L27" i="21"/>
  <c r="W25" i="21"/>
  <c r="V25" i="21"/>
  <c r="M25" i="21"/>
  <c r="L25" i="21"/>
  <c r="W24" i="21"/>
  <c r="V24" i="21"/>
  <c r="M24" i="21"/>
  <c r="L24" i="21"/>
  <c r="W22" i="21"/>
  <c r="V22" i="21"/>
  <c r="M22" i="21"/>
  <c r="L22" i="21"/>
  <c r="N22" i="21" s="1"/>
  <c r="W21" i="21"/>
  <c r="V21" i="21"/>
  <c r="M21" i="21"/>
  <c r="L21" i="21"/>
  <c r="W20" i="21"/>
  <c r="V20" i="21"/>
  <c r="M20" i="21"/>
  <c r="L20" i="21"/>
  <c r="N20" i="21" s="1"/>
  <c r="W19" i="21"/>
  <c r="V19" i="21"/>
  <c r="M19" i="21"/>
  <c r="L19" i="21"/>
  <c r="W18" i="21"/>
  <c r="V18" i="21"/>
  <c r="M18" i="21"/>
  <c r="L18" i="21"/>
  <c r="W17" i="21"/>
  <c r="V17" i="21"/>
  <c r="X17" i="21" s="1"/>
  <c r="Y17" i="21" s="1"/>
  <c r="M17" i="21"/>
  <c r="L17" i="21"/>
  <c r="N17" i="21" s="1"/>
  <c r="P17" i="21" s="1"/>
  <c r="W16" i="21"/>
  <c r="V16" i="21"/>
  <c r="M16" i="21"/>
  <c r="L16" i="21"/>
  <c r="W15" i="21"/>
  <c r="V15" i="21"/>
  <c r="X15" i="21" s="1"/>
  <c r="Y15" i="21" s="1"/>
  <c r="M15" i="21"/>
  <c r="L15" i="21"/>
  <c r="N15" i="21" s="1"/>
  <c r="P15" i="21" s="1"/>
  <c r="W14" i="21"/>
  <c r="V14" i="21"/>
  <c r="X14" i="21" s="1"/>
  <c r="Y14" i="21" s="1"/>
  <c r="M14" i="21"/>
  <c r="L14" i="21"/>
  <c r="W13" i="21"/>
  <c r="V13" i="21"/>
  <c r="X13" i="21" s="1"/>
  <c r="Y13" i="21" s="1"/>
  <c r="M13" i="21"/>
  <c r="L13" i="21"/>
  <c r="W12" i="21"/>
  <c r="V12" i="21"/>
  <c r="X12" i="21" s="1"/>
  <c r="Y12" i="21" s="1"/>
  <c r="M12" i="21"/>
  <c r="L12" i="21"/>
  <c r="N12" i="21" s="1"/>
  <c r="P12" i="21" s="1"/>
  <c r="W11" i="21"/>
  <c r="V11" i="21"/>
  <c r="M11" i="21"/>
  <c r="N11" i="21" s="1"/>
  <c r="P11" i="21" s="1"/>
  <c r="Y10" i="21"/>
  <c r="V10" i="21"/>
  <c r="L10" i="21" s="1"/>
  <c r="N10" i="21" s="1"/>
  <c r="P10" i="21" s="1"/>
  <c r="W9" i="21"/>
  <c r="M9" i="21"/>
  <c r="X8" i="21"/>
  <c r="N8" i="21"/>
  <c r="X7" i="21"/>
  <c r="N7" i="21"/>
  <c r="X6" i="21"/>
  <c r="X9" i="21" s="1"/>
  <c r="Y9" i="21" s="1"/>
  <c r="N6" i="21"/>
  <c r="N9" i="21" s="1"/>
  <c r="P9" i="21" s="1"/>
  <c r="G7" i="1"/>
  <c r="L21" i="1"/>
  <c r="L22" i="1"/>
  <c r="L5" i="1"/>
  <c r="L6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7" i="1"/>
  <c r="AB9" i="21" l="1"/>
  <c r="N42" i="21"/>
  <c r="X42" i="21"/>
  <c r="M43" i="21"/>
  <c r="X34" i="21"/>
  <c r="Y34" i="21" s="1"/>
  <c r="X27" i="21"/>
  <c r="N13" i="21"/>
  <c r="P13" i="21" s="1"/>
  <c r="N18" i="21"/>
  <c r="P18" i="21" s="1"/>
  <c r="N38" i="21"/>
  <c r="X35" i="21"/>
  <c r="M26" i="21"/>
  <c r="E44" i="21"/>
  <c r="X25" i="21"/>
  <c r="W26" i="21"/>
  <c r="X20" i="21"/>
  <c r="N41" i="21"/>
  <c r="X41" i="21"/>
  <c r="W37" i="21"/>
  <c r="M37" i="21"/>
  <c r="N39" i="21"/>
  <c r="N40" i="21" s="1"/>
  <c r="P40" i="21" s="1"/>
  <c r="M40" i="21"/>
  <c r="X36" i="21"/>
  <c r="X37" i="21" s="1"/>
  <c r="Y37" i="21" s="1"/>
  <c r="N32" i="21"/>
  <c r="X19" i="21"/>
  <c r="Y19" i="21" s="1"/>
  <c r="X43" i="21"/>
  <c r="Y43" i="21" s="1"/>
  <c r="N28" i="21"/>
  <c r="X22" i="21"/>
  <c r="X18" i="21"/>
  <c r="Y18" i="21" s="1"/>
  <c r="N16" i="21"/>
  <c r="P16" i="21" s="1"/>
  <c r="X11" i="21"/>
  <c r="Y11" i="21" s="1"/>
  <c r="N19" i="21"/>
  <c r="P19" i="21" s="1"/>
  <c r="M30" i="21"/>
  <c r="N14" i="21"/>
  <c r="P14" i="21" s="1"/>
  <c r="X38" i="21"/>
  <c r="X40" i="21" s="1"/>
  <c r="Y40" i="21" s="1"/>
  <c r="N43" i="21"/>
  <c r="P43" i="21" s="1"/>
  <c r="N35" i="21"/>
  <c r="N37" i="21" s="1"/>
  <c r="P37" i="21" s="1"/>
  <c r="N21" i="21"/>
  <c r="N23" i="21" s="1"/>
  <c r="P23" i="21" s="1"/>
  <c r="N29" i="21"/>
  <c r="N27" i="21"/>
  <c r="N25" i="21"/>
  <c r="X21" i="21"/>
  <c r="W23" i="21"/>
  <c r="M23" i="21"/>
  <c r="X16" i="21"/>
  <c r="Y16" i="21" s="1"/>
  <c r="N33" i="21"/>
  <c r="X28" i="21"/>
  <c r="X30" i="21" s="1"/>
  <c r="Y30" i="21" s="1"/>
  <c r="X24" i="21"/>
  <c r="X26" i="21" s="1"/>
  <c r="Y26" i="21" s="1"/>
  <c r="N24" i="21"/>
  <c r="W30" i="21"/>
  <c r="M34" i="21"/>
  <c r="N31" i="21"/>
  <c r="C20" i="18"/>
  <c r="D20" i="18" s="1"/>
  <c r="D19" i="18"/>
  <c r="D18" i="18"/>
  <c r="D17" i="18"/>
  <c r="E25" i="18" s="1"/>
  <c r="E13" i="18"/>
  <c r="D13" i="18"/>
  <c r="C13" i="18"/>
  <c r="E39" i="17"/>
  <c r="C20" i="17"/>
  <c r="D20" i="17" s="1"/>
  <c r="E25" i="17" s="1"/>
  <c r="D19" i="17"/>
  <c r="D18" i="17"/>
  <c r="D17" i="17"/>
  <c r="E13" i="17"/>
  <c r="D13" i="17"/>
  <c r="C13" i="17"/>
  <c r="E39" i="16"/>
  <c r="C27" i="16"/>
  <c r="D25" i="16"/>
  <c r="D27" i="16" s="1"/>
  <c r="C25" i="16"/>
  <c r="C29" i="16" s="1"/>
  <c r="C30" i="16" s="1"/>
  <c r="C31" i="16" s="1"/>
  <c r="C20" i="16"/>
  <c r="D20" i="16" s="1"/>
  <c r="E25" i="16" s="1"/>
  <c r="D19" i="16"/>
  <c r="D18" i="16"/>
  <c r="D17" i="16"/>
  <c r="E13" i="16"/>
  <c r="D13" i="16"/>
  <c r="C13" i="16"/>
  <c r="D29" i="15"/>
  <c r="D30" i="15" s="1"/>
  <c r="D31" i="15" s="1"/>
  <c r="C29" i="15"/>
  <c r="C30" i="15" s="1"/>
  <c r="C31" i="15" s="1"/>
  <c r="D27" i="15"/>
  <c r="C27" i="15"/>
  <c r="D25" i="15"/>
  <c r="C25" i="15"/>
  <c r="C20" i="15"/>
  <c r="D20" i="15" s="1"/>
  <c r="E25" i="15" s="1"/>
  <c r="D19" i="15"/>
  <c r="D18" i="15"/>
  <c r="D17" i="15"/>
  <c r="E13" i="15"/>
  <c r="D13" i="15"/>
  <c r="C13" i="15"/>
  <c r="C20" i="14"/>
  <c r="D25" i="14" s="1"/>
  <c r="D19" i="14"/>
  <c r="D18" i="14"/>
  <c r="D17" i="14"/>
  <c r="E13" i="14"/>
  <c r="D13" i="14"/>
  <c r="C13" i="14"/>
  <c r="C20" i="13"/>
  <c r="D20" i="13" s="1"/>
  <c r="D19" i="13"/>
  <c r="D18" i="13"/>
  <c r="E25" i="13" s="1"/>
  <c r="D17" i="13"/>
  <c r="E13" i="13"/>
  <c r="D13" i="13"/>
  <c r="C13" i="13"/>
  <c r="E39" i="12"/>
  <c r="D25" i="12"/>
  <c r="D29" i="12" s="1"/>
  <c r="D30" i="12" s="1"/>
  <c r="D31" i="12" s="1"/>
  <c r="C25" i="12"/>
  <c r="C29" i="12" s="1"/>
  <c r="C30" i="12" s="1"/>
  <c r="C31" i="12" s="1"/>
  <c r="D20" i="12"/>
  <c r="C20" i="12"/>
  <c r="D19" i="12"/>
  <c r="D18" i="12"/>
  <c r="D17" i="12"/>
  <c r="E25" i="12" s="1"/>
  <c r="E13" i="12"/>
  <c r="D13" i="12"/>
  <c r="C13" i="12"/>
  <c r="C14" i="11"/>
  <c r="D14" i="11" s="1"/>
  <c r="E10" i="11"/>
  <c r="D10" i="11"/>
  <c r="C10" i="11"/>
  <c r="C14" i="10"/>
  <c r="D14" i="10" s="1"/>
  <c r="E10" i="10"/>
  <c r="D10" i="10"/>
  <c r="C10" i="10"/>
  <c r="C14" i="9"/>
  <c r="D14" i="9" s="1"/>
  <c r="E10" i="9"/>
  <c r="D10" i="9"/>
  <c r="C10" i="9"/>
  <c r="D19" i="8"/>
  <c r="D23" i="8" s="1"/>
  <c r="D24" i="8" s="1"/>
  <c r="D25" i="8" s="1"/>
  <c r="C19" i="8"/>
  <c r="C21" i="8" s="1"/>
  <c r="E14" i="8"/>
  <c r="F14" i="8" s="1"/>
  <c r="D14" i="8"/>
  <c r="C14" i="8"/>
  <c r="E10" i="8"/>
  <c r="D10" i="8"/>
  <c r="C10" i="8"/>
  <c r="C14" i="7"/>
  <c r="D14" i="7" s="1"/>
  <c r="E10" i="7"/>
  <c r="D10" i="7"/>
  <c r="C10" i="7"/>
  <c r="C14" i="6"/>
  <c r="D14" i="6" s="1"/>
  <c r="E10" i="6"/>
  <c r="D10" i="6"/>
  <c r="C10" i="6"/>
  <c r="C14" i="5"/>
  <c r="D14" i="5" s="1"/>
  <c r="E10" i="5"/>
  <c r="D10" i="5"/>
  <c r="C10" i="5"/>
  <c r="E33" i="4"/>
  <c r="C14" i="4"/>
  <c r="D14" i="4" s="1"/>
  <c r="E10" i="4"/>
  <c r="D10" i="4"/>
  <c r="C10" i="4"/>
  <c r="C14" i="3"/>
  <c r="D14" i="3" s="1"/>
  <c r="E10" i="3"/>
  <c r="D10" i="3"/>
  <c r="C10" i="3"/>
  <c r="N7" i="2"/>
  <c r="U23" i="1"/>
  <c r="Q23" i="1"/>
  <c r="P23" i="1"/>
  <c r="N23" i="1"/>
  <c r="M23" i="1"/>
  <c r="F22" i="1"/>
  <c r="C22" i="1"/>
  <c r="F21" i="1"/>
  <c r="C21" i="1"/>
  <c r="F20" i="1"/>
  <c r="C20" i="1"/>
  <c r="F19" i="1"/>
  <c r="C19" i="1"/>
  <c r="F18" i="1"/>
  <c r="C18" i="1"/>
  <c r="F17" i="1"/>
  <c r="C17" i="1"/>
  <c r="F16" i="1"/>
  <c r="C16" i="1"/>
  <c r="F15" i="1"/>
  <c r="C15" i="1"/>
  <c r="F14" i="1"/>
  <c r="C14" i="1"/>
  <c r="F13" i="1"/>
  <c r="C13" i="1"/>
  <c r="F12" i="1"/>
  <c r="C12" i="1"/>
  <c r="F11" i="1"/>
  <c r="C11" i="1"/>
  <c r="F10" i="1"/>
  <c r="C10" i="1"/>
  <c r="F9" i="1"/>
  <c r="C9" i="1"/>
  <c r="F8" i="1"/>
  <c r="C8" i="1"/>
  <c r="F7" i="1"/>
  <c r="C7" i="1"/>
  <c r="I6" i="1"/>
  <c r="E6" i="1"/>
  <c r="I5" i="1"/>
  <c r="E5" i="1"/>
  <c r="N26" i="21" l="1"/>
  <c r="P26" i="21" s="1"/>
  <c r="N34" i="21"/>
  <c r="P34" i="21" s="1"/>
  <c r="X23" i="21"/>
  <c r="Y23" i="21" s="1"/>
  <c r="N30" i="21"/>
  <c r="P30" i="21" s="1"/>
  <c r="C23" i="1"/>
  <c r="D22" i="1"/>
  <c r="E29" i="18"/>
  <c r="E27" i="18"/>
  <c r="E22" i="1" s="1"/>
  <c r="D27" i="14"/>
  <c r="D29" i="14"/>
  <c r="D30" i="14" s="1"/>
  <c r="D31" i="14" s="1"/>
  <c r="D19" i="3"/>
  <c r="C19" i="3"/>
  <c r="E14" i="3"/>
  <c r="E14" i="4"/>
  <c r="D19" i="4"/>
  <c r="C19" i="4"/>
  <c r="D19" i="9"/>
  <c r="C19" i="9"/>
  <c r="E14" i="9"/>
  <c r="E14" i="10"/>
  <c r="D19" i="10"/>
  <c r="C19" i="10"/>
  <c r="D20" i="1"/>
  <c r="E27" i="16"/>
  <c r="E20" i="1" s="1"/>
  <c r="E29" i="16"/>
  <c r="D21" i="1"/>
  <c r="E29" i="17"/>
  <c r="E27" i="17"/>
  <c r="E21" i="1" s="1"/>
  <c r="E29" i="13"/>
  <c r="D17" i="1"/>
  <c r="E27" i="13"/>
  <c r="E17" i="1" s="1"/>
  <c r="E14" i="11"/>
  <c r="D19" i="11"/>
  <c r="C19" i="11"/>
  <c r="D19" i="7"/>
  <c r="C19" i="7"/>
  <c r="E14" i="7"/>
  <c r="E29" i="12"/>
  <c r="E27" i="12"/>
  <c r="E16" i="1" s="1"/>
  <c r="D16" i="1"/>
  <c r="E27" i="15"/>
  <c r="E19" i="1" s="1"/>
  <c r="D19" i="1"/>
  <c r="E29" i="15"/>
  <c r="D19" i="5"/>
  <c r="C19" i="5"/>
  <c r="E14" i="5"/>
  <c r="D19" i="6"/>
  <c r="C19" i="6"/>
  <c r="E14" i="6"/>
  <c r="D21" i="8"/>
  <c r="E19" i="8"/>
  <c r="D25" i="17"/>
  <c r="C25" i="18"/>
  <c r="C23" i="8"/>
  <c r="C24" i="8" s="1"/>
  <c r="C25" i="8" s="1"/>
  <c r="D29" i="16"/>
  <c r="D30" i="16" s="1"/>
  <c r="D31" i="16" s="1"/>
  <c r="D25" i="18"/>
  <c r="C25" i="17"/>
  <c r="C27" i="12"/>
  <c r="D27" i="12"/>
  <c r="D25" i="13"/>
  <c r="D20" i="14"/>
  <c r="E25" i="14" s="1"/>
  <c r="C25" i="14"/>
  <c r="C25" i="13"/>
  <c r="E27" i="14" l="1"/>
  <c r="E18" i="1" s="1"/>
  <c r="E29" i="14"/>
  <c r="D18" i="1"/>
  <c r="C21" i="5"/>
  <c r="C23" i="5"/>
  <c r="C24" i="5" s="1"/>
  <c r="C25" i="5" s="1"/>
  <c r="C23" i="10"/>
  <c r="C24" i="10" s="1"/>
  <c r="C25" i="10" s="1"/>
  <c r="C21" i="10"/>
  <c r="D23" i="10"/>
  <c r="D24" i="10" s="1"/>
  <c r="D25" i="10" s="1"/>
  <c r="D21" i="10"/>
  <c r="D23" i="9"/>
  <c r="D24" i="9" s="1"/>
  <c r="D25" i="9" s="1"/>
  <c r="D21" i="9"/>
  <c r="E30" i="12"/>
  <c r="V24" i="2"/>
  <c r="G16" i="1"/>
  <c r="E38" i="12"/>
  <c r="F14" i="7"/>
  <c r="E19" i="7"/>
  <c r="C23" i="4"/>
  <c r="C24" i="4" s="1"/>
  <c r="C25" i="4" s="1"/>
  <c r="C21" i="4"/>
  <c r="C29" i="13"/>
  <c r="C30" i="13" s="1"/>
  <c r="C31" i="13" s="1"/>
  <c r="C27" i="13"/>
  <c r="D29" i="13"/>
  <c r="D30" i="13" s="1"/>
  <c r="D31" i="13" s="1"/>
  <c r="D27" i="13"/>
  <c r="C21" i="7"/>
  <c r="C23" i="7"/>
  <c r="C24" i="7" s="1"/>
  <c r="C25" i="7" s="1"/>
  <c r="D23" i="4"/>
  <c r="D24" i="4" s="1"/>
  <c r="D25" i="4" s="1"/>
  <c r="D21" i="4"/>
  <c r="C29" i="17"/>
  <c r="C30" i="17" s="1"/>
  <c r="C31" i="17" s="1"/>
  <c r="C27" i="17"/>
  <c r="D23" i="7"/>
  <c r="D24" i="7" s="1"/>
  <c r="D25" i="7" s="1"/>
  <c r="D21" i="7"/>
  <c r="E19" i="4"/>
  <c r="F14" i="4"/>
  <c r="D29" i="18"/>
  <c r="D30" i="18" s="1"/>
  <c r="D31" i="18" s="1"/>
  <c r="D27" i="18"/>
  <c r="C23" i="11"/>
  <c r="C24" i="11" s="1"/>
  <c r="C25" i="11" s="1"/>
  <c r="C21" i="11"/>
  <c r="E19" i="3"/>
  <c r="F14" i="3"/>
  <c r="G20" i="1"/>
  <c r="E30" i="16"/>
  <c r="E38" i="16"/>
  <c r="V28" i="2"/>
  <c r="F14" i="10"/>
  <c r="E19" i="10"/>
  <c r="C23" i="3"/>
  <c r="C24" i="3" s="1"/>
  <c r="C25" i="3" s="1"/>
  <c r="C21" i="3"/>
  <c r="E19" i="11"/>
  <c r="F14" i="11"/>
  <c r="D23" i="3"/>
  <c r="D24" i="3" s="1"/>
  <c r="D25" i="3" s="1"/>
  <c r="D21" i="3"/>
  <c r="D23" i="6"/>
  <c r="D24" i="6" s="1"/>
  <c r="D25" i="6" s="1"/>
  <c r="D21" i="6"/>
  <c r="D21" i="5"/>
  <c r="D23" i="5"/>
  <c r="D24" i="5" s="1"/>
  <c r="D25" i="5" s="1"/>
  <c r="C29" i="14"/>
  <c r="C30" i="14" s="1"/>
  <c r="C31" i="14" s="1"/>
  <c r="C27" i="14"/>
  <c r="D21" i="11"/>
  <c r="D23" i="11"/>
  <c r="D24" i="11" s="1"/>
  <c r="D25" i="11" s="1"/>
  <c r="C29" i="18"/>
  <c r="C30" i="18" s="1"/>
  <c r="C31" i="18" s="1"/>
  <c r="C27" i="18"/>
  <c r="D29" i="17"/>
  <c r="D30" i="17" s="1"/>
  <c r="D31" i="17" s="1"/>
  <c r="D27" i="17"/>
  <c r="E19" i="5"/>
  <c r="F14" i="5"/>
  <c r="E23" i="8"/>
  <c r="D12" i="1"/>
  <c r="E21" i="8"/>
  <c r="E12" i="1" s="1"/>
  <c r="V25" i="2"/>
  <c r="G17" i="1"/>
  <c r="E38" i="13"/>
  <c r="E39" i="13" s="1"/>
  <c r="E30" i="13"/>
  <c r="G19" i="1"/>
  <c r="E38" i="15"/>
  <c r="E39" i="15" s="1"/>
  <c r="E30" i="15"/>
  <c r="V27" i="2"/>
  <c r="C23" i="9"/>
  <c r="C24" i="9" s="1"/>
  <c r="C25" i="9" s="1"/>
  <c r="C21" i="9"/>
  <c r="E19" i="6"/>
  <c r="F14" i="6"/>
  <c r="E38" i="17"/>
  <c r="E30" i="17"/>
  <c r="G21" i="1"/>
  <c r="V29" i="2"/>
  <c r="E38" i="18"/>
  <c r="E39" i="18" s="1"/>
  <c r="G22" i="1"/>
  <c r="E30" i="18"/>
  <c r="V30" i="2"/>
  <c r="F14" i="9"/>
  <c r="E19" i="9"/>
  <c r="C21" i="6"/>
  <c r="C23" i="6"/>
  <c r="C24" i="6" s="1"/>
  <c r="C25" i="6" s="1"/>
  <c r="E31" i="16" l="1"/>
  <c r="H20" i="1" s="1"/>
  <c r="I20" i="1"/>
  <c r="E24" i="8"/>
  <c r="E32" i="8"/>
  <c r="E33" i="8" s="1"/>
  <c r="V20" i="2"/>
  <c r="G12" i="1"/>
  <c r="D10" i="1"/>
  <c r="E21" i="6"/>
  <c r="E10" i="1" s="1"/>
  <c r="E23" i="6"/>
  <c r="E21" i="5"/>
  <c r="E9" i="1" s="1"/>
  <c r="E23" i="5"/>
  <c r="D9" i="1"/>
  <c r="E31" i="13"/>
  <c r="H17" i="1" s="1"/>
  <c r="I17" i="1"/>
  <c r="E31" i="18"/>
  <c r="H22" i="1" s="1"/>
  <c r="I22" i="1"/>
  <c r="D11" i="1"/>
  <c r="E21" i="7"/>
  <c r="E11" i="1" s="1"/>
  <c r="E23" i="7"/>
  <c r="E31" i="17"/>
  <c r="H21" i="1" s="1"/>
  <c r="I21" i="1"/>
  <c r="E31" i="15"/>
  <c r="H19" i="1" s="1"/>
  <c r="I19" i="1"/>
  <c r="D15" i="1"/>
  <c r="E23" i="11"/>
  <c r="E21" i="11"/>
  <c r="E15" i="1" s="1"/>
  <c r="E23" i="3"/>
  <c r="E21" i="3"/>
  <c r="E7" i="1" s="1"/>
  <c r="D7" i="1"/>
  <c r="I16" i="1"/>
  <c r="E31" i="12"/>
  <c r="H16" i="1" s="1"/>
  <c r="E21" i="4"/>
  <c r="E8" i="1" s="1"/>
  <c r="D8" i="1"/>
  <c r="E23" i="4"/>
  <c r="E23" i="9"/>
  <c r="D13" i="1"/>
  <c r="E21" i="9"/>
  <c r="E13" i="1" s="1"/>
  <c r="V26" i="2"/>
  <c r="E30" i="14"/>
  <c r="E38" i="14"/>
  <c r="E39" i="14" s="1"/>
  <c r="G18" i="1"/>
  <c r="D14" i="1"/>
  <c r="E23" i="10"/>
  <c r="E21" i="10"/>
  <c r="E14" i="1" s="1"/>
  <c r="E32" i="10" l="1"/>
  <c r="E33" i="10" s="1"/>
  <c r="G14" i="1"/>
  <c r="V22" i="2"/>
  <c r="E24" i="10"/>
  <c r="E24" i="7"/>
  <c r="V19" i="2"/>
  <c r="E32" i="7"/>
  <c r="E33" i="7" s="1"/>
  <c r="G11" i="1"/>
  <c r="I18" i="1"/>
  <c r="E31" i="14"/>
  <c r="H18" i="1" s="1"/>
  <c r="E32" i="9"/>
  <c r="E33" i="9" s="1"/>
  <c r="V21" i="2"/>
  <c r="G13" i="1"/>
  <c r="E24" i="9"/>
  <c r="E24" i="4"/>
  <c r="V16" i="2"/>
  <c r="G8" i="1"/>
  <c r="E32" i="4"/>
  <c r="V17" i="2"/>
  <c r="E32" i="5"/>
  <c r="E33" i="5" s="1"/>
  <c r="G9" i="1"/>
  <c r="E24" i="5"/>
  <c r="E32" i="6"/>
  <c r="E33" i="6" s="1"/>
  <c r="G10" i="1"/>
  <c r="V18" i="2"/>
  <c r="E24" i="6"/>
  <c r="D23" i="1"/>
  <c r="E23" i="1" s="1"/>
  <c r="E32" i="3"/>
  <c r="E33" i="3" s="1"/>
  <c r="V15" i="2"/>
  <c r="E24" i="3"/>
  <c r="E32" i="11"/>
  <c r="E33" i="11" s="1"/>
  <c r="V23" i="2"/>
  <c r="E24" i="11"/>
  <c r="G15" i="1"/>
  <c r="E25" i="8"/>
  <c r="H12" i="1" s="1"/>
  <c r="I12" i="1"/>
  <c r="E25" i="5" l="1"/>
  <c r="H9" i="1" s="1"/>
  <c r="I9" i="1"/>
  <c r="I8" i="1"/>
  <c r="E25" i="4"/>
  <c r="H8" i="1" s="1"/>
  <c r="I7" i="1"/>
  <c r="E25" i="3"/>
  <c r="H7" i="1" s="1"/>
  <c r="I13" i="1"/>
  <c r="E25" i="9"/>
  <c r="H13" i="1" s="1"/>
  <c r="E25" i="11"/>
  <c r="H15" i="1" s="1"/>
  <c r="I15" i="1"/>
  <c r="G23" i="1"/>
  <c r="C26" i="1" s="1"/>
  <c r="C27" i="1" s="1"/>
  <c r="E25" i="7"/>
  <c r="H11" i="1" s="1"/>
  <c r="I11" i="1"/>
  <c r="I10" i="1"/>
  <c r="E25" i="6"/>
  <c r="H10" i="1" s="1"/>
  <c r="E25" i="10"/>
  <c r="H14" i="1" s="1"/>
  <c r="I14" i="1"/>
  <c r="P4" i="2"/>
  <c r="V31" i="2"/>
  <c r="I23" i="1" l="1"/>
  <c r="Q4" i="2"/>
  <c r="V9" i="2" s="1"/>
  <c r="T5" i="2" l="1"/>
</calcChain>
</file>

<file path=xl/sharedStrings.xml><?xml version="1.0" encoding="utf-8"?>
<sst xmlns="http://schemas.openxmlformats.org/spreadsheetml/2006/main" count="1251" uniqueCount="381">
  <si>
    <t>ISZE — FY2027 GPS Extended Target</t>
  </si>
  <si>
    <t>ISZE-&gt;DB level only (columns A:J). Stretch % lives on each DB tab. Everything here and on Waterfall VP is live. Dealer-level (DB-&gt;DLR) GPS% blend dropped — see WATCH. Two blocks added 22-07-2026, clearly separated by level: L:M = ISZE→DB billing actuals (reference only); O:U = DB→DLR Sales-to-Dealer, a SEPARATE track, NOT blended into A:J. See Method tab.</t>
  </si>
  <si>
    <t>ISZE → DB  (billing / GPS% — unchanged, live)</t>
  </si>
  <si>
    <t>ISZE → DB  (billing actuals, ref only)</t>
  </si>
  <si>
    <t>DB → DLR  (Sales to Dealer — separate track, NOT GPS)</t>
  </si>
  <si>
    <t>DB</t>
  </si>
  <si>
    <t>Segment</t>
  </si>
  <si>
    <t>BP FY27</t>
  </si>
  <si>
    <t>Max spend</t>
  </si>
  <si>
    <t>GPS %</t>
  </si>
  <si>
    <t>Stretch%</t>
  </si>
  <si>
    <t>Stretch EUR</t>
  </si>
  <si>
    <t>New GPS</t>
  </si>
  <si>
    <t>EXT TARGET</t>
  </si>
  <si>
    <t>Note</t>
  </si>
  <si>
    <t>ISZE billing FY25 (EUR)</t>
  </si>
  <si>
    <t>ISZE billing FY26 (EUR)</t>
  </si>
  <si>
    <t>Sales to Dealer FY25 (EUR)</t>
  </si>
  <si>
    <t>Sales to Dealer FY26 (EUR)</t>
  </si>
  <si>
    <t>UIO growth FY26→FY27</t>
  </si>
  <si>
    <t>Price increase FY27</t>
  </si>
  <si>
    <t>Add'l growth (small, bounded 0.5–4%)</t>
  </si>
  <si>
    <t>Sales to Dealer FY27 TARGET (EUR)</t>
  </si>
  <si>
    <t>S2D Note  (S2D = Sales-to-Dealer, i.e. this whole DB→DLR block)</t>
  </si>
  <si>
    <t>Rationale</t>
  </si>
  <si>
    <t>ITUK</t>
  </si>
  <si>
    <t>presented</t>
  </si>
  <si>
    <t>V4 basis (CY2027F, no +5%) — NOT rebased</t>
  </si>
  <si>
    <t>Skipped</t>
  </si>
  <si>
    <t>N/A — skipped for this round (see S2D Note).</t>
  </si>
  <si>
    <t>UTI</t>
  </si>
  <si>
    <t>IUK</t>
  </si>
  <si>
    <t>LCV</t>
  </si>
  <si>
    <t>full 12/12 monthly coverage both FY25 and FY26</t>
  </si>
  <si>
    <t>Historical non-UIO growth signal was +16% (above peers), ranking 7/10 strongest among the 10 comparable DBs. Banded across the peer range (0.5%-4%) by rank, floored to nearest 0.5% -&gt; 2.5% suggested. Jerome set 2.0% instead (22-07-2026) — used as final.</t>
  </si>
  <si>
    <t>UMI</t>
  </si>
  <si>
    <t>Insufficient data</t>
  </si>
  <si>
    <t>Insufficient data — KPI marks UMI DB→DLR "Internal only", no figures.</t>
  </si>
  <si>
    <t>N/A — insufficient data, no target set (see S2D Note).</t>
  </si>
  <si>
    <t>NORWAY</t>
  </si>
  <si>
    <t>FY26 annualized from 11/12 months</t>
  </si>
  <si>
    <t>Historical non-UIO growth signal was +62% (above peers), ranking 10/10 strongest among the 10 comparable DBs. Banded across the peer range (0.5%-4%) by rank, floored to nearest 0.5% -&gt; 4.0% suggested. Jerome set 3.0% instead (22-07-2026) — used as final.</t>
  </si>
  <si>
    <t>SWEDEN</t>
  </si>
  <si>
    <t>Historical non-UIO growth signal was +9% (above peers), ranking 6/10 strongest among the 10 comparable DBs. Banded across the peer range (0.5%-4%) by rank, floored to nearest 0.5% -&gt; 2.0% suggested.</t>
  </si>
  <si>
    <t>HUNGARY</t>
  </si>
  <si>
    <t>Insufficient data — no Hungary/AutoWallis row in the KPI DB→DLR block.</t>
  </si>
  <si>
    <t>FINLAND</t>
  </si>
  <si>
    <t>Insufficient data — KPI DB→DLR (IMF/Nordic Auto.) stopped reporting Oct'25, 9 months stale.</t>
  </si>
  <si>
    <t>ROMANIA</t>
  </si>
  <si>
    <t>Historical non-UIO growth signal was -5% (below peers), ranking 2/10 strongest among the 10 comparable DBs. Banded across the peer range (0.5%-4%) by rank, floored to nearest 0.5% -&gt; 0.5% suggested. Jerome set 1.0% instead (22-07-2026) — used as final.</t>
  </si>
  <si>
    <t>DENMARK</t>
  </si>
  <si>
    <t>Historical non-UIO growth signal was +57% (above peers), ranking 9/10 strongest among the 10 comparable DBs. Banded across the peer range (0.5%-4%) by rank, floored to nearest 0.5% -&gt; 3.5% suggested.</t>
  </si>
  <si>
    <t>ICELAND</t>
  </si>
  <si>
    <t>Historical non-UIO growth signal was -21% (below peers), ranking 1/10 strongest among the 10 comparable DBs. Banded across the peer range (0.5%-4%) by rank, floored to nearest 0.5% -&gt; 0.5% suggested.</t>
  </si>
  <si>
    <t>GERMANY</t>
  </si>
  <si>
    <t>mixed</t>
  </si>
  <si>
    <t>Insufficient data — KPI DB→DLR (ISD) stopped reporting Mar'25, 15+ months stale.</t>
  </si>
  <si>
    <t>BELGIUM</t>
  </si>
  <si>
    <t>FY25 annualized from 10/12 months</t>
  </si>
  <si>
    <t>Historical non-UIO growth signal was +36% (above peers), ranking 8/10 strongest among the 10 comparable DBs. Banded across the peer range (0.5%-4%) by rank, floored to nearest 0.5% -&gt; 3.0% suggested.</t>
  </si>
  <si>
    <t>PORTUGAL</t>
  </si>
  <si>
    <t>FY25 annualized from 7/12 months</t>
  </si>
  <si>
    <t>Historical non-UIO growth signal was +1% (above peers), ranking 5/10 strongest among the 10 comparable DBs. Banded across the peer range (0.5%-4%) by rank, floored to nearest 0.5% -&gt; 2.0% suggested.</t>
  </si>
  <si>
    <t>IRELAND</t>
  </si>
  <si>
    <t>Historical non-UIO growth signal was -5% (below peers), ranking 3/10 strongest among the 10 comparable DBs. Banded across the peer range (0.5%-4%) by rank, floored to nearest 0.5% -&gt; 1.0% suggested.</t>
  </si>
  <si>
    <t>GREECE</t>
  </si>
  <si>
    <t>Insufficient data — Petros Petropoulos stale since Jun'25 (12+ months).</t>
  </si>
  <si>
    <t>CYPRUS</t>
  </si>
  <si>
    <t>Insufficient data — Cyprus's real distributor (Loutsios &amp; Sons) has zero KPI data. KPI's 'MIDI' row is Italy's, not Cyprus's — excluded.</t>
  </si>
  <si>
    <t>MALTA</t>
  </si>
  <si>
    <t>Historical non-UIO growth signal was +1% (above peers), ranking 4/10 strongest among the 10 comparable DBs. Banded across the peer range (0.5%-4%) by rank, floored to nearest 0.5% -&gt; 1.5% suggested.</t>
  </si>
  <si>
    <t>TOTAL</t>
  </si>
  <si>
    <t>Remaining stretch BEFORE GPS</t>
  </si>
  <si>
    <t>GPS contribution (18 DBs)</t>
  </si>
  <si>
    <t>Remaining stretch AFTER GPS</t>
  </si>
  <si>
    <t>negative = over-covered = buffer</t>
  </si>
  <si>
    <t>WATCH</t>
  </si>
  <si>
    <t>• DEALER-LEVEL BLOCK DROPPED (Jerome, 17-07-2026). The KPI 'Parts Sales DB to DLR' figure is 2.2x-3.7x ISZE billing (IUK 3.58x, Denmark 3.67x, Romania 2.19x). A 35% DB margin implies 1.54x. To reconcile you would need DB margins of 54-73%. It is not the same goods marked up, so the /0.65 gross-up was invalid — and it is the same reason the DB-to-DLR GPS exceeded 100%.</t>
  </si>
  <si>
    <t>• BASIS SPLIT: ITUK and UTI carry their AS-PRESENTED V4 figures. V4 (2026-07-06) maps FY27 to UIO CY2027F — the off-by-one MH corrected on 17-07 — and has no +5%. Every other row is on MH's corrected basis. OPEN: rebase, or ratify V4?</t>
  </si>
  <si>
    <t>• V4 IUK max spend = 50,202 (CY2027F) x EUR250 = 12,550,500. This file: 49,280 (CY2026F) x 230.543 = 11,361,161.</t>
  </si>
  <si>
    <t>• FINLAND (121.3%), ICELAND (105.2%) and IRELAND (104.6%) exceed 100% GPS after stretch — the target is above the theoretical max spend of their whole parc. Not quotable as a %. Discuss the amount, or agree the per-unit rate first. BELGIUM (96.7%) and NORWAY (96.2%) are close behind.</t>
  </si>
  <si>
    <t>• GREECE billing = payer 66, labelled 'RSA' in gps_billing_fy_ALLCUSTOMERS.csv. It is Greece, not Norway. The warranty file uses 'RSA' for Norway — joining the two on that name merges Greece's sales into Norway. Live bug at source.</t>
  </si>
  <si>
    <t>• BELGIUM = ISUZU BENELUX NV covering BE/NL/PL/LUX, but only the BELGIUM UIO rows are in its max spend.</t>
  </si>
  <si>
    <t>check:</t>
  </si>
  <si>
    <t>GPS extended target</t>
  </si>
  <si>
    <t>remaining stretch / SURPLUS if negative</t>
  </si>
  <si>
    <t>MOS ISA+RSA</t>
  </si>
  <si>
    <t>Shell oil decrease</t>
  </si>
  <si>
    <t>SPA</t>
  </si>
  <si>
    <t>negative impact on volume from price increase</t>
  </si>
  <si>
    <t>SURPLUS vs FY2027 Plan  (GPS exceeds the gap)</t>
  </si>
  <si>
    <t>local DPD</t>
  </si>
  <si>
    <t>Overstock campaign</t>
  </si>
  <si>
    <t># Original: 1,015k</t>
  </si>
  <si>
    <t>Q4 stays negative — the bridge needs it to close to the Plan. This is the same number, stated positively.</t>
  </si>
  <si>
    <t>local brake</t>
  </si>
  <si>
    <t>All DB's 55K€</t>
  </si>
  <si>
    <t>-&gt; IUK 71,575</t>
  </si>
  <si>
    <t>Genuine Share</t>
  </si>
  <si>
    <t>PMS</t>
  </si>
  <si>
    <t>-&gt; UTI 307333</t>
  </si>
  <si>
    <t>GPS extended target — per customer</t>
  </si>
  <si>
    <t>L/B</t>
  </si>
  <si>
    <t># Original: 46,000</t>
  </si>
  <si>
    <t># Original: 11,940</t>
  </si>
  <si>
    <t>-&gt;</t>
  </si>
  <si>
    <t>-&gt; ITUK  (as presented, V4 basis)</t>
  </si>
  <si>
    <t>Cab</t>
  </si>
  <si>
    <t>-&gt; ITUK 376,074</t>
  </si>
  <si>
    <t>-&gt; ITUK 8,000</t>
  </si>
  <si>
    <t>-&gt; UTI  (as presented, V4 basis)</t>
  </si>
  <si>
    <t>UIO up</t>
  </si>
  <si>
    <t>-&gt; Ireland</t>
  </si>
  <si>
    <t>-&gt; Portugal</t>
  </si>
  <si>
    <t>-&gt; IUK</t>
  </si>
  <si>
    <t>Price up 2%</t>
  </si>
  <si>
    <t>-&gt; UMI</t>
  </si>
  <si>
    <t xml:space="preserve">-&gt; </t>
  </si>
  <si>
    <t>-&gt; NORWAY</t>
  </si>
  <si>
    <t>-&gt; SWEDEN</t>
  </si>
  <si>
    <t>-&gt; HUNGARY</t>
  </si>
  <si>
    <t>-&gt; FINLAND</t>
  </si>
  <si>
    <t>-&gt; ROMANIA</t>
  </si>
  <si>
    <t>-&gt; DENMARK</t>
  </si>
  <si>
    <t>-&gt; ICELAND</t>
  </si>
  <si>
    <t>-&gt; GERMANY</t>
  </si>
  <si>
    <t>FY2026 Actual</t>
  </si>
  <si>
    <t>FY2027 Plan</t>
  </si>
  <si>
    <t>-&gt; BELGIUM</t>
  </si>
  <si>
    <t>-&gt; PORTUGAL</t>
  </si>
  <si>
    <t>-&gt; IRELAND</t>
  </si>
  <si>
    <t>-&gt; GREECE</t>
  </si>
  <si>
    <t>-&gt; CYPRUS</t>
  </si>
  <si>
    <t>-&gt; MALTA</t>
  </si>
  <si>
    <t>GPS total</t>
  </si>
  <si>
    <t>IUK — GPS Extended Target FY2027 · I.M. PARTS &amp; SERVICE Limited   [LCV only]</t>
  </si>
  <si>
    <t>ISZE-&gt;DB level only. Blue = adjustable. Dealer-level (DB-&gt;DLR) block removed: the KPI dealer figure is 2.2-3.7x ISZE billing, which cannot be a 35% margin on the same goods.</t>
  </si>
  <si>
    <t>Colours</t>
  </si>
  <si>
    <t>Firm / actual</t>
  </si>
  <si>
    <t>Stretch</t>
  </si>
  <si>
    <t>In-house FX: EUR@181, GBP@210, EUR/GBP1.16</t>
  </si>
  <si>
    <t>IUK UIO (LCV)</t>
  </si>
  <si>
    <t>FY25 (Apr'24-Mar'25)</t>
  </si>
  <si>
    <t>FY26 (Apr'25-Mar'26)</t>
  </si>
  <si>
    <t>FY27 (Apr'26-Mar'27)</t>
  </si>
  <si>
    <t>TTL</t>
  </si>
  <si>
    <t>Source: UIO v19 '1.UIO Overview' row 25, LCV — CY2024 / CY2025E / CY2026F mapped to FY25 / FY26 / FY27 (UIO shifted one column right).</t>
  </si>
  <si>
    <t>Parts Sales / Unit (EUR)</t>
  </si>
  <si>
    <t>GBP-&gt;EUR</t>
  </si>
  <si>
    <t>Conv. To ISZE</t>
  </si>
  <si>
    <t>FY27 (+5%)</t>
  </si>
  <si>
    <t>FY28 (+3%)</t>
  </si>
  <si>
    <t>ISZE-net EUR/unit (= DB cost)  ·  per MH</t>
  </si>
  <si>
    <t>MH chain: 291.2 x 1.16 = 337.79 -&gt; x0.65 = 219.5648 ISZE-net (FY26 base). FY27 = +5% price increase. FY28-31 = +3%/yr (IML policy).</t>
  </si>
  <si>
    <t>ISZE -&gt; IUK wholesale (ISZE-net EUR)  &lt;&lt;  EXTENDED TARGET IS SET HERE</t>
  </si>
  <si>
    <t>Max spend / potential (= UIO x ISZE-net rate)</t>
  </si>
  <si>
    <t>Actual (ISZE billing) · FY27 = BP target</t>
  </si>
  <si>
    <t>FY27 = BP reviewed 24-04-2026</t>
  </si>
  <si>
    <t>Share (GPS, ISZE level)</t>
  </si>
  <si>
    <t>Stretch idea (%) - set me</t>
  </si>
  <si>
    <t>Stretch amount (= max spend x stretch%)</t>
  </si>
  <si>
    <t>TTL amount (= actual + stretch)  &lt;&lt;  EXTENDED TARGET</t>
  </si>
  <si>
    <t>Share (new)</t>
  </si>
  <si>
    <t>Source: 00_derived/gps_billing_fy_ALLCUSTOMERS.csv canonical 'IUK' (net_gps, GPS-audited, FY-aligned, lubricants included).</t>
  </si>
  <si>
    <t>IUK -&gt; DEALER level (DB-&gt;DLR) — MH method (35% DB margin gross-up)</t>
  </si>
  <si>
    <t>Parts Sales DB-to-DLR (actual) · KPI Master File june 2026.xlsx</t>
  </si>
  <si>
    <t>FY25 12/12 mo · FY26 12/12 mo</t>
  </si>
  <si>
    <t>DB margin % (MH assumption — same as testcase B15)</t>
  </si>
  <si>
    <t>Stretch amount at dealer (= ISZE stretch / (1 − margin))  ·  MH E29</t>
  </si>
  <si>
    <t>FY27 AMOUNT TO REACH at dealer (= FY26 actual + dealer stretch)</t>
  </si>
  <si>
    <t>MH method (same factors as ISZE_IUK_Sales_Share_Stretch_TESTCASE): DB margin 35% → dealer stretch = ISZE stretch / (1−0.35) = ISZE stretch / 0.65 (identical to MH E29 = −E41/(0.35−1)). FY27 amount to reach = FY26 dealer actual + dealer stretch. Observed dealer/ISZE often ≠ 1.54x — not used for the conversion.</t>
  </si>
  <si>
    <t>GAPS / open items</t>
  </si>
  <si>
    <t>1. LCV rate: MH's 291.2 chain ends at 219.5648. The identical GBP400 under the v9 CV convention ends at 296. Same source, two conventions — carried as instructed.</t>
  </si>
  <si>
    <t>UMI — GPS Extended Target FY2027 · UNIVERSAL MOTORS ISRAEL LTD   [LCV only]</t>
  </si>
  <si>
    <t>UMI UIO (LCV)</t>
  </si>
  <si>
    <t>Source: UIO v19 '1.UIO Overview' row 9, LCV — CY2024 / CY2025E / CY2026F mapped to FY25 / FY26 / FY27 (UIO shifted one column right).</t>
  </si>
  <si>
    <t>ISZE -&gt; UMI wholesale (ISZE-net EUR)  &lt;&lt;  EXTENDED TARGET IS SET HERE</t>
  </si>
  <si>
    <t>Source: 00_derived/gps_billing_fy_ALLCUSTOMERS.csv canonical 'UMI' (net_gps, GPS-audited, FY-aligned, lubricants included).</t>
  </si>
  <si>
    <t>UMI -&gt; DEALER level (DB-&gt;DLR) — MH method (35% DB margin gross-up)</t>
  </si>
  <si>
    <t>FY25 0/12 mo · FY26 0/12 mo</t>
  </si>
  <si>
    <t>2. Dealer-level data is 'Internal only' in the KPI Master — irrelevant now that the DB-to-DLR block is dropped.</t>
  </si>
  <si>
    <t>NORWAY — GPS Extended Target FY2027 · RUTEBILEIERNES STANDARDISERING AS   [LCV only]</t>
  </si>
  <si>
    <t>NORWAY UIO (LCV)</t>
  </si>
  <si>
    <t>Source: UIO v19 '1.UIO Overview' row 15, LCV — CY2024 / CY2025E / CY2026F mapped to FY25 / FY26 / FY27 (UIO shifted one column right).</t>
  </si>
  <si>
    <t>ISZE -&gt; NORWAY wholesale (ISZE-net EUR)  &lt;&lt;  EXTENDED TARGET IS SET HERE</t>
  </si>
  <si>
    <t>Source: 00_derived/gps_billing_fy_ALLCUSTOMERS.csv canonical 'Norway' (net_gps, GPS-audited, FY-aligned, lubricants included).</t>
  </si>
  <si>
    <t>NORWAY -&gt; DEALER level (DB-&gt;DLR) — MH method (35% DB margin gross-up)</t>
  </si>
  <si>
    <t>FY25 12/12 mo · FY26 11/12 mo</t>
  </si>
  <si>
    <t>2. Billing = payer 86 only. Payer 66 (labelled 'RSA' in the billing file) is GREECE, not Norway — confirmed by Jerome 17-07-2026. Do not join billing to warranty on the name 'RSA'.</t>
  </si>
  <si>
    <t>SWEDEN — GPS Extended Target FY2027 · ISUZU SVERIGE AB   [LCV only]</t>
  </si>
  <si>
    <t>SWEDEN UIO (LCV)</t>
  </si>
  <si>
    <t>Source: UIO v19 '1.UIO Overview' row 18, LCV — CY2024 / CY2025E / CY2026F mapped to FY25 / FY26 / FY27 (UIO shifted one column right).</t>
  </si>
  <si>
    <t>ISZE -&gt; SWEDEN wholesale (ISZE-net EUR)  &lt;&lt;  EXTENDED TARGET IS SET HERE</t>
  </si>
  <si>
    <t>Source: 00_derived/gps_billing_fy_ALLCUSTOMERS.csv canonical 'Sverige' (net_gps, GPS-audited, FY-aligned, lubricants included).</t>
  </si>
  <si>
    <t>SWEDEN -&gt; DEALER level (DB-&gt;DLR) — MH method (35% DB margin gross-up)</t>
  </si>
  <si>
    <t>HUNGARY — GPS Extended Target FY2027 · AW Distribution Kft.   [LCV only]</t>
  </si>
  <si>
    <t>HUNGARY UIO (LCV)</t>
  </si>
  <si>
    <t>Source: UIO v19 '1.UIO Overview' row 75, LCV — CY2024 / CY2025E / CY2026F mapped to FY25 / FY26 / FY27 (UIO shifted one column right).</t>
  </si>
  <si>
    <t>ISZE -&gt; HUNGARY wholesale (ISZE-net EUR)  &lt;&lt;  EXTENDED TARGET IS SET HERE</t>
  </si>
  <si>
    <t>Source: 00_derived/gps_billing_fy_ALLCUSTOMERS.csv canonical 'AutoWallis' (net_gps, GPS-audited, FY-aligned, lubricants included).</t>
  </si>
  <si>
    <t>HUNGARY -&gt; DEALER level (DB-&gt;DLR) — MH method (35% DB margin gross-up)</t>
  </si>
  <si>
    <t>FINLAND — GPS Extended Target FY2027 · Nordic Automotive trading oy.   [LCV only]</t>
  </si>
  <si>
    <t>FINLAND UIO (LCV)</t>
  </si>
  <si>
    <t>Source: UIO v19 '1.UIO Overview' row 66, LCV — CY2024 / CY2025E / CY2026F mapped to FY25 / FY26 / FY27 (UIO shifted one column right).</t>
  </si>
  <si>
    <t>ISZE -&gt; FINLAND wholesale (ISZE-net EUR)  &lt;&lt;  EXTENDED TARGET IS SET HERE</t>
  </si>
  <si>
    <t>Source: 00_derived/gps_billing_fy_ALLCUSTOMERS.csv canonical 'Nordic FI' (net_gps, GPS-audited, FY-aligned, lubricants included).</t>
  </si>
  <si>
    <t>FINLAND -&gt; DEALER level (DB-&gt;DLR) — MH method (35% DB margin gross-up)</t>
  </si>
  <si>
    <t>FY25 12/12 mo · FY26 6/12 mo</t>
  </si>
  <si>
    <t>2. TARGET EXCEEDS 100% OF THE PARC'S MAX SPEND. Do not quote a GPS % to this DB — discuss the amount, or agree the per-unit rate first.</t>
  </si>
  <si>
    <t>ROMANIA — GPS Extended Target FY2027 · Isuzu Rom Auto   [LCV only]</t>
  </si>
  <si>
    <t>ROMANIA UIO (LCV)</t>
  </si>
  <si>
    <t>Source: UIO v19 '1.UIO Overview' row 84, LCV — CY2024 / CY2025E / CY2026F mapped to FY25 / FY26 / FY27 (UIO shifted one column right).</t>
  </si>
  <si>
    <t>ISZE -&gt; ROMANIA wholesale (ISZE-net EUR)  &lt;&lt;  EXTENDED TARGET IS SET HERE</t>
  </si>
  <si>
    <t>Source: 00_derived/gps_billing_fy_ALLCUSTOMERS.csv canonical 'ROM Auto' (net_gps, GPS-audited, FY-aligned, lubricants included).</t>
  </si>
  <si>
    <t>ROMANIA -&gt; DEALER level (DB-&gt;DLR) — MH method (35% DB margin gross-up)</t>
  </si>
  <si>
    <t>2. Absent from distributor_master_mapping.csv — mapping gap. LCV-only per v9 and the UIO row.</t>
  </si>
  <si>
    <t>DENMARK — GPS Extended Target FY2027 · ISUZU DANMARK A/S   [LCV only]</t>
  </si>
  <si>
    <t>DENMARK UIO (LCV)</t>
  </si>
  <si>
    <t>Source: UIO v19 '1.UIO Overview' row 21, LCV — CY2024 / CY2025E / CY2026F mapped to FY25 / FY26 / FY27 (UIO shifted one column right).</t>
  </si>
  <si>
    <t>ISZE -&gt; DENMARK wholesale (ISZE-net EUR)  &lt;&lt;  EXTENDED TARGET IS SET HERE</t>
  </si>
  <si>
    <t>Source: 00_derived/gps_billing_fy_ALLCUSTOMERS.csv canonical 'Danmark' (net_gps, GPS-audited, FY-aligned, lubricants included).</t>
  </si>
  <si>
    <t>DENMARK -&gt; DEALER level (DB-&gt;DLR) — MH method (35% DB margin gross-up)</t>
  </si>
  <si>
    <t>ICELAND — GPS Extended Target FY2027 · BL. EHF.   [LCV only]</t>
  </si>
  <si>
    <t>ICELAND UIO (LCV)</t>
  </si>
  <si>
    <t>Source: UIO v19 '1.UIO Overview' row 12, LCV — CY2024 / CY2025E / CY2026F mapped to FY25 / FY26 / FY27 (UIO shifted one column right).</t>
  </si>
  <si>
    <t>ISZE -&gt; ICELAND wholesale (ISZE-net EUR)  &lt;&lt;  EXTENDED TARGET IS SET HERE</t>
  </si>
  <si>
    <t>Source: 00_derived/gps_billing_fy_ALLCUSTOMERS.csv canonical 'BL Iceland' (net_gps, GPS-audited, FY-aligned, lubricants included).</t>
  </si>
  <si>
    <t>ICELAND -&gt; DEALER level (DB-&gt;DLR) — MH method (35% DB margin gross-up)</t>
  </si>
  <si>
    <t>GERMANY — GPS Extended Target FY2027 · ISUZU SALES DEUTSCHLAND GMBH   [mixed CV+LCV]</t>
  </si>
  <si>
    <t>GERMANY UIO by segment</t>
  </si>
  <si>
    <t>LD (N75/N50/N62)</t>
  </si>
  <si>
    <t>MD</t>
  </si>
  <si>
    <t>F-Series</t>
  </si>
  <si>
    <t>LCV / D-Max</t>
  </si>
  <si>
    <t>Source: UIO v19 rows 42/43/-/44 — CY2024 / CY2025E / CY2026F mapped to FY25 / FY26 / FY27 (UIO shifted one column right).</t>
  </si>
  <si>
    <t>Max spend per unit (EUR, ISZE-net)</t>
  </si>
  <si>
    <t>base</t>
  </si>
  <si>
    <t>LD  · v9 rate</t>
  </si>
  <si>
    <t>MD  · v9 rate</t>
  </si>
  <si>
    <t>F-Series  · v9 rate</t>
  </si>
  <si>
    <t>LCV / D-Max  · MH chain (291.2 x 1.16 x 0.65)</t>
  </si>
  <si>
    <t>CV rates held at v9 (retail GBP x (1-GP34%) x FX1.12) +5%, per Jerome. LCV on MH's chain.</t>
  </si>
  <si>
    <t>ISZE -&gt; GERMANY wholesale (ISZE-net EUR)  &lt;&lt;  EXTENDED TARGET IS SET HERE</t>
  </si>
  <si>
    <t>Source: 00_derived/gps_billing_fy_ALLCUSTOMERS.csv canonical 'ISD'.</t>
  </si>
  <si>
    <t>GERMANY -&gt; DEALER level (DB-&gt;DLR) — MH method (35% DB margin gross-up)</t>
  </si>
  <si>
    <t>FY25 11/12 mo · FY26 0/12 mo</t>
  </si>
  <si>
    <t>1. CV rates on the v9 convention +5%; LCV on MH's chain. Two conventions in one tab — deliberate.</t>
  </si>
  <si>
    <t>2. distributor_master_mapping.csv says segment_cv=No ('Mainly LCV'), but UIO v19 carries LD 1,066 + MD 34. Built as mixed (v9 treatment). Mapping is stale — worth fixing at source.</t>
  </si>
  <si>
    <t>BELGIUM — GPS Extended Target FY2027 · ISUZU BENELUX NV   [mixed CV+LCV]</t>
  </si>
  <si>
    <t>BELGIUM UIO by segment</t>
  </si>
  <si>
    <t>Source: UIO v19 rows 33/34/-/35 — CY2024 / CY2025E / CY2026F mapped to FY25 / FY26 / FY27 (UIO shifted one column right).</t>
  </si>
  <si>
    <t>ISZE -&gt; BELGIUM wholesale (ISZE-net EUR)  &lt;&lt;  EXTENDED TARGET IS SET HERE</t>
  </si>
  <si>
    <t>Source: 00_derived/gps_billing_fy_ALLCUSTOMERS.csv canonical 'IBX'.</t>
  </si>
  <si>
    <t>BELGIUM -&gt; DEALER level (DB-&gt;DLR) — MH method (35% DB margin gross-up)</t>
  </si>
  <si>
    <t>FY25 10/12 mo · FY26 12/12 mo</t>
  </si>
  <si>
    <t>2. ISUZU BENELUX NV covers BE/NL/PL/LUX. This tab uses the BELGIUM UIO rows only — NL/PL/LUX parc is not included in the max spend. GPS 96.7% after stretch is therefore likely overstated: the numerator may carry billing for a parc the denominator excludes.</t>
  </si>
  <si>
    <t>PORTUGAL — GPS Extended Target FY2027 · I Motors   [mixed CV+LCV]</t>
  </si>
  <si>
    <t>PORTUGAL UIO by segment</t>
  </si>
  <si>
    <t>Source: UIO v19 rows 51/52/53/54 — CY2024 / CY2025E / CY2026F mapped to FY25 / FY26 / FY27 (UIO shifted one column right).</t>
  </si>
  <si>
    <t>ISZE -&gt; PORTUGAL wholesale (ISZE-net EUR)  &lt;&lt;  EXTENDED TARGET IS SET HERE</t>
  </si>
  <si>
    <t>Source: 00_derived/gps_billing_fy_ALLCUSTOMERS.csv canonical 'Imotors'.</t>
  </si>
  <si>
    <t>PORTUGAL -&gt; DEALER level (DB-&gt;DLR) — MH method (35% DB margin gross-up)</t>
  </si>
  <si>
    <t>FY25 7/12 mo · FY26 12/12 mo</t>
  </si>
  <si>
    <t>IRELAND — GPS Extended Target FY2027 · Isuzu Ireland   [mixed CV+LCV]</t>
  </si>
  <si>
    <t>IRELAND UIO by segment</t>
  </si>
  <si>
    <t>Source: UIO v19 rows 26/27/28/29 — CY2024 / CY2025E / CY2026F mapped to FY25 / FY26 / FY27 (UIO shifted one column right).</t>
  </si>
  <si>
    <t>ISZE -&gt; IRELAND wholesale (ISZE-net EUR)  &lt;&lt;  EXTENDED TARGET IS SET HERE</t>
  </si>
  <si>
    <t>Source: 00_derived/gps_billing_fy_ALLCUSTOMERS.csv canonical 'Ireland'.</t>
  </si>
  <si>
    <t>IRELAND -&gt; DEALER level (DB-&gt;DLR) — MH method (35% DB margin gross-up)</t>
  </si>
  <si>
    <t>2. TARGET EXCEEDS 100% OF THE PARC'S MAX SPEND (104.6% after stretch). Do not quote a GPS % to this DB — discuss the amount, or agree the per-unit rate first.</t>
  </si>
  <si>
    <t>GREECE — GPS Extended Target FY2027 · PETROS PETROPOULOS S.A.   [mixed CV+LCV]</t>
  </si>
  <si>
    <t>GREECE UIO by segment</t>
  </si>
  <si>
    <t>Source: UIO v19 rows 79/80/-/81 — CY2024 / CY2025E / CY2026F mapped to FY25 / FY26 / FY27 (UIO shifted one column right).</t>
  </si>
  <si>
    <t>ISZE -&gt; GREECE wholesale (ISZE-net EUR)  &lt;&lt;  EXTENDED TARGET IS SET HERE</t>
  </si>
  <si>
    <t>Source: 00_derived/gps_billing_fy_ALLCUSTOMERS.csv canonical 'RSA'.</t>
  </si>
  <si>
    <t>GREECE -&gt; DEALER level (DB-&gt;DLR) — MH method (35% DB margin gross-up)</t>
  </si>
  <si>
    <t>FY25 8/12 mo · FY26 0/12 mo</t>
  </si>
  <si>
    <t>2. Billing = payer 66, which the billing file labels 'RSA'. It is GREECE (Jerome, 17-07-2026), not Norway. Cross-check: 460,634 less ~23k warranty = 437,642 = V4's 35.69% ex-warranty. Label bug is live at source.</t>
  </si>
  <si>
    <t>CYPRUS — GPS Extended Target FY2027 · LOUTSIOS A &amp; SONS LTD   [mixed CV+LCV]</t>
  </si>
  <si>
    <t>CYPRUS UIO by segment</t>
  </si>
  <si>
    <t>Source: UIO v19 rows 88/89/-/90 — CY2024 / CY2025E / CY2026F mapped to FY25 / FY26 / FY27 (UIO shifted one column right).</t>
  </si>
  <si>
    <t>ISZE -&gt; CYPRUS wholesale (ISZE-net EUR)  &lt;&lt;  EXTENDED TARGET IS SET HERE</t>
  </si>
  <si>
    <t>Source: 00_derived/gps_billing_fy_ALLCUSTOMERS.csv canonical 'Loutsios'.</t>
  </si>
  <si>
    <t>CYPRUS -&gt; DEALER level (DB-&gt;DLR) — MH method (35% DB margin gross-up)</t>
  </si>
  <si>
    <t>MALTA — GPS Extended Target FY2027 · GASANZAMMIT MOTORS LTD   [mixed CV+LCV]</t>
  </si>
  <si>
    <t>MALTA UIO by segment</t>
  </si>
  <si>
    <t>Source: UIO v19 rows 61/62/-/63 — CY2024 / CY2025E / CY2026F mapped to FY25 / FY26 / FY27 (UIO shifted one column right).</t>
  </si>
  <si>
    <t>ISZE -&gt; MALTA wholesale (ISZE-net EUR)  &lt;&lt;  EXTENDED TARGET IS SET HERE</t>
  </si>
  <si>
    <t>Source: 00_derived/gps_billing_fy_ALLCUSTOMERS.csv canonical 'GasanZammit'.</t>
  </si>
  <si>
    <t>MALTA -&gt; DEALER level (DB-&gt;DLR) — MH method (35% DB margin gross-up)</t>
  </si>
  <si>
    <t>ORIGINAL waterfall — verbatim replica of 'FY2027 ISZE VP+IE Business Plan Waterfall 20263006.xlsx' sheet VP</t>
  </si>
  <si>
    <t>Nothing added, nothing changed. Reference copy — the source file is untouched.</t>
  </si>
  <si>
    <t>remaining stretch</t>
  </si>
  <si>
    <t>Method &amp; Assumptions</t>
  </si>
  <si>
    <t>LOGIC (per MH's tab, confirmed by Jerome 17-07-2026)</t>
  </si>
  <si>
    <t>1. UIO shifted one column right: FY25 &lt;- CY2024, FY26 &lt;- CY2025E, FY27 &lt;- CY2026F. Detail rows, NOT the summary table (which is itself off by one).</t>
  </si>
  <si>
    <t>2. Spend per unit, LCV: 291.2 x EUR/GBP 1.16 = 337.792 -&gt; x0.65 = 219.5648 ISZE-net (FY26 base). FY27 = x1.05. FY28-31 = +3%/yr.</t>
  </si>
  <si>
    <t>3. Spend per unit, CV: v9 rates 296 / 739 / 887 held, +5% for FY27 = 310.80 / 775.95 / 931.35 (Jerome).</t>
  </si>
  <si>
    <t>4. Max spend = UIO x rate. Stretch = max spend x stretch%. EXTENDED TARGET = BP FY27 + stretch. Default stretch 1.8%.</t>
  </si>
  <si>
    <t>5. ISZE-&gt;DB level ONLY. The dealer-level extrapolation was removed — see WATCH on the Dashboard.</t>
  </si>
  <si>
    <t>SOURCES</t>
  </si>
  <si>
    <t>UIO          01_data\ISUZU_UIO_Overview_2026_v19.xlsx · '1.UIO Overview' detail rows (md5-identical to 06_uio\_CURRENT)</t>
  </si>
  <si>
    <t>BP FY27      01_data\11_planning\budget_per_DB_reviewed_24042026.xlsx via 91_build\bp_fy27_reviewed.json</t>
  </si>
  <si>
    <t>ISZE billing 01_data\00_derived\gps_billing_fy_ALLCUSTOMERS.csv (net_gps, GPS-audited, FY-aligned, lubricants INCLUDED)</t>
  </si>
  <si>
    <t>Mapping      03_analytics\Isuzu\prism\data\distributor_master_mapping.csv</t>
  </si>
  <si>
    <t>Waterfall    01_data\FY2027 ISZE VP+IE Business Plan Waterfall 20263006.xlsx · sheet VP (replicated, NOT modified)</t>
  </si>
  <si>
    <t>ITUK / UTI   01_data\ISZE_GPS_Kickback_Stretch_Proposal_FY27 _V4.xlsx · 'Proposal FY27' col G (as presented)</t>
  </si>
  <si>
    <t>KNOWN CONVENTION CONFLICT (carried, not fixed, per Jerome)</t>
  </si>
  <si>
    <t>MH's LCV chain applies FX and the margin twice: 291.2 already = GBP400 x 0.65 x 1.12, then x1.16 x0.65 again -&gt; 219.5648.</t>
  </si>
  <si>
    <t>Cell B16 in MH's own tab (= 291.2/0.65 = 448.00 = GBP400 x 1.12) implies ISZE-net of 291.2, not 219.5648 — 24.6% apart.</t>
  </si>
  <si>
    <t>The same GBP400 under the v9 CV convention gives 296. LCV and CV sit on different conventions throughout this file.</t>
  </si>
  <si>
    <t>Built 17-07-2026. Source workbooks unchanged.</t>
  </si>
  <si>
    <t>SALES TO DEALER (DB→DLR) TARGET — added 22-07-2026, revised same day (Jerome)</t>
  </si>
  <si>
    <t>Separate track from ISZE-&gt;DB GPS above (cols A:J). Reference ISZE-&gt;DB billing actuals sit in cols L:M — also NOT part of the GPS calc,</t>
  </si>
  <si>
    <t>parked there purely for comparison against the DB-&gt;DLR figures in O:U. See Dashboard row 3 banners for the visual split.</t>
  </si>
  <si>
    <t>KPI DB→DLR    KPI_Master_File_june_2026.xlsx · 'Parts Handling' tab · 'Parts Sales DB to DLR in €' block (row 82), monthly Apr'24-Jun'26</t>
  </si>
  <si>
    <t>ISZE billing   EXPORT.XLSX · tabs 01042024_31032025 (FY2025) / 01042025_31032026 (FY2026) · annual totals per SAP payer, reference only</t>
  </si>
  <si>
    <t>UIO            ISUZU_UIO_Overview_2026_v19.xlsx · '1.UIO Overview' detail rows, same FY25&lt;-CY2024/FY26&lt;-CY2025E/FY27&lt;-CY2026F shift as above</t>
  </si>
  <si>
    <t>Price FY27     +2.0% (Jerome, 22-07-2026) — 'Price up 2%' bar, Waterfall VP (original) tab, cell D19. NOT the +5% LCV/CV rate used for the</t>
  </si>
  <si>
    <t xml:space="preserve">               ISZE-&gt;DB max-spend build above (LOGIC point 2-3) — the two price assumptions are different and deliberately not reconciled.</t>
  </si>
  <si>
    <t>METHOD</t>
  </si>
  <si>
    <t>1. FY25/FY26 actual = sum of KPI monthly DB-&gt;DLR figures for that FY; where months are missing (N/D), annualized as (sum available / count) x 12.</t>
  </si>
  <si>
    <t>2. UIO growth FY26-&gt;FY27 pulled per DB's country + segment (LCV/CV/mixed, matching each DB's own tab segment).</t>
  </si>
  <si>
    <t>3. Historical residual = (FY26 actual / FY25 actual) / (1 + UIO growth FY25-&gt;FY26) - 1. Raw residuals ranged -21% to +62% -- too noisy off</t>
  </si>
  <si>
    <t xml:space="preserve">   one year of partial-coverage monthly data to use directly (Jerome, 22-07-2026: 'keep the spread... between 0.5% &amp; 4%').</t>
  </si>
  <si>
    <t>4. Residuals bounded: DBs ranked by raw residual, then mapped evenly across 0.5%-4%. Preserves relative ordering, discards the noisy magnitude.</t>
  </si>
  <si>
    <t>5. FY27 target = FY26 actual x (1 + UIO growth FY26-&gt;FY27) x (1 + 2% price) x (1 + bounded residual).</t>
  </si>
  <si>
    <t>SKIPPED FOR NOW (Jerome, 22-07-2026) — usable data existed, deliberately excluded from this round</t>
  </si>
  <si>
    <t>ITUK, UTI — both already sit on the separate V4/as-presented basis for the GPS numbers above (col J note); kept out of this exercise too.</t>
  </si>
  <si>
    <t>EXCLUDED (insufficient KPI DB→DLR data) — flagged on Dashboard, no target set</t>
  </si>
  <si>
    <t>UMI ('Internal only' throughout) · HUNGARY (no row in KPI block) · GERMANY (ISD stale since Mar'25) · GREECE (Petros Petropoulos stale</t>
  </si>
  <si>
    <t>since Jun'25) · FINLAND (stale since Oct'25) · CYPRUS (real distributor Loutsios &amp; Sons has zero KPI data; KPI's 'MIDI' row is Italy's</t>
  </si>
  <si>
    <t>distributor, not Cyprus's — confirmed against UIO file's Distributor column, ~55x too large vs Cyprus's own BP FY27 scale).</t>
  </si>
  <si>
    <t>Built 22-07-2026, revised same day (2% price, ITUK/UTI skipped, block layout clarified).</t>
  </si>
  <si>
    <t>ISZE-&gt;DB level only. Stretch % lives on each DB tab. Everything here and on Waterfall VP is live. Dealer-level (DB-&gt;DLR) dropped — see WATCH.</t>
  </si>
  <si>
    <t>2025年度</t>
  </si>
  <si>
    <t>FY2026</t>
  </si>
  <si>
    <t>2026年度</t>
  </si>
  <si>
    <t>FY2027</t>
  </si>
  <si>
    <t>2027年度</t>
  </si>
  <si>
    <t>FY2028</t>
  </si>
  <si>
    <t>2028年度</t>
  </si>
  <si>
    <t>FY2029</t>
  </si>
  <si>
    <t>2029年度</t>
  </si>
  <si>
    <t>FY2030</t>
  </si>
  <si>
    <t>2030年度</t>
  </si>
  <si>
    <t>FY2031</t>
  </si>
  <si>
    <t>UIO</t>
  </si>
  <si>
    <t>ISZE部品売上実績</t>
  </si>
  <si>
    <t>販社台当たり単価</t>
  </si>
  <si>
    <t>販社部品販売ポテンシャル</t>
  </si>
  <si>
    <t>販社部品販売
(実績)</t>
  </si>
  <si>
    <t>販社部品カバー率
(実績)</t>
  </si>
  <si>
    <t>ISZE部品売上目標</t>
  </si>
  <si>
    <t>販社部品販売目標</t>
  </si>
  <si>
    <t>販社部品カバー率(目標)</t>
  </si>
  <si>
    <t>ISZE Parts Sales Actual</t>
  </si>
  <si>
    <t>Distributor's Parts Sales per Unit</t>
  </si>
  <si>
    <t>Distributor's Parts Sales Potential</t>
  </si>
  <si>
    <t>Distributor Parts Sales Actual</t>
  </si>
  <si>
    <t>Dist Parts Share Actual</t>
  </si>
  <si>
    <t>ISZE Parts Sales Target</t>
  </si>
  <si>
    <t>Distributor Parts Sales Target</t>
  </si>
  <si>
    <t>Distributor Parts Share target</t>
  </si>
  <si>
    <t>N35</t>
  </si>
  <si>
    <t>N75</t>
  </si>
  <si>
    <t>F</t>
  </si>
  <si>
    <t>CV</t>
  </si>
  <si>
    <t>CV LD</t>
  </si>
  <si>
    <t>CV MD</t>
  </si>
  <si>
    <t>CV N</t>
  </si>
  <si>
    <t>CV F</t>
  </si>
  <si>
    <t>ISZE台当たり単価</t>
  </si>
  <si>
    <t>ISZE部品販売
ポテンシャル</t>
  </si>
  <si>
    <t>ISZE部品カバー率
(実績)</t>
  </si>
  <si>
    <t>ISZE Parts Sales per Unit</t>
  </si>
  <si>
    <t>ISZE Parts Sles Potential</t>
  </si>
  <si>
    <t>ISZE Share Actual</t>
  </si>
  <si>
    <t>ISZE 部品販売
ポテンシャル</t>
  </si>
  <si>
    <t>ISZE 部品カバー率
(目標)</t>
  </si>
  <si>
    <t>ISZE Target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</si>
</sst>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0.0%"/>
    <numFmt numFmtId="166" formatCode="_-* #,##0_-;\-* #,##0_-;_-* \-??_-;_-@_-"/>
    <numFmt numFmtId="167" formatCode="#,##0.0000"/>
    <numFmt numFmtId="168" formatCode="0.00\x"/>
    <numFmt numFmtId="169" formatCode="_-* #,##0_-;\-* #,##0_-;_-* &quot;-&quot;??_-;_-@_-"/>
  </numFmts>
  <fonts count="20" x14ac:knownFonts="1">
    <font>
      <sz val="11"/>
      <color theme="1"/>
      <name val="Calibri"/>
      <family val="2"/>
      <charset val="1"/>
    </font>
    <font>
      <b/>
      <sz val="12"/>
      <color rgb="FF1F3864"/>
      <name val="Calibri"/>
      <family val="2"/>
      <charset val="1"/>
    </font>
    <font>
      <i/>
      <sz val="8"/>
      <color rgb="FF808080"/>
      <name val="Calibri"/>
      <family val="2"/>
      <charset val="1"/>
    </font>
    <font>
      <b/>
      <sz val="11"/>
      <color rgb="FFFFFFFF"/>
      <name val="Cambria"/>
      <charset val="1"/>
    </font>
    <font>
      <sz val="11"/>
      <name val="Cambria"/>
      <charset val="1"/>
    </font>
    <font>
      <b/>
      <sz val="10"/>
      <color rgb="FFFFFFFF"/>
      <name val="Calibri"/>
      <family val="2"/>
      <charset val="1"/>
    </font>
    <font>
      <b/>
      <sz val="10"/>
      <name val="Calibri"/>
      <family val="2"/>
      <charset val="1"/>
    </font>
    <font>
      <i/>
      <sz val="11"/>
      <color rgb="FF808080"/>
      <name val="Cambria"/>
      <charset val="1"/>
    </font>
    <font>
      <i/>
      <sz val="11"/>
      <color rgb="FFC00000"/>
      <name val="Cambria"/>
      <charset val="1"/>
    </font>
    <font>
      <b/>
      <sz val="10"/>
      <color rgb="FF1F3864"/>
      <name val="Calibri"/>
      <family val="2"/>
      <charset val="1"/>
    </font>
    <font>
      <sz val="11"/>
      <color theme="1"/>
      <name val="Meiryo UI"/>
      <family val="2"/>
      <charset val="1"/>
    </font>
    <font>
      <b/>
      <sz val="11"/>
      <name val="Calibri"/>
      <family val="2"/>
      <charset val="1"/>
    </font>
    <font>
      <b/>
      <sz val="11"/>
      <name val="Cambria"/>
      <charset val="1"/>
    </font>
    <font>
      <sz val="11"/>
      <color theme="1"/>
      <name val="Calibri"/>
      <family val="2"/>
      <charset val="1"/>
    </font>
    <font>
      <b/>
      <sz val="11"/>
      <color rgb="FF1F3864"/>
      <name val="Meiryo"/>
      <family val="2"/>
    </font>
    <font>
      <sz val="11"/>
      <color theme="1"/>
      <name val="Meiryo"/>
      <family val="2"/>
    </font>
    <font>
      <i/>
      <sz val="11"/>
      <color rgb="FF808080"/>
      <name val="Meiryo"/>
      <family val="2"/>
    </font>
    <font>
      <sz val="11"/>
      <color rgb="FFFFFFFF"/>
      <name val="Meiryo"/>
      <family val="2"/>
    </font>
    <font>
      <sz val="11"/>
      <color theme="0"/>
      <name val="Meiryo"/>
      <family val="2"/>
    </font>
    <font>
      <b/>
      <sz val="11"/>
      <name val="Meiryo"/>
      <family val="2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D9D9"/>
        <bgColor rgb="FFDDEBF7"/>
      </patternFill>
    </fill>
    <fill>
      <patternFill patternType="solid">
        <fgColor rgb="FF375623"/>
        <bgColor rgb="FF333300"/>
      </patternFill>
    </fill>
    <fill>
      <patternFill patternType="solid">
        <fgColor rgb="FFFFD966"/>
        <bgColor rgb="FFFFEB9C"/>
      </patternFill>
    </fill>
    <fill>
      <patternFill patternType="solid">
        <fgColor rgb="FF92D050"/>
        <bgColor rgb="FF4FC3A1"/>
      </patternFill>
    </fill>
    <fill>
      <patternFill patternType="solid">
        <fgColor theme="0" tint="-4.9989318521683403E-2"/>
        <bgColor rgb="FFEBF1DE"/>
      </patternFill>
    </fill>
    <fill>
      <patternFill patternType="solid">
        <fgColor theme="6" tint="0.79979857783745845"/>
        <bgColor rgb="FFF2F2F2"/>
      </patternFill>
    </fill>
    <fill>
      <patternFill patternType="solid">
        <fgColor theme="8" tint="0.39979247413556324"/>
        <bgColor rgb="FFB8D0ED"/>
      </patternFill>
    </fill>
    <fill>
      <patternFill patternType="solid">
        <fgColor rgb="FFFF0000"/>
        <bgColor rgb="FFC00000"/>
      </patternFill>
    </fill>
    <fill>
      <patternFill patternType="solid">
        <fgColor theme="3" tint="0.7497787408062990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4FC3A1"/>
        <bgColor rgb="FF339966"/>
      </patternFill>
    </fill>
    <fill>
      <patternFill patternType="solid">
        <fgColor rgb="FFDDEBF7"/>
        <bgColor rgb="FFEBF1DE"/>
      </patternFill>
    </fill>
    <fill>
      <patternFill patternType="solid">
        <fgColor rgb="FFFFEB9C"/>
        <bgColor rgb="FFFFD966"/>
      </patternFill>
    </fill>
    <fill>
      <patternFill patternType="solid">
        <fgColor rgb="FFC6EFCE"/>
        <bgColor rgb="FFDDEBF7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</patternFill>
    </fill>
    <fill>
      <patternFill patternType="solid">
        <fgColor rgb="FF1F3864"/>
        <bgColor indexed="64"/>
      </patternFill>
    </fill>
    <fill>
      <patternFill patternType="solid">
        <fgColor rgb="FFFFD966"/>
      </patternFill>
    </fill>
    <fill>
      <patternFill patternType="solid">
        <fgColor rgb="FF92D050"/>
      </patternFill>
    </fill>
  </fills>
  <borders count="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/>
    <xf numFmtId="0" fontId="5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6" fillId="0" borderId="0" xfId="0" applyFont="1"/>
    <xf numFmtId="3" fontId="0" fillId="0" borderId="0" xfId="0" applyNumberFormat="1"/>
    <xf numFmtId="165" fontId="0" fillId="0" borderId="0" xfId="0" applyNumberFormat="1"/>
    <xf numFmtId="3" fontId="0" fillId="5" borderId="0" xfId="0" applyNumberFormat="1" applyFill="1"/>
    <xf numFmtId="3" fontId="6" fillId="0" borderId="0" xfId="0" applyNumberFormat="1" applyFont="1"/>
    <xf numFmtId="0" fontId="2" fillId="0" borderId="0" xfId="0" applyFont="1" applyAlignment="1">
      <alignment vertical="top" wrapText="1"/>
    </xf>
    <xf numFmtId="0" fontId="4" fillId="0" borderId="0" xfId="0" applyFont="1"/>
    <xf numFmtId="3" fontId="4" fillId="0" borderId="1" xfId="0" applyNumberFormat="1" applyFont="1" applyBorder="1" applyAlignment="1">
      <alignment wrapText="1"/>
    </xf>
    <xf numFmtId="3" fontId="4" fillId="0" borderId="0" xfId="0" applyNumberFormat="1" applyFont="1" applyAlignment="1">
      <alignment wrapText="1"/>
    </xf>
    <xf numFmtId="0" fontId="7" fillId="0" borderId="1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4" fillId="0" borderId="1" xfId="0" applyFont="1" applyBorder="1"/>
    <xf numFmtId="3" fontId="6" fillId="6" borderId="0" xfId="0" applyNumberFormat="1" applyFont="1" applyFill="1"/>
    <xf numFmtId="3" fontId="4" fillId="0" borderId="1" xfId="0" applyNumberFormat="1" applyFont="1" applyBorder="1"/>
    <xf numFmtId="3" fontId="4" fillId="0" borderId="0" xfId="0" applyNumberFormat="1" applyFont="1"/>
    <xf numFmtId="165" fontId="4" fillId="0" borderId="0" xfId="0" applyNumberFormat="1" applyFont="1"/>
    <xf numFmtId="0" fontId="8" fillId="0" borderId="1" xfId="0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165" fontId="6" fillId="0" borderId="0" xfId="0" applyNumberFormat="1" applyFont="1"/>
    <xf numFmtId="3" fontId="0" fillId="6" borderId="0" xfId="0" applyNumberFormat="1" applyFill="1"/>
    <xf numFmtId="0" fontId="9" fillId="0" borderId="0" xfId="0" applyFont="1"/>
    <xf numFmtId="166" fontId="10" fillId="0" borderId="0" xfId="0" applyNumberFormat="1" applyFont="1"/>
    <xf numFmtId="0" fontId="10" fillId="7" borderId="0" xfId="0" applyFont="1" applyFill="1"/>
    <xf numFmtId="166" fontId="10" fillId="8" borderId="0" xfId="0" applyNumberFormat="1" applyFont="1" applyFill="1" applyAlignment="1">
      <alignment horizontal="left" vertical="top"/>
    </xf>
    <xf numFmtId="0" fontId="10" fillId="9" borderId="0" xfId="0" applyFont="1" applyFill="1" applyAlignment="1">
      <alignment horizontal="left" vertical="top"/>
    </xf>
    <xf numFmtId="166" fontId="10" fillId="7" borderId="0" xfId="0" applyNumberFormat="1" applyFont="1" applyFill="1"/>
    <xf numFmtId="0" fontId="10" fillId="10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166" fontId="10" fillId="0" borderId="0" xfId="0" applyNumberFormat="1" applyFont="1" applyAlignment="1">
      <alignment horizontal="left" vertical="top" wrapText="1"/>
    </xf>
    <xf numFmtId="0" fontId="10" fillId="11" borderId="0" xfId="0" applyFont="1" applyFill="1"/>
    <xf numFmtId="0" fontId="10" fillId="0" borderId="0" xfId="0" applyFont="1"/>
    <xf numFmtId="0" fontId="10" fillId="0" borderId="0" xfId="0" applyFont="1" applyAlignment="1">
      <alignment horizontal="left" vertical="top"/>
    </xf>
    <xf numFmtId="166" fontId="10" fillId="0" borderId="0" xfId="0" applyNumberFormat="1" applyFont="1" applyAlignment="1">
      <alignment horizontal="left" vertical="top"/>
    </xf>
    <xf numFmtId="0" fontId="10" fillId="12" borderId="0" xfId="0" applyFont="1" applyFill="1" applyAlignment="1">
      <alignment horizontal="left" vertical="top"/>
    </xf>
    <xf numFmtId="0" fontId="10" fillId="11" borderId="0" xfId="0" applyFont="1" applyFill="1" applyAlignment="1">
      <alignment horizontal="left" vertical="top"/>
    </xf>
    <xf numFmtId="0" fontId="10" fillId="12" borderId="2" xfId="0" applyFont="1" applyFill="1" applyBorder="1" applyAlignment="1">
      <alignment horizontal="left" vertical="top"/>
    </xf>
    <xf numFmtId="0" fontId="10" fillId="11" borderId="2" xfId="0" applyFont="1" applyFill="1" applyBorder="1" applyAlignment="1">
      <alignment horizontal="left" vertical="top"/>
    </xf>
    <xf numFmtId="0" fontId="0" fillId="13" borderId="0" xfId="0" applyFill="1"/>
    <xf numFmtId="0" fontId="0" fillId="6" borderId="0" xfId="0" applyFill="1"/>
    <xf numFmtId="2" fontId="0" fillId="14" borderId="0" xfId="0" applyNumberFormat="1" applyFill="1"/>
    <xf numFmtId="3" fontId="0" fillId="14" borderId="0" xfId="0" applyNumberFormat="1" applyFill="1"/>
    <xf numFmtId="0" fontId="5" fillId="2" borderId="0" xfId="0" applyFont="1" applyFill="1" applyAlignment="1">
      <alignment horizontal="center"/>
    </xf>
    <xf numFmtId="167" fontId="0" fillId="14" borderId="0" xfId="0" applyNumberFormat="1" applyFill="1"/>
    <xf numFmtId="167" fontId="0" fillId="0" borderId="0" xfId="0" applyNumberFormat="1"/>
    <xf numFmtId="167" fontId="0" fillId="6" borderId="0" xfId="0" applyNumberFormat="1" applyFill="1"/>
    <xf numFmtId="3" fontId="0" fillId="13" borderId="0" xfId="0" applyNumberFormat="1" applyFill="1"/>
    <xf numFmtId="165" fontId="0" fillId="14" borderId="0" xfId="0" applyNumberFormat="1" applyFill="1"/>
    <xf numFmtId="0" fontId="11" fillId="0" borderId="0" xfId="0" applyFont="1"/>
    <xf numFmtId="165" fontId="0" fillId="15" borderId="0" xfId="0" applyNumberFormat="1" applyFill="1"/>
    <xf numFmtId="168" fontId="6" fillId="5" borderId="0" xfId="0" applyNumberFormat="1" applyFont="1" applyFill="1"/>
    <xf numFmtId="3" fontId="0" fillId="16" borderId="0" xfId="0" applyNumberFormat="1" applyFill="1"/>
    <xf numFmtId="3" fontId="6" fillId="16" borderId="0" xfId="0" applyNumberFormat="1" applyFont="1" applyFill="1"/>
    <xf numFmtId="0" fontId="2" fillId="0" borderId="0" xfId="0" applyFont="1" applyAlignment="1">
      <alignment wrapText="1"/>
    </xf>
    <xf numFmtId="0" fontId="2" fillId="5" borderId="0" xfId="0" applyFont="1" applyFill="1"/>
    <xf numFmtId="0" fontId="12" fillId="0" borderId="0" xfId="0" applyFont="1"/>
    <xf numFmtId="164" fontId="4" fillId="0" borderId="0" xfId="1" applyFont="1"/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5" fillId="17" borderId="0" xfId="0" applyFont="1" applyFill="1"/>
    <xf numFmtId="0" fontId="15" fillId="18" borderId="0" xfId="0" applyFont="1" applyFill="1"/>
    <xf numFmtId="0" fontId="17" fillId="19" borderId="3" xfId="0" applyFont="1" applyFill="1" applyBorder="1" applyAlignment="1">
      <alignment horizontal="center" vertical="center" wrapText="1"/>
    </xf>
    <xf numFmtId="0" fontId="17" fillId="19" borderId="3" xfId="0" applyFont="1" applyFill="1" applyBorder="1" applyAlignment="1">
      <alignment horizontal="left" vertical="center"/>
    </xf>
    <xf numFmtId="0" fontId="17" fillId="20" borderId="3" xfId="0" applyFont="1" applyFill="1" applyBorder="1" applyAlignment="1">
      <alignment horizontal="center" vertical="center" wrapText="1"/>
    </xf>
    <xf numFmtId="0" fontId="18" fillId="20" borderId="3" xfId="0" applyFont="1" applyFill="1" applyBorder="1" applyAlignment="1">
      <alignment horizontal="center" vertical="center" wrapText="1"/>
    </xf>
    <xf numFmtId="0" fontId="17" fillId="17" borderId="3" xfId="0" applyFont="1" applyFill="1" applyBorder="1" applyAlignment="1">
      <alignment horizontal="left" vertical="center"/>
    </xf>
    <xf numFmtId="0" fontId="17" fillId="17" borderId="3" xfId="0" applyFont="1" applyFill="1" applyBorder="1" applyAlignment="1">
      <alignment horizontal="center" vertical="center" wrapText="1"/>
    </xf>
    <xf numFmtId="0" fontId="18" fillId="17" borderId="3" xfId="0" applyFont="1" applyFill="1" applyBorder="1" applyAlignment="1">
      <alignment horizontal="center" vertical="center" wrapText="1"/>
    </xf>
    <xf numFmtId="0" fontId="19" fillId="0" borderId="3" xfId="0" applyFont="1" applyBorder="1"/>
    <xf numFmtId="0" fontId="15" fillId="0" borderId="3" xfId="0" applyFont="1" applyBorder="1"/>
    <xf numFmtId="3" fontId="15" fillId="0" borderId="3" xfId="0" applyNumberFormat="1" applyFont="1" applyBorder="1"/>
    <xf numFmtId="165" fontId="15" fillId="0" borderId="3" xfId="0" applyNumberFormat="1" applyFont="1" applyBorder="1"/>
    <xf numFmtId="3" fontId="15" fillId="21" borderId="3" xfId="0" applyNumberFormat="1" applyFont="1" applyFill="1" applyBorder="1"/>
    <xf numFmtId="3" fontId="19" fillId="0" borderId="3" xfId="0" applyNumberFormat="1" applyFont="1" applyBorder="1"/>
    <xf numFmtId="0" fontId="16" fillId="0" borderId="3" xfId="0" applyFont="1" applyBorder="1"/>
    <xf numFmtId="169" fontId="15" fillId="0" borderId="3" xfId="2" applyNumberFormat="1" applyFont="1" applyBorder="1"/>
    <xf numFmtId="9" fontId="15" fillId="0" borderId="3" xfId="3" applyFont="1" applyBorder="1"/>
    <xf numFmtId="43" fontId="15" fillId="0" borderId="3" xfId="0" applyNumberFormat="1" applyFont="1" applyBorder="1"/>
    <xf numFmtId="169" fontId="15" fillId="0" borderId="3" xfId="0" applyNumberFormat="1" applyFont="1" applyBorder="1"/>
    <xf numFmtId="3" fontId="19" fillId="22" borderId="3" xfId="0" applyNumberFormat="1" applyFont="1" applyFill="1" applyBorder="1"/>
    <xf numFmtId="165" fontId="19" fillId="0" borderId="3" xfId="0" applyNumberFormat="1" applyFont="1" applyBorder="1"/>
    <xf numFmtId="3" fontId="15" fillId="0" borderId="0" xfId="0" applyNumberFormat="1" applyFont="1"/>
    <xf numFmtId="3" fontId="15" fillId="22" borderId="0" xfId="0" applyNumberFormat="1" applyFont="1" applyFill="1"/>
    <xf numFmtId="0" fontId="19" fillId="0" borderId="0" xfId="0" applyFont="1"/>
    <xf numFmtId="3" fontId="19" fillId="0" borderId="0" xfId="0" applyNumberFormat="1" applyFont="1"/>
    <xf numFmtId="0" fontId="16" fillId="0" borderId="0" xfId="0" applyFont="1" applyAlignment="1">
      <alignment vertical="top" wrapText="1"/>
    </xf>
    <xf numFmtId="0" fontId="15" fillId="18" borderId="4" xfId="0" applyFont="1" applyFill="1" applyBorder="1"/>
    <xf numFmtId="0" fontId="15" fillId="18" borderId="5" xfId="0" applyFont="1" applyFill="1" applyBorder="1"/>
    <xf numFmtId="0" fontId="15" fillId="18" borderId="6" xfId="0" applyFont="1" applyFill="1" applyBorder="1"/>
    <xf numFmtId="169" fontId="15" fillId="0" borderId="3" xfId="3" applyNumberFormat="1" applyFont="1" applyBorder="1"/>
    <xf numFmtId="165" fontId="15" fillId="0" borderId="3" xfId="3" applyNumberFormat="1" applyFont="1" applyBorder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EBF1DE"/>
      <rgbColor rgb="FFDDEBF7"/>
      <rgbColor rgb="FF660066"/>
      <rgbColor rgb="FFFF8080"/>
      <rgbColor rgb="FF0066CC"/>
      <rgbColor rgb="FFB8D0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3CDDD"/>
      <rgbColor rgb="FFFF99CC"/>
      <rgbColor rgb="FFCC99FF"/>
      <rgbColor rgb="FFFFD966"/>
      <rgbColor rgb="FF3366FF"/>
      <rgbColor rgb="FF4FC3A1"/>
      <rgbColor rgb="FF92D05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port/ISZE/09/ISZE_GPS_Extended_Target_FY27%20202609.xlsx" TargetMode="External"/><Relationship Id="rId2" Type="http://schemas.openxmlformats.org/officeDocument/2006/relationships/externalLinkPath" Target="https://isze-my.sharepoint.com/personal/masumi_hayakawa_isuzu-e_com/Documents/2026/Report/ISZE/09/ISZE_GPS_Extended_Target_FY27%20202609.xlsx" TargetMode="External"/><Relationship Id="rId1" Type="http://schemas.openxmlformats.org/officeDocument/2006/relationships/externalLinkPath" Target="/personal/masumi_hayakawa_isuzu-e_com/Documents/2026/Report/ISZE/09/ISZE_GPS_Extended_Target_FY27%202026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 (3)"/>
      <sheetName val="Dashboard (2)"/>
      <sheetName val="Dashboard"/>
      <sheetName val="Waterfall VP"/>
      <sheetName val="IUK"/>
      <sheetName val="UMI"/>
      <sheetName val="NORWAY"/>
      <sheetName val="SWEDEN"/>
      <sheetName val="HUNGARY"/>
      <sheetName val="FINLAND"/>
      <sheetName val="ROMANIA"/>
      <sheetName val="DENMARK"/>
      <sheetName val="ICELAND"/>
      <sheetName val="GERMANY"/>
      <sheetName val="BELGIUM"/>
      <sheetName val="PORTUGAL"/>
      <sheetName val="IRELAND"/>
      <sheetName val="GREECE"/>
      <sheetName val="CYPRUS"/>
      <sheetName val="MALTA"/>
      <sheetName val="Waterfall VP (original)"/>
      <sheetName val="Metho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9">
          <cell r="D9">
            <v>47783</v>
          </cell>
          <cell r="E9">
            <v>49280</v>
          </cell>
        </row>
        <row r="14">
          <cell r="D14">
            <v>219.56479999999999</v>
          </cell>
          <cell r="E14">
            <v>230.54303999999999</v>
          </cell>
        </row>
      </sheetData>
      <sheetData sheetId="5">
        <row r="9">
          <cell r="D9">
            <v>18542</v>
          </cell>
          <cell r="E9">
            <v>18886</v>
          </cell>
        </row>
        <row r="14">
          <cell r="E14">
            <v>230.54303999999999</v>
          </cell>
        </row>
      </sheetData>
      <sheetData sheetId="6">
        <row r="9">
          <cell r="D9">
            <v>7929</v>
          </cell>
          <cell r="E9">
            <v>8111</v>
          </cell>
        </row>
        <row r="14">
          <cell r="D14">
            <v>219.56479999999999</v>
          </cell>
          <cell r="E14">
            <v>230.54303999999999</v>
          </cell>
        </row>
      </sheetData>
      <sheetData sheetId="7">
        <row r="9">
          <cell r="D9">
            <v>8443</v>
          </cell>
          <cell r="E9">
            <v>9090</v>
          </cell>
        </row>
        <row r="14">
          <cell r="D14">
            <v>219.56479999999999</v>
          </cell>
          <cell r="E14">
            <v>230.54303999999999</v>
          </cell>
        </row>
      </sheetData>
      <sheetData sheetId="8">
        <row r="9">
          <cell r="D9">
            <v>3734</v>
          </cell>
          <cell r="E9">
            <v>3992</v>
          </cell>
        </row>
        <row r="14">
          <cell r="D14">
            <v>219.56479999999999</v>
          </cell>
          <cell r="E14">
            <v>230.54303999999999</v>
          </cell>
        </row>
      </sheetData>
      <sheetData sheetId="9">
        <row r="9">
          <cell r="D9">
            <v>1204</v>
          </cell>
          <cell r="E9">
            <v>1308</v>
          </cell>
        </row>
        <row r="14">
          <cell r="D14">
            <v>219.56479999999999</v>
          </cell>
          <cell r="E14">
            <v>230.54303999999999</v>
          </cell>
        </row>
      </sheetData>
      <sheetData sheetId="10">
        <row r="9">
          <cell r="D9">
            <v>1071</v>
          </cell>
          <cell r="E9">
            <v>1209</v>
          </cell>
        </row>
        <row r="14">
          <cell r="D14">
            <v>219.56479999999999</v>
          </cell>
          <cell r="E14">
            <v>230.54303999999999</v>
          </cell>
        </row>
      </sheetData>
      <sheetData sheetId="11">
        <row r="9">
          <cell r="D9">
            <v>850</v>
          </cell>
          <cell r="E9">
            <v>944</v>
          </cell>
        </row>
        <row r="14">
          <cell r="D14">
            <v>219.56479999999999</v>
          </cell>
          <cell r="E14">
            <v>230.54303999999999</v>
          </cell>
        </row>
      </sheetData>
      <sheetData sheetId="12">
        <row r="9">
          <cell r="D9">
            <v>406</v>
          </cell>
          <cell r="E9">
            <v>439</v>
          </cell>
        </row>
        <row r="14">
          <cell r="D14">
            <v>219.56479999999999</v>
          </cell>
          <cell r="E14">
            <v>230.54303999999999</v>
          </cell>
        </row>
      </sheetData>
      <sheetData sheetId="13">
        <row r="9">
          <cell r="D9">
            <v>697</v>
          </cell>
          <cell r="E9">
            <v>1066</v>
          </cell>
        </row>
        <row r="10">
          <cell r="D10">
            <v>35</v>
          </cell>
          <cell r="E10">
            <v>34</v>
          </cell>
        </row>
        <row r="12">
          <cell r="D12">
            <v>13048</v>
          </cell>
          <cell r="E12">
            <v>13657</v>
          </cell>
        </row>
        <row r="17">
          <cell r="C17">
            <v>739</v>
          </cell>
          <cell r="D17">
            <v>775.95</v>
          </cell>
        </row>
        <row r="18">
          <cell r="C18">
            <v>887</v>
          </cell>
          <cell r="D18">
            <v>931.35</v>
          </cell>
        </row>
        <row r="20">
          <cell r="C20">
            <v>219.56479999999999</v>
          </cell>
          <cell r="D20">
            <v>230.54303999999999</v>
          </cell>
        </row>
      </sheetData>
      <sheetData sheetId="14">
        <row r="9">
          <cell r="D9">
            <v>113</v>
          </cell>
          <cell r="E9">
            <v>145</v>
          </cell>
        </row>
        <row r="12">
          <cell r="D12">
            <v>9452</v>
          </cell>
          <cell r="E12">
            <v>10008</v>
          </cell>
        </row>
        <row r="17">
          <cell r="C17">
            <v>739</v>
          </cell>
          <cell r="D17">
            <v>775.95</v>
          </cell>
        </row>
        <row r="20">
          <cell r="C20">
            <v>219.56479999999999</v>
          </cell>
          <cell r="D20">
            <v>230.54303999999999</v>
          </cell>
        </row>
      </sheetData>
      <sheetData sheetId="15">
        <row r="9">
          <cell r="D9">
            <v>2206</v>
          </cell>
          <cell r="E9">
            <v>2596</v>
          </cell>
        </row>
        <row r="10">
          <cell r="E10">
            <v>96</v>
          </cell>
        </row>
        <row r="11">
          <cell r="D11">
            <v>269</v>
          </cell>
          <cell r="E11">
            <v>261</v>
          </cell>
        </row>
        <row r="12">
          <cell r="D12">
            <v>4733</v>
          </cell>
          <cell r="E12">
            <v>5491</v>
          </cell>
        </row>
        <row r="17">
          <cell r="C17">
            <v>739</v>
          </cell>
          <cell r="D17">
            <v>775.95</v>
          </cell>
        </row>
        <row r="19">
          <cell r="C19">
            <v>887</v>
          </cell>
          <cell r="D19">
            <v>931.35</v>
          </cell>
        </row>
        <row r="20">
          <cell r="C20">
            <v>219.56479999999999</v>
          </cell>
          <cell r="D20">
            <v>230.54303999999999</v>
          </cell>
        </row>
      </sheetData>
      <sheetData sheetId="16">
        <row r="9">
          <cell r="D9">
            <v>731</v>
          </cell>
          <cell r="E9">
            <v>925</v>
          </cell>
        </row>
        <row r="10">
          <cell r="E10">
            <v>36</v>
          </cell>
        </row>
        <row r="11">
          <cell r="D11">
            <v>92</v>
          </cell>
          <cell r="E11">
            <v>89</v>
          </cell>
        </row>
        <row r="12">
          <cell r="D12">
            <v>1338</v>
          </cell>
          <cell r="E12">
            <v>1728</v>
          </cell>
        </row>
        <row r="17">
          <cell r="C17">
            <v>739</v>
          </cell>
          <cell r="D17">
            <v>775.95</v>
          </cell>
        </row>
        <row r="19">
          <cell r="C19">
            <v>887</v>
          </cell>
          <cell r="D19">
            <v>931.35</v>
          </cell>
        </row>
        <row r="20">
          <cell r="C20">
            <v>219.56479999999999</v>
          </cell>
          <cell r="D20">
            <v>230.54303999999999</v>
          </cell>
        </row>
      </sheetData>
      <sheetData sheetId="17">
        <row r="9">
          <cell r="D9">
            <v>37</v>
          </cell>
          <cell r="E9">
            <v>56</v>
          </cell>
        </row>
        <row r="12">
          <cell r="D12">
            <v>3705</v>
          </cell>
          <cell r="E12">
            <v>4224</v>
          </cell>
        </row>
        <row r="17">
          <cell r="C17">
            <v>739</v>
          </cell>
          <cell r="D17">
            <v>775.95</v>
          </cell>
        </row>
        <row r="20">
          <cell r="C20">
            <v>219.56479999999999</v>
          </cell>
          <cell r="D20">
            <v>230.54303999999999</v>
          </cell>
        </row>
      </sheetData>
      <sheetData sheetId="18">
        <row r="9">
          <cell r="D9">
            <v>203</v>
          </cell>
          <cell r="E9">
            <v>227</v>
          </cell>
        </row>
        <row r="10">
          <cell r="E10">
            <v>5</v>
          </cell>
        </row>
        <row r="12">
          <cell r="D12">
            <v>2105</v>
          </cell>
          <cell r="E12">
            <v>2402</v>
          </cell>
        </row>
        <row r="17">
          <cell r="C17">
            <v>739</v>
          </cell>
          <cell r="D17">
            <v>775.95</v>
          </cell>
        </row>
        <row r="20">
          <cell r="C20">
            <v>219.56479999999999</v>
          </cell>
          <cell r="D20">
            <v>230.54303999999999</v>
          </cell>
        </row>
      </sheetData>
      <sheetData sheetId="19">
        <row r="9">
          <cell r="D9">
            <v>243</v>
          </cell>
          <cell r="E9">
            <v>260</v>
          </cell>
        </row>
        <row r="12">
          <cell r="D12">
            <v>797</v>
          </cell>
          <cell r="E12">
            <v>848</v>
          </cell>
        </row>
        <row r="17">
          <cell r="C17">
            <v>739</v>
          </cell>
          <cell r="D17">
            <v>775.95</v>
          </cell>
        </row>
        <row r="19">
          <cell r="C19">
            <v>887</v>
          </cell>
          <cell r="D19">
            <v>931.35</v>
          </cell>
        </row>
      </sheetData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25B9-06E1-4B37-8187-4E6AA132263A}">
  <dimension ref="A1:BR56"/>
  <sheetViews>
    <sheetView showGridLines="0" tabSelected="1" topLeftCell="N1" zoomScale="60" zoomScaleNormal="60" workbookViewId="0">
      <selection activeCell="BO6" sqref="BO6:BR44"/>
    </sheetView>
  </sheetViews>
  <sheetFormatPr defaultRowHeight="15" customHeight="1" x14ac:dyDescent="0.6"/>
  <cols>
    <col min="1" max="1" width="13" style="71" customWidth="1"/>
    <col min="2" max="2" width="11" style="71" hidden="1" customWidth="1"/>
    <col min="3" max="4" width="14" style="71" hidden="1" customWidth="1"/>
    <col min="5" max="6" width="9" style="71" hidden="1" customWidth="1"/>
    <col min="7" max="7" width="12" style="71" hidden="1" customWidth="1"/>
    <col min="8" max="8" width="9" style="71" hidden="1" customWidth="1"/>
    <col min="9" max="9" width="15" style="71" hidden="1" customWidth="1"/>
    <col min="10" max="10" width="28.6328125" style="71" hidden="1" customWidth="1"/>
    <col min="11" max="11" width="8.7265625" style="71"/>
    <col min="12" max="12" width="9.90625" style="71" bestFit="1" customWidth="1"/>
    <col min="13" max="13" width="12.6328125" style="71" customWidth="1"/>
    <col min="14" max="14" width="16.54296875" style="71" bestFit="1" customWidth="1"/>
    <col min="15" max="15" width="14.6328125" style="71" customWidth="1"/>
    <col min="16" max="20" width="15.08984375" style="71" customWidth="1"/>
    <col min="21" max="22" width="9.90625" style="71" bestFit="1" customWidth="1"/>
    <col min="23" max="23" width="12.6328125" style="71" customWidth="1"/>
    <col min="24" max="24" width="16.54296875" style="71" bestFit="1" customWidth="1"/>
    <col min="25" max="25" width="15.7265625" style="71" customWidth="1"/>
    <col min="26" max="26" width="16.54296875" style="71" bestFit="1" customWidth="1"/>
    <col min="27" max="30" width="16.54296875" style="71" customWidth="1"/>
    <col min="31" max="32" width="9.90625" style="71" bestFit="1" customWidth="1"/>
    <col min="33" max="33" width="12.6328125" style="71" customWidth="1"/>
    <col min="34" max="34" width="16.54296875" style="71" bestFit="1" customWidth="1"/>
    <col min="35" max="35" width="15.7265625" style="71" customWidth="1"/>
    <col min="36" max="36" width="16.54296875" style="71" bestFit="1" customWidth="1"/>
    <col min="37" max="40" width="16.54296875" style="71" customWidth="1"/>
    <col min="41" max="42" width="9.90625" style="71" bestFit="1" customWidth="1"/>
    <col min="43" max="43" width="12.6328125" style="71" customWidth="1"/>
    <col min="44" max="44" width="16.54296875" style="71" bestFit="1" customWidth="1"/>
    <col min="45" max="45" width="15.7265625" style="71" customWidth="1"/>
    <col min="46" max="46" width="16.54296875" style="71" bestFit="1" customWidth="1"/>
    <col min="47" max="50" width="16.54296875" style="71" customWidth="1"/>
    <col min="51" max="52" width="9.90625" style="71" bestFit="1" customWidth="1"/>
    <col min="53" max="53" width="12.6328125" style="71" customWidth="1"/>
    <col min="54" max="54" width="16.54296875" style="71" bestFit="1" customWidth="1"/>
    <col min="55" max="55" width="15.7265625" style="71" customWidth="1"/>
    <col min="56" max="56" width="16.54296875" style="71" bestFit="1" customWidth="1"/>
    <col min="57" max="60" width="16.54296875" style="71" customWidth="1"/>
    <col min="61" max="62" width="9.90625" style="71" bestFit="1" customWidth="1"/>
    <col min="63" max="63" width="12.6328125" style="71" customWidth="1"/>
    <col min="64" max="64" width="16.54296875" style="71" bestFit="1" customWidth="1"/>
    <col min="65" max="65" width="15.7265625" style="71" customWidth="1"/>
    <col min="66" max="66" width="16.54296875" style="71" bestFit="1" customWidth="1"/>
    <col min="67" max="70" width="16.54296875" style="71" customWidth="1"/>
    <col min="71" max="16384" width="8.7265625" style="71"/>
  </cols>
  <sheetData>
    <row r="1" spans="1:70" ht="15.75" customHeight="1" x14ac:dyDescent="0.6">
      <c r="A1" s="70" t="s">
        <v>0</v>
      </c>
    </row>
    <row r="2" spans="1:70" ht="17.5" hidden="1" x14ac:dyDescent="0.6">
      <c r="A2" s="72" t="s">
        <v>334</v>
      </c>
    </row>
    <row r="3" spans="1:70" ht="17.5" x14ac:dyDescent="0.6">
      <c r="K3" s="73" t="s">
        <v>335</v>
      </c>
      <c r="L3" s="73" t="s">
        <v>336</v>
      </c>
      <c r="M3" s="73"/>
      <c r="N3" s="73"/>
      <c r="O3" s="73"/>
      <c r="P3" s="73"/>
      <c r="Q3" s="73"/>
      <c r="R3" s="73"/>
      <c r="S3" s="73"/>
      <c r="T3" s="73"/>
      <c r="U3" s="74" t="s">
        <v>337</v>
      </c>
      <c r="V3" s="74" t="s">
        <v>338</v>
      </c>
      <c r="W3" s="74"/>
      <c r="X3" s="74"/>
      <c r="Y3" s="74"/>
      <c r="Z3" s="74"/>
      <c r="AA3" s="74"/>
      <c r="AB3" s="74"/>
      <c r="AC3" s="74"/>
      <c r="AD3" s="74"/>
      <c r="AE3" s="73" t="s">
        <v>339</v>
      </c>
      <c r="AF3" s="73" t="s">
        <v>340</v>
      </c>
      <c r="AG3" s="73"/>
      <c r="AH3" s="73"/>
      <c r="AI3" s="73"/>
      <c r="AJ3" s="73"/>
      <c r="AK3" s="73"/>
      <c r="AL3" s="73"/>
      <c r="AM3" s="73"/>
      <c r="AN3" s="73"/>
      <c r="AO3" s="74" t="s">
        <v>341</v>
      </c>
      <c r="AP3" s="74" t="s">
        <v>342</v>
      </c>
      <c r="AQ3" s="74"/>
      <c r="AR3" s="74"/>
      <c r="AS3" s="74"/>
      <c r="AT3" s="74"/>
      <c r="AU3" s="74"/>
      <c r="AV3" s="74"/>
      <c r="AW3" s="74"/>
      <c r="AX3" s="74"/>
      <c r="AY3" s="73" t="s">
        <v>343</v>
      </c>
      <c r="AZ3" s="73" t="s">
        <v>344</v>
      </c>
      <c r="BA3" s="73"/>
      <c r="BB3" s="73"/>
      <c r="BC3" s="73"/>
      <c r="BD3" s="73"/>
      <c r="BE3" s="73"/>
      <c r="BF3" s="73"/>
      <c r="BG3" s="73"/>
      <c r="BH3" s="73"/>
      <c r="BI3" s="100" t="s">
        <v>345</v>
      </c>
      <c r="BJ3" s="101" t="s">
        <v>346</v>
      </c>
      <c r="BK3" s="101"/>
      <c r="BL3" s="101"/>
      <c r="BM3" s="101"/>
      <c r="BN3" s="101"/>
      <c r="BO3" s="101"/>
      <c r="BP3" s="101"/>
      <c r="BQ3" s="101"/>
      <c r="BR3" s="102"/>
    </row>
    <row r="4" spans="1:70" ht="52.5" x14ac:dyDescent="0.6">
      <c r="A4" s="75" t="s">
        <v>5</v>
      </c>
      <c r="B4" s="75" t="s">
        <v>6</v>
      </c>
      <c r="C4" s="75" t="s">
        <v>7</v>
      </c>
      <c r="D4" s="75" t="s">
        <v>8</v>
      </c>
      <c r="E4" s="75" t="s">
        <v>9</v>
      </c>
      <c r="F4" s="75" t="s">
        <v>10</v>
      </c>
      <c r="G4" s="75" t="s">
        <v>11</v>
      </c>
      <c r="H4" s="75" t="s">
        <v>12</v>
      </c>
      <c r="I4" s="75" t="s">
        <v>13</v>
      </c>
      <c r="J4" s="75" t="s">
        <v>14</v>
      </c>
      <c r="K4" s="76" t="s">
        <v>372</v>
      </c>
      <c r="L4" s="76"/>
      <c r="M4" s="77" t="s">
        <v>347</v>
      </c>
      <c r="N4" s="78" t="s">
        <v>373</v>
      </c>
      <c r="O4" s="78" t="s">
        <v>348</v>
      </c>
      <c r="P4" s="78" t="s">
        <v>374</v>
      </c>
      <c r="Q4" s="76" t="s">
        <v>349</v>
      </c>
      <c r="R4" s="78" t="s">
        <v>350</v>
      </c>
      <c r="S4" s="78" t="s">
        <v>351</v>
      </c>
      <c r="T4" s="78" t="s">
        <v>352</v>
      </c>
      <c r="U4" s="79" t="s">
        <v>372</v>
      </c>
      <c r="V4" s="79"/>
      <c r="W4" s="80" t="s">
        <v>347</v>
      </c>
      <c r="X4" s="81" t="s">
        <v>378</v>
      </c>
      <c r="Y4" s="81" t="s">
        <v>379</v>
      </c>
      <c r="Z4" s="81" t="s">
        <v>353</v>
      </c>
      <c r="AA4" s="81" t="s">
        <v>349</v>
      </c>
      <c r="AB4" s="81" t="s">
        <v>350</v>
      </c>
      <c r="AC4" s="81" t="s">
        <v>354</v>
      </c>
      <c r="AD4" s="81" t="s">
        <v>355</v>
      </c>
      <c r="AE4" s="76" t="s">
        <v>372</v>
      </c>
      <c r="AF4" s="76"/>
      <c r="AG4" s="77" t="s">
        <v>347</v>
      </c>
      <c r="AH4" s="78" t="s">
        <v>378</v>
      </c>
      <c r="AI4" s="78" t="s">
        <v>379</v>
      </c>
      <c r="AJ4" s="78" t="s">
        <v>353</v>
      </c>
      <c r="AK4" s="78" t="s">
        <v>349</v>
      </c>
      <c r="AL4" s="78" t="s">
        <v>350</v>
      </c>
      <c r="AM4" s="78" t="s">
        <v>354</v>
      </c>
      <c r="AN4" s="78" t="s">
        <v>355</v>
      </c>
      <c r="AO4" s="79" t="s">
        <v>372</v>
      </c>
      <c r="AP4" s="79"/>
      <c r="AQ4" s="80" t="s">
        <v>347</v>
      </c>
      <c r="AR4" s="81" t="s">
        <v>378</v>
      </c>
      <c r="AS4" s="81" t="s">
        <v>379</v>
      </c>
      <c r="AT4" s="81" t="s">
        <v>353</v>
      </c>
      <c r="AU4" s="81" t="s">
        <v>349</v>
      </c>
      <c r="AV4" s="81" t="s">
        <v>350</v>
      </c>
      <c r="AW4" s="81" t="s">
        <v>354</v>
      </c>
      <c r="AX4" s="81" t="s">
        <v>355</v>
      </c>
      <c r="AY4" s="76" t="s">
        <v>372</v>
      </c>
      <c r="AZ4" s="76"/>
      <c r="BA4" s="77" t="s">
        <v>347</v>
      </c>
      <c r="BB4" s="78" t="s">
        <v>378</v>
      </c>
      <c r="BC4" s="78" t="s">
        <v>379</v>
      </c>
      <c r="BD4" s="78" t="s">
        <v>353</v>
      </c>
      <c r="BE4" s="78" t="s">
        <v>349</v>
      </c>
      <c r="BF4" s="78" t="s">
        <v>350</v>
      </c>
      <c r="BG4" s="78" t="s">
        <v>354</v>
      </c>
      <c r="BH4" s="78" t="s">
        <v>355</v>
      </c>
      <c r="BI4" s="79" t="s">
        <v>372</v>
      </c>
      <c r="BJ4" s="79"/>
      <c r="BK4" s="80" t="s">
        <v>347</v>
      </c>
      <c r="BL4" s="81" t="s">
        <v>378</v>
      </c>
      <c r="BM4" s="81" t="s">
        <v>379</v>
      </c>
      <c r="BN4" s="81" t="s">
        <v>353</v>
      </c>
      <c r="BO4" s="81" t="s">
        <v>349</v>
      </c>
      <c r="BP4" s="81" t="s">
        <v>350</v>
      </c>
      <c r="BQ4" s="81" t="s">
        <v>354</v>
      </c>
      <c r="BR4" s="81" t="s">
        <v>355</v>
      </c>
    </row>
    <row r="5" spans="1:70" ht="52.5" x14ac:dyDescent="0.6">
      <c r="A5" s="75"/>
      <c r="B5" s="75"/>
      <c r="C5" s="75"/>
      <c r="D5" s="75"/>
      <c r="E5" s="75"/>
      <c r="F5" s="75"/>
      <c r="G5" s="75"/>
      <c r="H5" s="75"/>
      <c r="I5" s="75"/>
      <c r="J5" s="75"/>
      <c r="K5" s="76" t="s">
        <v>375</v>
      </c>
      <c r="L5" s="76"/>
      <c r="M5" s="77"/>
      <c r="N5" s="78" t="s">
        <v>376</v>
      </c>
      <c r="O5" s="78" t="s">
        <v>356</v>
      </c>
      <c r="P5" s="78" t="s">
        <v>377</v>
      </c>
      <c r="Q5" s="78" t="s">
        <v>357</v>
      </c>
      <c r="R5" s="78" t="s">
        <v>358</v>
      </c>
      <c r="S5" s="78" t="s">
        <v>359</v>
      </c>
      <c r="T5" s="78" t="s">
        <v>360</v>
      </c>
      <c r="U5" s="79" t="s">
        <v>375</v>
      </c>
      <c r="V5" s="79"/>
      <c r="W5" s="80"/>
      <c r="X5" s="81" t="s">
        <v>376</v>
      </c>
      <c r="Y5" s="81" t="s">
        <v>380</v>
      </c>
      <c r="Z5" s="81" t="s">
        <v>361</v>
      </c>
      <c r="AA5" s="81" t="s">
        <v>357</v>
      </c>
      <c r="AB5" s="81" t="s">
        <v>358</v>
      </c>
      <c r="AC5" s="81" t="s">
        <v>362</v>
      </c>
      <c r="AD5" s="81" t="s">
        <v>363</v>
      </c>
      <c r="AE5" s="76" t="s">
        <v>375</v>
      </c>
      <c r="AF5" s="76"/>
      <c r="AG5" s="77"/>
      <c r="AH5" s="78" t="s">
        <v>376</v>
      </c>
      <c r="AI5" s="78" t="s">
        <v>380</v>
      </c>
      <c r="AJ5" s="78" t="s">
        <v>361</v>
      </c>
      <c r="AK5" s="78" t="s">
        <v>357</v>
      </c>
      <c r="AL5" s="78" t="s">
        <v>358</v>
      </c>
      <c r="AM5" s="78" t="s">
        <v>362</v>
      </c>
      <c r="AN5" s="78" t="s">
        <v>363</v>
      </c>
      <c r="AO5" s="79" t="s">
        <v>375</v>
      </c>
      <c r="AP5" s="79"/>
      <c r="AQ5" s="80"/>
      <c r="AR5" s="81" t="s">
        <v>376</v>
      </c>
      <c r="AS5" s="81" t="s">
        <v>380</v>
      </c>
      <c r="AT5" s="81" t="s">
        <v>361</v>
      </c>
      <c r="AU5" s="81" t="s">
        <v>357</v>
      </c>
      <c r="AV5" s="81" t="s">
        <v>358</v>
      </c>
      <c r="AW5" s="81" t="s">
        <v>362</v>
      </c>
      <c r="AX5" s="81" t="s">
        <v>363</v>
      </c>
      <c r="AY5" s="76" t="s">
        <v>375</v>
      </c>
      <c r="AZ5" s="76"/>
      <c r="BA5" s="77"/>
      <c r="BB5" s="78" t="s">
        <v>376</v>
      </c>
      <c r="BC5" s="78" t="s">
        <v>380</v>
      </c>
      <c r="BD5" s="78" t="s">
        <v>361</v>
      </c>
      <c r="BE5" s="78" t="s">
        <v>357</v>
      </c>
      <c r="BF5" s="78" t="s">
        <v>358</v>
      </c>
      <c r="BG5" s="78" t="s">
        <v>362</v>
      </c>
      <c r="BH5" s="78" t="s">
        <v>363</v>
      </c>
      <c r="BI5" s="79" t="s">
        <v>375</v>
      </c>
      <c r="BJ5" s="79"/>
      <c r="BK5" s="80"/>
      <c r="BL5" s="81" t="s">
        <v>376</v>
      </c>
      <c r="BM5" s="81" t="s">
        <v>380</v>
      </c>
      <c r="BN5" s="81" t="s">
        <v>361</v>
      </c>
      <c r="BO5" s="81" t="s">
        <v>357</v>
      </c>
      <c r="BP5" s="81" t="s">
        <v>358</v>
      </c>
      <c r="BQ5" s="81" t="s">
        <v>362</v>
      </c>
      <c r="BR5" s="81" t="s">
        <v>363</v>
      </c>
    </row>
    <row r="6" spans="1:70" ht="17.5" x14ac:dyDescent="0.6">
      <c r="A6" s="82" t="s">
        <v>25</v>
      </c>
      <c r="B6" s="83" t="s">
        <v>26</v>
      </c>
      <c r="C6" s="84">
        <v>6974170.0524000004</v>
      </c>
      <c r="D6" s="84">
        <v>13051952.562899999</v>
      </c>
      <c r="E6" s="85">
        <v>0.53433921237378579</v>
      </c>
      <c r="F6" s="83"/>
      <c r="G6" s="86">
        <v>376073.91360000003</v>
      </c>
      <c r="H6" s="83"/>
      <c r="I6" s="87">
        <v>7350243.966</v>
      </c>
      <c r="J6" s="88" t="s">
        <v>27</v>
      </c>
      <c r="K6" s="83" t="s">
        <v>364</v>
      </c>
      <c r="L6" s="89">
        <v>281.60000000000002</v>
      </c>
      <c r="M6" s="89">
        <v>11444</v>
      </c>
      <c r="N6" s="89">
        <f>L6*M6</f>
        <v>3222630.4000000004</v>
      </c>
      <c r="O6" s="83"/>
      <c r="P6" s="83"/>
      <c r="Q6" s="83">
        <f>400*1.12</f>
        <v>448.00000000000006</v>
      </c>
      <c r="R6" s="92">
        <f>Q6*M6</f>
        <v>5126912.0000000009</v>
      </c>
      <c r="S6" s="92"/>
      <c r="T6" s="83"/>
      <c r="U6" s="83" t="s">
        <v>364</v>
      </c>
      <c r="V6" s="89">
        <v>295.68</v>
      </c>
      <c r="W6" s="89">
        <v>12345</v>
      </c>
      <c r="X6" s="89">
        <f>V6*W6</f>
        <v>3650169.6</v>
      </c>
      <c r="Y6" s="83"/>
      <c r="Z6" s="83"/>
      <c r="AA6" s="83">
        <f>400*1.12*1.03</f>
        <v>461.44000000000005</v>
      </c>
      <c r="AB6" s="92">
        <f>AA6*W6</f>
        <v>5696476.8000000007</v>
      </c>
      <c r="AC6" s="83"/>
      <c r="AD6" s="83"/>
      <c r="AE6" s="83"/>
      <c r="AF6" s="89"/>
      <c r="AG6" s="89"/>
      <c r="AH6" s="89"/>
      <c r="AI6" s="83"/>
      <c r="AJ6" s="83"/>
      <c r="AK6" s="83"/>
      <c r="AL6" s="92"/>
      <c r="AM6" s="83"/>
      <c r="AN6" s="83"/>
      <c r="AO6" s="83"/>
      <c r="AP6" s="89"/>
      <c r="AQ6" s="89"/>
      <c r="AR6" s="89"/>
      <c r="AS6" s="83"/>
      <c r="AT6" s="83"/>
      <c r="AU6" s="83"/>
      <c r="AV6" s="92"/>
      <c r="AW6" s="83"/>
      <c r="AX6" s="83"/>
      <c r="AY6" s="83"/>
      <c r="AZ6" s="89"/>
      <c r="BA6" s="89"/>
      <c r="BB6" s="89"/>
      <c r="BC6" s="83"/>
      <c r="BD6" s="83"/>
      <c r="BE6" s="83"/>
      <c r="BF6" s="92"/>
      <c r="BG6" s="83"/>
      <c r="BH6" s="83"/>
      <c r="BI6" s="83"/>
      <c r="BJ6" s="89"/>
      <c r="BK6" s="89"/>
      <c r="BL6" s="89"/>
      <c r="BM6" s="83"/>
      <c r="BN6" s="83"/>
      <c r="BO6" s="83"/>
      <c r="BP6" s="92"/>
      <c r="BQ6" s="83"/>
      <c r="BR6" s="83"/>
    </row>
    <row r="7" spans="1:70" ht="17.5" x14ac:dyDescent="0.6">
      <c r="A7" s="82"/>
      <c r="B7" s="83"/>
      <c r="C7" s="84"/>
      <c r="D7" s="84"/>
      <c r="E7" s="85"/>
      <c r="F7" s="83"/>
      <c r="G7" s="86"/>
      <c r="H7" s="83"/>
      <c r="I7" s="87"/>
      <c r="J7" s="88"/>
      <c r="K7" s="83" t="s">
        <v>365</v>
      </c>
      <c r="L7" s="89">
        <v>704</v>
      </c>
      <c r="M7" s="89">
        <v>10747</v>
      </c>
      <c r="N7" s="89">
        <f>L7*M7</f>
        <v>7565888</v>
      </c>
      <c r="O7" s="83"/>
      <c r="P7" s="83"/>
      <c r="Q7" s="83">
        <f>1000*1.12</f>
        <v>1120</v>
      </c>
      <c r="R7" s="92">
        <f>Q7*M7</f>
        <v>12036640</v>
      </c>
      <c r="S7" s="92"/>
      <c r="T7" s="83"/>
      <c r="U7" s="83" t="s">
        <v>365</v>
      </c>
      <c r="V7" s="89">
        <v>739.2</v>
      </c>
      <c r="W7" s="89">
        <v>10865</v>
      </c>
      <c r="X7" s="89">
        <f>V7*W7</f>
        <v>8031408.0000000009</v>
      </c>
      <c r="Y7" s="83"/>
      <c r="Z7" s="83"/>
      <c r="AA7" s="83">
        <f>1000*1.12*1.03</f>
        <v>1153.6000000000001</v>
      </c>
      <c r="AB7" s="92">
        <f>AA7*W7</f>
        <v>12533864.000000002</v>
      </c>
      <c r="AC7" s="83"/>
      <c r="AD7" s="83"/>
      <c r="AE7" s="83"/>
      <c r="AF7" s="89"/>
      <c r="AG7" s="89"/>
      <c r="AH7" s="89"/>
      <c r="AI7" s="83"/>
      <c r="AJ7" s="83"/>
      <c r="AK7" s="83"/>
      <c r="AL7" s="92"/>
      <c r="AM7" s="83"/>
      <c r="AN7" s="83"/>
      <c r="AO7" s="83"/>
      <c r="AP7" s="89"/>
      <c r="AQ7" s="89"/>
      <c r="AR7" s="89"/>
      <c r="AS7" s="83"/>
      <c r="AT7" s="83"/>
      <c r="AU7" s="83"/>
      <c r="AV7" s="92"/>
      <c r="AW7" s="83"/>
      <c r="AX7" s="83"/>
      <c r="AY7" s="83"/>
      <c r="AZ7" s="89"/>
      <c r="BA7" s="89"/>
      <c r="BB7" s="89"/>
      <c r="BC7" s="83"/>
      <c r="BD7" s="83"/>
      <c r="BE7" s="83"/>
      <c r="BF7" s="92"/>
      <c r="BG7" s="83"/>
      <c r="BH7" s="83"/>
      <c r="BI7" s="83"/>
      <c r="BJ7" s="89"/>
      <c r="BK7" s="89"/>
      <c r="BL7" s="89"/>
      <c r="BM7" s="83"/>
      <c r="BN7" s="83"/>
      <c r="BO7" s="83"/>
      <c r="BP7" s="92"/>
      <c r="BQ7" s="83"/>
      <c r="BR7" s="83"/>
    </row>
    <row r="8" spans="1:70" ht="17.5" x14ac:dyDescent="0.6">
      <c r="A8" s="82"/>
      <c r="B8" s="83"/>
      <c r="C8" s="84"/>
      <c r="D8" s="84"/>
      <c r="E8" s="85"/>
      <c r="F8" s="83"/>
      <c r="G8" s="86"/>
      <c r="H8" s="83"/>
      <c r="I8" s="87"/>
      <c r="J8" s="88"/>
      <c r="K8" s="83" t="s">
        <v>366</v>
      </c>
      <c r="L8" s="89">
        <v>844.80000000000007</v>
      </c>
      <c r="M8" s="89">
        <v>877</v>
      </c>
      <c r="N8" s="89">
        <f>L8*M8</f>
        <v>740889.60000000009</v>
      </c>
      <c r="O8" s="83"/>
      <c r="P8" s="83"/>
      <c r="Q8" s="83">
        <f>1200*1.12</f>
        <v>1344.0000000000002</v>
      </c>
      <c r="R8" s="92">
        <f>Q8*M8</f>
        <v>1178688.0000000002</v>
      </c>
      <c r="S8" s="92"/>
      <c r="T8" s="83"/>
      <c r="U8" s="83" t="s">
        <v>366</v>
      </c>
      <c r="V8" s="89">
        <v>887.04000000000008</v>
      </c>
      <c r="W8" s="89">
        <v>963</v>
      </c>
      <c r="X8" s="89">
        <f>V8*W8</f>
        <v>854219.52</v>
      </c>
      <c r="Y8" s="83"/>
      <c r="Z8" s="83"/>
      <c r="AA8" s="83">
        <f>1200*1.12*1.03</f>
        <v>1384.3200000000002</v>
      </c>
      <c r="AB8" s="92">
        <f>AA8*W8</f>
        <v>1333100.1600000001</v>
      </c>
      <c r="AC8" s="83"/>
      <c r="AD8" s="83"/>
      <c r="AE8" s="83"/>
      <c r="AF8" s="89"/>
      <c r="AG8" s="89"/>
      <c r="AH8" s="89"/>
      <c r="AI8" s="83"/>
      <c r="AJ8" s="83"/>
      <c r="AK8" s="83"/>
      <c r="AL8" s="92"/>
      <c r="AM8" s="83"/>
      <c r="AN8" s="83"/>
      <c r="AO8" s="83"/>
      <c r="AP8" s="89"/>
      <c r="AQ8" s="89"/>
      <c r="AR8" s="89"/>
      <c r="AS8" s="83"/>
      <c r="AT8" s="83"/>
      <c r="AU8" s="83"/>
      <c r="AV8" s="92"/>
      <c r="AW8" s="83"/>
      <c r="AX8" s="83"/>
      <c r="AY8" s="83"/>
      <c r="AZ8" s="89"/>
      <c r="BA8" s="89"/>
      <c r="BB8" s="89"/>
      <c r="BC8" s="83"/>
      <c r="BD8" s="83"/>
      <c r="BE8" s="83"/>
      <c r="BF8" s="92"/>
      <c r="BG8" s="83"/>
      <c r="BH8" s="83"/>
      <c r="BI8" s="83"/>
      <c r="BJ8" s="89"/>
      <c r="BK8" s="89"/>
      <c r="BL8" s="89"/>
      <c r="BM8" s="83"/>
      <c r="BN8" s="83"/>
      <c r="BO8" s="83"/>
      <c r="BP8" s="92"/>
      <c r="BQ8" s="83"/>
      <c r="BR8" s="83"/>
    </row>
    <row r="9" spans="1:70" ht="17.5" x14ac:dyDescent="0.6">
      <c r="A9" s="82"/>
      <c r="B9" s="83"/>
      <c r="C9" s="84"/>
      <c r="D9" s="84"/>
      <c r="E9" s="85"/>
      <c r="F9" s="83"/>
      <c r="G9" s="86"/>
      <c r="H9" s="83"/>
      <c r="I9" s="87"/>
      <c r="J9" s="88"/>
      <c r="K9" s="83"/>
      <c r="L9" s="89"/>
      <c r="M9" s="89">
        <f>SUM(M6:M8)</f>
        <v>23068</v>
      </c>
      <c r="N9" s="89">
        <f>SUM(N6:N8)</f>
        <v>11529408</v>
      </c>
      <c r="O9" s="89">
        <v>6658172.0600000042</v>
      </c>
      <c r="P9" s="90">
        <f>O9/N9</f>
        <v>0.57749470397786284</v>
      </c>
      <c r="Q9" s="90"/>
      <c r="R9" s="103">
        <f>SUM(R6:R8)</f>
        <v>18342240</v>
      </c>
      <c r="S9" s="103">
        <f>12873997.67*1.12</f>
        <v>14418877.390400002</v>
      </c>
      <c r="T9" s="104">
        <f>S9/R9</f>
        <v>0.78610231849545098</v>
      </c>
      <c r="U9" s="83"/>
      <c r="V9" s="91"/>
      <c r="W9" s="92">
        <f>SUM(W6:W8)</f>
        <v>24173</v>
      </c>
      <c r="X9" s="92">
        <f>SUM(X6:X8)</f>
        <v>12535797.120000001</v>
      </c>
      <c r="Y9" s="90">
        <f>Z9/X9</f>
        <v>0.58634037354299484</v>
      </c>
      <c r="Z9" s="89">
        <v>7350243.966</v>
      </c>
      <c r="AA9" s="89"/>
      <c r="AB9" s="89">
        <f>SUM(AB6:AB8)</f>
        <v>19563440.960000005</v>
      </c>
      <c r="AC9" s="89">
        <f>AB9*(0.786+0.018)</f>
        <v>15729006.531840004</v>
      </c>
      <c r="AD9" s="104">
        <f>AC9/AB9</f>
        <v>0.80400000000000005</v>
      </c>
      <c r="AE9" s="83"/>
      <c r="AF9" s="91"/>
      <c r="AG9" s="92"/>
      <c r="AH9" s="92"/>
      <c r="AI9" s="90"/>
      <c r="AJ9" s="89"/>
      <c r="AK9" s="89"/>
      <c r="AL9" s="89"/>
      <c r="AM9" s="89"/>
      <c r="AN9" s="104"/>
      <c r="AO9" s="83"/>
      <c r="AP9" s="91"/>
      <c r="AQ9" s="92"/>
      <c r="AR9" s="92"/>
      <c r="AS9" s="90"/>
      <c r="AT9" s="89"/>
      <c r="AU9" s="89"/>
      <c r="AV9" s="89"/>
      <c r="AW9" s="89"/>
      <c r="AX9" s="104"/>
      <c r="AY9" s="83"/>
      <c r="AZ9" s="91"/>
      <c r="BA9" s="92"/>
      <c r="BB9" s="92"/>
      <c r="BC9" s="90"/>
      <c r="BD9" s="89"/>
      <c r="BE9" s="89"/>
      <c r="BF9" s="89"/>
      <c r="BG9" s="89"/>
      <c r="BH9" s="104"/>
      <c r="BI9" s="83"/>
      <c r="BJ9" s="91"/>
      <c r="BK9" s="92"/>
      <c r="BL9" s="92"/>
      <c r="BM9" s="90"/>
      <c r="BN9" s="89"/>
      <c r="BO9" s="89"/>
      <c r="BP9" s="89"/>
      <c r="BQ9" s="89"/>
      <c r="BR9" s="104"/>
    </row>
    <row r="10" spans="1:70" ht="17.5" x14ac:dyDescent="0.6">
      <c r="A10" s="82" t="s">
        <v>30</v>
      </c>
      <c r="B10" s="83" t="s">
        <v>26</v>
      </c>
      <c r="C10" s="84">
        <v>3098113.5035999999</v>
      </c>
      <c r="D10" s="84">
        <v>8834692</v>
      </c>
      <c r="E10" s="85">
        <v>0.35067589267401739</v>
      </c>
      <c r="F10" s="83"/>
      <c r="G10" s="86">
        <v>159024.45600000001</v>
      </c>
      <c r="H10" s="83"/>
      <c r="I10" s="87">
        <v>3257137.9595999997</v>
      </c>
      <c r="J10" s="88" t="s">
        <v>27</v>
      </c>
      <c r="K10" s="83" t="s">
        <v>367</v>
      </c>
      <c r="L10" s="89">
        <f>V10/1.05</f>
        <v>751.02929368029743</v>
      </c>
      <c r="M10" s="89">
        <v>10336</v>
      </c>
      <c r="N10" s="89">
        <f>L10*M10</f>
        <v>7762638.7794795539</v>
      </c>
      <c r="O10" s="89">
        <v>2895270</v>
      </c>
      <c r="P10" s="90">
        <f>O10/N10</f>
        <v>0.37297497439319383</v>
      </c>
      <c r="Q10" s="90"/>
      <c r="R10" s="103"/>
      <c r="S10" s="103"/>
      <c r="T10" s="104"/>
      <c r="U10" s="83" t="s">
        <v>367</v>
      </c>
      <c r="V10" s="89">
        <f>X10/W10</f>
        <v>788.58075836431237</v>
      </c>
      <c r="W10" s="89">
        <v>10760</v>
      </c>
      <c r="X10" s="89">
        <v>8485128.9600000009</v>
      </c>
      <c r="Y10" s="90">
        <f>Z10/X10</f>
        <v>0.38386428479220186</v>
      </c>
      <c r="Z10" s="89">
        <v>3257137.9595999997</v>
      </c>
      <c r="AA10" s="89"/>
      <c r="AB10" s="89"/>
      <c r="AC10" s="89"/>
      <c r="AD10" s="104"/>
      <c r="AE10" s="83"/>
      <c r="AF10" s="89"/>
      <c r="AG10" s="89"/>
      <c r="AH10" s="89"/>
      <c r="AI10" s="90"/>
      <c r="AJ10" s="89"/>
      <c r="AK10" s="89"/>
      <c r="AL10" s="89"/>
      <c r="AM10" s="89"/>
      <c r="AN10" s="104"/>
      <c r="AO10" s="83"/>
      <c r="AP10" s="89"/>
      <c r="AQ10" s="89"/>
      <c r="AR10" s="89"/>
      <c r="AS10" s="90"/>
      <c r="AT10" s="89"/>
      <c r="AU10" s="89"/>
      <c r="AV10" s="89"/>
      <c r="AW10" s="89"/>
      <c r="AX10" s="104"/>
      <c r="AY10" s="83"/>
      <c r="AZ10" s="89"/>
      <c r="BA10" s="89"/>
      <c r="BB10" s="89"/>
      <c r="BC10" s="90"/>
      <c r="BD10" s="89"/>
      <c r="BE10" s="89"/>
      <c r="BF10" s="89"/>
      <c r="BG10" s="89"/>
      <c r="BH10" s="104"/>
      <c r="BI10" s="83"/>
      <c r="BJ10" s="89"/>
      <c r="BK10" s="89"/>
      <c r="BL10" s="89"/>
      <c r="BM10" s="90"/>
      <c r="BN10" s="89"/>
      <c r="BO10" s="89"/>
      <c r="BP10" s="89"/>
      <c r="BQ10" s="89"/>
      <c r="BR10" s="104"/>
    </row>
    <row r="11" spans="1:70" ht="17.5" x14ac:dyDescent="0.6">
      <c r="A11" s="82" t="s">
        <v>31</v>
      </c>
      <c r="B11" s="83" t="s">
        <v>32</v>
      </c>
      <c r="C11" s="84">
        <v>6062956.4900000002</v>
      </c>
      <c r="D11" s="84">
        <v>11361161.0112</v>
      </c>
      <c r="E11" s="85">
        <v>0.53365641803888253</v>
      </c>
      <c r="F11" s="85">
        <v>1.7999999999999999E-2</v>
      </c>
      <c r="G11" s="84">
        <v>204500.89820159998</v>
      </c>
      <c r="H11" s="85">
        <v>0.55165641803888255</v>
      </c>
      <c r="I11" s="93">
        <v>6267457.3882015999</v>
      </c>
      <c r="J11" s="83"/>
      <c r="K11" s="83" t="s">
        <v>32</v>
      </c>
      <c r="L11" s="89">
        <v>219.56479999999999</v>
      </c>
      <c r="M11" s="89">
        <f>[1]IUK!D9</f>
        <v>47783</v>
      </c>
      <c r="N11" s="89">
        <f>L11*M11</f>
        <v>10491464.838399999</v>
      </c>
      <c r="O11" s="89">
        <v>5682504.9900000012</v>
      </c>
      <c r="P11" s="90">
        <f>O11/N11</f>
        <v>0.54163122857747781</v>
      </c>
      <c r="Q11" s="90"/>
      <c r="R11" s="103"/>
      <c r="S11" s="103"/>
      <c r="T11" s="104"/>
      <c r="U11" s="83" t="s">
        <v>32</v>
      </c>
      <c r="V11" s="89">
        <f>[1]IUK!E14</f>
        <v>230.54303999999999</v>
      </c>
      <c r="W11" s="89">
        <f>[1]IUK!E9</f>
        <v>49280</v>
      </c>
      <c r="X11" s="89">
        <f>V11*W11</f>
        <v>11361161.0112</v>
      </c>
      <c r="Y11" s="90">
        <f t="shared" ref="Y11:Y43" si="0">Z11/X11</f>
        <v>0.55165641803888255</v>
      </c>
      <c r="Z11" s="89">
        <v>6267457.3882015999</v>
      </c>
      <c r="AA11" s="89"/>
      <c r="AB11" s="89"/>
      <c r="AC11" s="89"/>
      <c r="AD11" s="104"/>
      <c r="AE11" s="83"/>
      <c r="AF11" s="89"/>
      <c r="AG11" s="89"/>
      <c r="AH11" s="89"/>
      <c r="AI11" s="90"/>
      <c r="AJ11" s="89"/>
      <c r="AK11" s="89"/>
      <c r="AL11" s="89"/>
      <c r="AM11" s="89"/>
      <c r="AN11" s="104"/>
      <c r="AO11" s="83"/>
      <c r="AP11" s="89"/>
      <c r="AQ11" s="89"/>
      <c r="AR11" s="89"/>
      <c r="AS11" s="90"/>
      <c r="AT11" s="89"/>
      <c r="AU11" s="89"/>
      <c r="AV11" s="89"/>
      <c r="AW11" s="89"/>
      <c r="AX11" s="104"/>
      <c r="AY11" s="83"/>
      <c r="AZ11" s="89"/>
      <c r="BA11" s="89"/>
      <c r="BB11" s="89"/>
      <c r="BC11" s="90"/>
      <c r="BD11" s="89"/>
      <c r="BE11" s="89"/>
      <c r="BF11" s="89"/>
      <c r="BG11" s="89"/>
      <c r="BH11" s="104"/>
      <c r="BI11" s="83"/>
      <c r="BJ11" s="89"/>
      <c r="BK11" s="89"/>
      <c r="BL11" s="89"/>
      <c r="BM11" s="90"/>
      <c r="BN11" s="89"/>
      <c r="BO11" s="89"/>
      <c r="BP11" s="89"/>
      <c r="BQ11" s="89"/>
      <c r="BR11" s="104"/>
    </row>
    <row r="12" spans="1:70" ht="17.5" x14ac:dyDescent="0.6">
      <c r="A12" s="82" t="s">
        <v>35</v>
      </c>
      <c r="B12" s="83" t="s">
        <v>32</v>
      </c>
      <c r="C12" s="84">
        <v>2973279.33</v>
      </c>
      <c r="D12" s="84">
        <v>4354035.8534399997</v>
      </c>
      <c r="E12" s="85">
        <v>0.68287892660573679</v>
      </c>
      <c r="F12" s="85">
        <v>1.7999999999999999E-2</v>
      </c>
      <c r="G12" s="84">
        <v>78372.645361919989</v>
      </c>
      <c r="H12" s="85">
        <v>0.70087892660573681</v>
      </c>
      <c r="I12" s="93">
        <v>3051651.97536192</v>
      </c>
      <c r="J12" s="83"/>
      <c r="K12" s="83" t="s">
        <v>32</v>
      </c>
      <c r="L12" s="89">
        <f>[1]IUK!D14</f>
        <v>219.56479999999999</v>
      </c>
      <c r="M12" s="89">
        <f>[1]UMI!D9</f>
        <v>18542</v>
      </c>
      <c r="N12" s="89">
        <f t="shared" ref="N12:N45" si="1">L12*M12</f>
        <v>4071170.5215999996</v>
      </c>
      <c r="O12" s="89">
        <v>2651674.2400000002</v>
      </c>
      <c r="P12" s="90">
        <f t="shared" ref="P12:P43" si="2">O12/N12</f>
        <v>0.65132969153005971</v>
      </c>
      <c r="Q12" s="90"/>
      <c r="R12" s="103"/>
      <c r="S12" s="103"/>
      <c r="T12" s="104"/>
      <c r="U12" s="83" t="s">
        <v>32</v>
      </c>
      <c r="V12" s="89">
        <f>[1]UMI!E14</f>
        <v>230.54303999999999</v>
      </c>
      <c r="W12" s="89">
        <f>[1]UMI!E9</f>
        <v>18886</v>
      </c>
      <c r="X12" s="89">
        <f t="shared" ref="X12:X42" si="3">V12*W12</f>
        <v>4354035.8534399997</v>
      </c>
      <c r="Y12" s="90">
        <f t="shared" si="0"/>
        <v>0.70087892660573681</v>
      </c>
      <c r="Z12" s="89">
        <v>3051651.97536192</v>
      </c>
      <c r="AA12" s="89"/>
      <c r="AB12" s="89"/>
      <c r="AC12" s="89"/>
      <c r="AD12" s="104"/>
      <c r="AE12" s="83"/>
      <c r="AF12" s="89"/>
      <c r="AG12" s="89"/>
      <c r="AH12" s="89"/>
      <c r="AI12" s="90"/>
      <c r="AJ12" s="89"/>
      <c r="AK12" s="89"/>
      <c r="AL12" s="89"/>
      <c r="AM12" s="89"/>
      <c r="AN12" s="104"/>
      <c r="AO12" s="83"/>
      <c r="AP12" s="89"/>
      <c r="AQ12" s="89"/>
      <c r="AR12" s="89"/>
      <c r="AS12" s="90"/>
      <c r="AT12" s="89"/>
      <c r="AU12" s="89"/>
      <c r="AV12" s="89"/>
      <c r="AW12" s="89"/>
      <c r="AX12" s="104"/>
      <c r="AY12" s="83"/>
      <c r="AZ12" s="89"/>
      <c r="BA12" s="89"/>
      <c r="BB12" s="89"/>
      <c r="BC12" s="90"/>
      <c r="BD12" s="89"/>
      <c r="BE12" s="89"/>
      <c r="BF12" s="89"/>
      <c r="BG12" s="89"/>
      <c r="BH12" s="104"/>
      <c r="BI12" s="83"/>
      <c r="BJ12" s="89"/>
      <c r="BK12" s="89"/>
      <c r="BL12" s="89"/>
      <c r="BM12" s="90"/>
      <c r="BN12" s="89"/>
      <c r="BO12" s="89"/>
      <c r="BP12" s="89"/>
      <c r="BQ12" s="89"/>
      <c r="BR12" s="104"/>
    </row>
    <row r="13" spans="1:70" ht="17.5" x14ac:dyDescent="0.6">
      <c r="A13" s="82" t="s">
        <v>39</v>
      </c>
      <c r="B13" s="83" t="s">
        <v>32</v>
      </c>
      <c r="C13" s="84">
        <v>1764799.75</v>
      </c>
      <c r="D13" s="84">
        <v>1869934.5974399999</v>
      </c>
      <c r="E13" s="85">
        <v>0.94377619004219027</v>
      </c>
      <c r="F13" s="85">
        <v>1.7999999999999999E-2</v>
      </c>
      <c r="G13" s="84">
        <v>33658.822753919994</v>
      </c>
      <c r="H13" s="85">
        <v>0.96177619004219028</v>
      </c>
      <c r="I13" s="93">
        <v>1798458.57275392</v>
      </c>
      <c r="J13" s="83"/>
      <c r="K13" s="83" t="s">
        <v>32</v>
      </c>
      <c r="L13" s="89">
        <f>[1]NORWAY!D14</f>
        <v>219.56479999999999</v>
      </c>
      <c r="M13" s="89">
        <f>[1]NORWAY!D9</f>
        <v>7929</v>
      </c>
      <c r="N13" s="89">
        <f t="shared" si="1"/>
        <v>1740929.2992</v>
      </c>
      <c r="O13" s="89">
        <v>1578970.6799999997</v>
      </c>
      <c r="P13" s="90">
        <f t="shared" si="2"/>
        <v>0.9069700192452248</v>
      </c>
      <c r="Q13" s="90"/>
      <c r="R13" s="103"/>
      <c r="S13" s="103"/>
      <c r="T13" s="104"/>
      <c r="U13" s="83" t="s">
        <v>32</v>
      </c>
      <c r="V13" s="89">
        <f>[1]NORWAY!E14</f>
        <v>230.54303999999999</v>
      </c>
      <c r="W13" s="89">
        <f>[1]NORWAY!E9</f>
        <v>8111</v>
      </c>
      <c r="X13" s="89">
        <f t="shared" si="3"/>
        <v>1869934.5974399999</v>
      </c>
      <c r="Y13" s="90">
        <f t="shared" si="0"/>
        <v>0.96177619004219028</v>
      </c>
      <c r="Z13" s="89">
        <v>1798458.57275392</v>
      </c>
      <c r="AA13" s="89"/>
      <c r="AB13" s="89"/>
      <c r="AC13" s="89"/>
      <c r="AD13" s="104"/>
      <c r="AE13" s="83"/>
      <c r="AF13" s="89"/>
      <c r="AG13" s="89"/>
      <c r="AH13" s="89"/>
      <c r="AI13" s="90"/>
      <c r="AJ13" s="89"/>
      <c r="AK13" s="89"/>
      <c r="AL13" s="89"/>
      <c r="AM13" s="89"/>
      <c r="AN13" s="104"/>
      <c r="AO13" s="83"/>
      <c r="AP13" s="89"/>
      <c r="AQ13" s="89"/>
      <c r="AR13" s="89"/>
      <c r="AS13" s="90"/>
      <c r="AT13" s="89"/>
      <c r="AU13" s="89"/>
      <c r="AV13" s="89"/>
      <c r="AW13" s="89"/>
      <c r="AX13" s="104"/>
      <c r="AY13" s="83"/>
      <c r="AZ13" s="89"/>
      <c r="BA13" s="89"/>
      <c r="BB13" s="89"/>
      <c r="BC13" s="90"/>
      <c r="BD13" s="89"/>
      <c r="BE13" s="89"/>
      <c r="BF13" s="89"/>
      <c r="BG13" s="89"/>
      <c r="BH13" s="104"/>
      <c r="BI13" s="83"/>
      <c r="BJ13" s="89"/>
      <c r="BK13" s="89"/>
      <c r="BL13" s="89"/>
      <c r="BM13" s="90"/>
      <c r="BN13" s="89"/>
      <c r="BO13" s="89"/>
      <c r="BP13" s="89"/>
      <c r="BQ13" s="89"/>
      <c r="BR13" s="104"/>
    </row>
    <row r="14" spans="1:70" ht="17.5" x14ac:dyDescent="0.6">
      <c r="A14" s="82" t="s">
        <v>42</v>
      </c>
      <c r="B14" s="83" t="s">
        <v>32</v>
      </c>
      <c r="C14" s="84">
        <v>1464302.33</v>
      </c>
      <c r="D14" s="84">
        <v>2095636.2335999999</v>
      </c>
      <c r="E14" s="85">
        <v>0.69873879183914489</v>
      </c>
      <c r="F14" s="85">
        <v>1.7999999999999999E-2</v>
      </c>
      <c r="G14" s="84">
        <v>37721.452204799993</v>
      </c>
      <c r="H14" s="85">
        <v>0.71673879183914491</v>
      </c>
      <c r="I14" s="93">
        <v>1502023.7822048001</v>
      </c>
      <c r="J14" s="83"/>
      <c r="K14" s="83" t="s">
        <v>32</v>
      </c>
      <c r="L14" s="89">
        <f>[1]SWEDEN!D14</f>
        <v>219.56479999999999</v>
      </c>
      <c r="M14" s="89">
        <f>[1]SWEDEN!D9</f>
        <v>8443</v>
      </c>
      <c r="N14" s="89">
        <f t="shared" si="1"/>
        <v>1853785.6063999999</v>
      </c>
      <c r="O14" s="89">
        <v>1387714.28</v>
      </c>
      <c r="P14" s="90">
        <f t="shared" si="2"/>
        <v>0.74858401921401396</v>
      </c>
      <c r="Q14" s="90"/>
      <c r="R14" s="103"/>
      <c r="S14" s="103"/>
      <c r="T14" s="104"/>
      <c r="U14" s="83" t="s">
        <v>32</v>
      </c>
      <c r="V14" s="89">
        <f>[1]SWEDEN!E14</f>
        <v>230.54303999999999</v>
      </c>
      <c r="W14" s="89">
        <f>[1]SWEDEN!E9</f>
        <v>9090</v>
      </c>
      <c r="X14" s="89">
        <f t="shared" si="3"/>
        <v>2095636.2335999999</v>
      </c>
      <c r="Y14" s="90">
        <f t="shared" si="0"/>
        <v>0.71673879183914491</v>
      </c>
      <c r="Z14" s="89">
        <v>1502023.7822048001</v>
      </c>
      <c r="AA14" s="89"/>
      <c r="AB14" s="89"/>
      <c r="AC14" s="89"/>
      <c r="AD14" s="104"/>
      <c r="AE14" s="83"/>
      <c r="AF14" s="89"/>
      <c r="AG14" s="89"/>
      <c r="AH14" s="89"/>
      <c r="AI14" s="90"/>
      <c r="AJ14" s="89"/>
      <c r="AK14" s="89"/>
      <c r="AL14" s="89"/>
      <c r="AM14" s="89"/>
      <c r="AN14" s="104"/>
      <c r="AO14" s="83"/>
      <c r="AP14" s="89"/>
      <c r="AQ14" s="89"/>
      <c r="AR14" s="89"/>
      <c r="AS14" s="90"/>
      <c r="AT14" s="89"/>
      <c r="AU14" s="89"/>
      <c r="AV14" s="89"/>
      <c r="AW14" s="89"/>
      <c r="AX14" s="104"/>
      <c r="AY14" s="83"/>
      <c r="AZ14" s="89"/>
      <c r="BA14" s="89"/>
      <c r="BB14" s="89"/>
      <c r="BC14" s="90"/>
      <c r="BD14" s="89"/>
      <c r="BE14" s="89"/>
      <c r="BF14" s="89"/>
      <c r="BG14" s="89"/>
      <c r="BH14" s="104"/>
      <c r="BI14" s="83"/>
      <c r="BJ14" s="89"/>
      <c r="BK14" s="89"/>
      <c r="BL14" s="89"/>
      <c r="BM14" s="90"/>
      <c r="BN14" s="89"/>
      <c r="BO14" s="89"/>
      <c r="BP14" s="89"/>
      <c r="BQ14" s="89"/>
      <c r="BR14" s="104"/>
    </row>
    <row r="15" spans="1:70" ht="17.5" x14ac:dyDescent="0.6">
      <c r="A15" s="82" t="s">
        <v>44</v>
      </c>
      <c r="B15" s="83" t="s">
        <v>32</v>
      </c>
      <c r="C15" s="84">
        <v>349600</v>
      </c>
      <c r="D15" s="84">
        <v>920327.81568</v>
      </c>
      <c r="E15" s="85">
        <v>0.37986464610079401</v>
      </c>
      <c r="F15" s="85">
        <v>1.7999999999999999E-2</v>
      </c>
      <c r="G15" s="84">
        <v>16565.900682239997</v>
      </c>
      <c r="H15" s="85">
        <v>0.39786464610079408</v>
      </c>
      <c r="I15" s="93">
        <v>366165.90068224003</v>
      </c>
      <c r="J15" s="83"/>
      <c r="K15" s="83" t="s">
        <v>32</v>
      </c>
      <c r="L15" s="89">
        <f>[1]HUNGARY!D14</f>
        <v>219.56479999999999</v>
      </c>
      <c r="M15" s="89">
        <f>[1]HUNGARY!D9</f>
        <v>3734</v>
      </c>
      <c r="N15" s="89">
        <f t="shared" si="1"/>
        <v>819854.9632</v>
      </c>
      <c r="O15" s="89">
        <v>349055</v>
      </c>
      <c r="P15" s="90">
        <f t="shared" si="2"/>
        <v>0.42575213381351401</v>
      </c>
      <c r="Q15" s="90"/>
      <c r="R15" s="103"/>
      <c r="S15" s="103"/>
      <c r="T15" s="104"/>
      <c r="U15" s="83" t="s">
        <v>32</v>
      </c>
      <c r="V15" s="89">
        <f>[1]HUNGARY!E14</f>
        <v>230.54303999999999</v>
      </c>
      <c r="W15" s="89">
        <f>[1]HUNGARY!E9</f>
        <v>3992</v>
      </c>
      <c r="X15" s="89">
        <f t="shared" si="3"/>
        <v>920327.81568</v>
      </c>
      <c r="Y15" s="90">
        <f t="shared" si="0"/>
        <v>0.39786464610079408</v>
      </c>
      <c r="Z15" s="89">
        <v>366165.90068224003</v>
      </c>
      <c r="AA15" s="89"/>
      <c r="AB15" s="89"/>
      <c r="AC15" s="89"/>
      <c r="AD15" s="104"/>
      <c r="AE15" s="83"/>
      <c r="AF15" s="89"/>
      <c r="AG15" s="89"/>
      <c r="AH15" s="89"/>
      <c r="AI15" s="90"/>
      <c r="AJ15" s="89"/>
      <c r="AK15" s="89"/>
      <c r="AL15" s="89"/>
      <c r="AM15" s="89"/>
      <c r="AN15" s="104"/>
      <c r="AO15" s="83"/>
      <c r="AP15" s="89"/>
      <c r="AQ15" s="89"/>
      <c r="AR15" s="89"/>
      <c r="AS15" s="90"/>
      <c r="AT15" s="89"/>
      <c r="AU15" s="89"/>
      <c r="AV15" s="89"/>
      <c r="AW15" s="89"/>
      <c r="AX15" s="104"/>
      <c r="AY15" s="83"/>
      <c r="AZ15" s="89"/>
      <c r="BA15" s="89"/>
      <c r="BB15" s="89"/>
      <c r="BC15" s="90"/>
      <c r="BD15" s="89"/>
      <c r="BE15" s="89"/>
      <c r="BF15" s="89"/>
      <c r="BG15" s="89"/>
      <c r="BH15" s="104"/>
      <c r="BI15" s="83"/>
      <c r="BJ15" s="89"/>
      <c r="BK15" s="89"/>
      <c r="BL15" s="89"/>
      <c r="BM15" s="90"/>
      <c r="BN15" s="89"/>
      <c r="BO15" s="89"/>
      <c r="BP15" s="89"/>
      <c r="BQ15" s="89"/>
      <c r="BR15" s="104"/>
    </row>
    <row r="16" spans="1:70" ht="17.5" x14ac:dyDescent="0.6">
      <c r="A16" s="82" t="s">
        <v>46</v>
      </c>
      <c r="B16" s="83" t="s">
        <v>32</v>
      </c>
      <c r="C16" s="84">
        <v>360300</v>
      </c>
      <c r="D16" s="84">
        <v>301550.29631999996</v>
      </c>
      <c r="E16" s="85">
        <v>1.1948255544662303</v>
      </c>
      <c r="F16" s="85">
        <v>1.7999999999999999E-2</v>
      </c>
      <c r="G16" s="84">
        <v>5427.9053337599989</v>
      </c>
      <c r="H16" s="85">
        <v>1.2128255544662303</v>
      </c>
      <c r="I16" s="93">
        <v>365727.90533376002</v>
      </c>
      <c r="J16" s="83"/>
      <c r="K16" s="83" t="s">
        <v>32</v>
      </c>
      <c r="L16" s="89">
        <f>[1]FINLAND!D14</f>
        <v>219.56479999999999</v>
      </c>
      <c r="M16" s="89">
        <f>[1]FINLAND!D9</f>
        <v>1204</v>
      </c>
      <c r="N16" s="89">
        <f t="shared" si="1"/>
        <v>264356.01919999998</v>
      </c>
      <c r="O16" s="89">
        <v>328900.79999999993</v>
      </c>
      <c r="P16" s="90">
        <f t="shared" si="2"/>
        <v>1.2441585442061307</v>
      </c>
      <c r="Q16" s="90"/>
      <c r="R16" s="103"/>
      <c r="S16" s="103"/>
      <c r="T16" s="104"/>
      <c r="U16" s="83" t="s">
        <v>32</v>
      </c>
      <c r="V16" s="89">
        <f>[1]FINLAND!E14</f>
        <v>230.54303999999999</v>
      </c>
      <c r="W16" s="89">
        <f>[1]FINLAND!E9</f>
        <v>1308</v>
      </c>
      <c r="X16" s="89">
        <f t="shared" si="3"/>
        <v>301550.29631999996</v>
      </c>
      <c r="Y16" s="90">
        <f t="shared" si="0"/>
        <v>1.2128255544662303</v>
      </c>
      <c r="Z16" s="89">
        <v>365727.90533376002</v>
      </c>
      <c r="AA16" s="89"/>
      <c r="AB16" s="89"/>
      <c r="AC16" s="89"/>
      <c r="AD16" s="104"/>
      <c r="AE16" s="83"/>
      <c r="AF16" s="89"/>
      <c r="AG16" s="89"/>
      <c r="AH16" s="89"/>
      <c r="AI16" s="90"/>
      <c r="AJ16" s="89"/>
      <c r="AK16" s="89"/>
      <c r="AL16" s="89"/>
      <c r="AM16" s="89"/>
      <c r="AN16" s="104"/>
      <c r="AO16" s="83"/>
      <c r="AP16" s="89"/>
      <c r="AQ16" s="89"/>
      <c r="AR16" s="89"/>
      <c r="AS16" s="90"/>
      <c r="AT16" s="89"/>
      <c r="AU16" s="89"/>
      <c r="AV16" s="89"/>
      <c r="AW16" s="89"/>
      <c r="AX16" s="104"/>
      <c r="AY16" s="83"/>
      <c r="AZ16" s="89"/>
      <c r="BA16" s="89"/>
      <c r="BB16" s="89"/>
      <c r="BC16" s="90"/>
      <c r="BD16" s="89"/>
      <c r="BE16" s="89"/>
      <c r="BF16" s="89"/>
      <c r="BG16" s="89"/>
      <c r="BH16" s="104"/>
      <c r="BI16" s="83"/>
      <c r="BJ16" s="89"/>
      <c r="BK16" s="89"/>
      <c r="BL16" s="89"/>
      <c r="BM16" s="90"/>
      <c r="BN16" s="89"/>
      <c r="BO16" s="89"/>
      <c r="BP16" s="89"/>
      <c r="BQ16" s="89"/>
      <c r="BR16" s="104"/>
    </row>
    <row r="17" spans="1:70" ht="17.5" x14ac:dyDescent="0.6">
      <c r="A17" s="82" t="s">
        <v>48</v>
      </c>
      <c r="B17" s="83" t="s">
        <v>32</v>
      </c>
      <c r="C17" s="84">
        <v>199587.57</v>
      </c>
      <c r="D17" s="84">
        <v>278726.53535999998</v>
      </c>
      <c r="E17" s="85">
        <v>0.71606949708686685</v>
      </c>
      <c r="F17" s="85">
        <v>1.7999999999999999E-2</v>
      </c>
      <c r="G17" s="84">
        <v>5017.0776364799995</v>
      </c>
      <c r="H17" s="85">
        <v>0.73406949708686697</v>
      </c>
      <c r="I17" s="93">
        <v>204604.64763648002</v>
      </c>
      <c r="J17" s="83"/>
      <c r="K17" s="83" t="s">
        <v>32</v>
      </c>
      <c r="L17" s="89">
        <f>[1]ROMANIA!D14</f>
        <v>219.56479999999999</v>
      </c>
      <c r="M17" s="89">
        <f>[1]ROMANIA!D9</f>
        <v>1071</v>
      </c>
      <c r="N17" s="89">
        <f t="shared" si="1"/>
        <v>235153.9008</v>
      </c>
      <c r="O17" s="89">
        <v>182754.93000000002</v>
      </c>
      <c r="P17" s="90">
        <f t="shared" si="2"/>
        <v>0.77717158583490531</v>
      </c>
      <c r="Q17" s="90"/>
      <c r="R17" s="103"/>
      <c r="S17" s="103"/>
      <c r="T17" s="104"/>
      <c r="U17" s="83" t="s">
        <v>32</v>
      </c>
      <c r="V17" s="89">
        <f>[1]ROMANIA!E14</f>
        <v>230.54303999999999</v>
      </c>
      <c r="W17" s="89">
        <f>[1]ROMANIA!E9</f>
        <v>1209</v>
      </c>
      <c r="X17" s="89">
        <f t="shared" si="3"/>
        <v>278726.53535999998</v>
      </c>
      <c r="Y17" s="90">
        <f t="shared" si="0"/>
        <v>0.73406949708686697</v>
      </c>
      <c r="Z17" s="89">
        <v>204604.64763648002</v>
      </c>
      <c r="AA17" s="89"/>
      <c r="AB17" s="89"/>
      <c r="AC17" s="89"/>
      <c r="AD17" s="104"/>
      <c r="AE17" s="83"/>
      <c r="AF17" s="89"/>
      <c r="AG17" s="89"/>
      <c r="AH17" s="89"/>
      <c r="AI17" s="90"/>
      <c r="AJ17" s="89"/>
      <c r="AK17" s="89"/>
      <c r="AL17" s="89"/>
      <c r="AM17" s="89"/>
      <c r="AN17" s="104"/>
      <c r="AO17" s="83"/>
      <c r="AP17" s="89"/>
      <c r="AQ17" s="89"/>
      <c r="AR17" s="89"/>
      <c r="AS17" s="90"/>
      <c r="AT17" s="89"/>
      <c r="AU17" s="89"/>
      <c r="AV17" s="89"/>
      <c r="AW17" s="89"/>
      <c r="AX17" s="104"/>
      <c r="AY17" s="83"/>
      <c r="AZ17" s="89"/>
      <c r="BA17" s="89"/>
      <c r="BB17" s="89"/>
      <c r="BC17" s="90"/>
      <c r="BD17" s="89"/>
      <c r="BE17" s="89"/>
      <c r="BF17" s="89"/>
      <c r="BG17" s="89"/>
      <c r="BH17" s="104"/>
      <c r="BI17" s="83"/>
      <c r="BJ17" s="89"/>
      <c r="BK17" s="89"/>
      <c r="BL17" s="89"/>
      <c r="BM17" s="90"/>
      <c r="BN17" s="89"/>
      <c r="BO17" s="89"/>
      <c r="BP17" s="89"/>
      <c r="BQ17" s="89"/>
      <c r="BR17" s="104"/>
    </row>
    <row r="18" spans="1:70" ht="17.5" x14ac:dyDescent="0.6">
      <c r="A18" s="82" t="s">
        <v>50</v>
      </c>
      <c r="B18" s="83" t="s">
        <v>32</v>
      </c>
      <c r="C18" s="84">
        <v>187600</v>
      </c>
      <c r="D18" s="84">
        <v>217632.62975999998</v>
      </c>
      <c r="E18" s="85">
        <v>0.86200309304207168</v>
      </c>
      <c r="F18" s="85">
        <v>1.7999999999999999E-2</v>
      </c>
      <c r="G18" s="84">
        <v>3917.3873356799995</v>
      </c>
      <c r="H18" s="85">
        <v>0.88000309304207158</v>
      </c>
      <c r="I18" s="93">
        <v>191517.38733567999</v>
      </c>
      <c r="J18" s="83"/>
      <c r="K18" s="83" t="s">
        <v>32</v>
      </c>
      <c r="L18" s="89">
        <f>[1]DENMARK!D14</f>
        <v>219.56479999999999</v>
      </c>
      <c r="M18" s="89">
        <f>[1]DENMARK!D9</f>
        <v>850</v>
      </c>
      <c r="N18" s="89">
        <f t="shared" si="1"/>
        <v>186630.08</v>
      </c>
      <c r="O18" s="89">
        <v>174827.65999999995</v>
      </c>
      <c r="P18" s="90">
        <f t="shared" si="2"/>
        <v>0.93676035502958555</v>
      </c>
      <c r="Q18" s="90"/>
      <c r="R18" s="103"/>
      <c r="S18" s="103"/>
      <c r="T18" s="104"/>
      <c r="U18" s="83" t="s">
        <v>32</v>
      </c>
      <c r="V18" s="89">
        <f>[1]DENMARK!E14</f>
        <v>230.54303999999999</v>
      </c>
      <c r="W18" s="89">
        <f>[1]DENMARK!E9</f>
        <v>944</v>
      </c>
      <c r="X18" s="89">
        <f t="shared" si="3"/>
        <v>217632.62975999998</v>
      </c>
      <c r="Y18" s="90">
        <f t="shared" si="0"/>
        <v>0.88000309304207158</v>
      </c>
      <c r="Z18" s="89">
        <v>191517.38733567999</v>
      </c>
      <c r="AA18" s="89"/>
      <c r="AB18" s="89"/>
      <c r="AC18" s="89"/>
      <c r="AD18" s="104"/>
      <c r="AE18" s="83"/>
      <c r="AF18" s="89"/>
      <c r="AG18" s="89"/>
      <c r="AH18" s="89"/>
      <c r="AI18" s="90"/>
      <c r="AJ18" s="89"/>
      <c r="AK18" s="89"/>
      <c r="AL18" s="89"/>
      <c r="AM18" s="89"/>
      <c r="AN18" s="104"/>
      <c r="AO18" s="83"/>
      <c r="AP18" s="89"/>
      <c r="AQ18" s="89"/>
      <c r="AR18" s="89"/>
      <c r="AS18" s="90"/>
      <c r="AT18" s="89"/>
      <c r="AU18" s="89"/>
      <c r="AV18" s="89"/>
      <c r="AW18" s="89"/>
      <c r="AX18" s="104"/>
      <c r="AY18" s="83"/>
      <c r="AZ18" s="89"/>
      <c r="BA18" s="89"/>
      <c r="BB18" s="89"/>
      <c r="BC18" s="90"/>
      <c r="BD18" s="89"/>
      <c r="BE18" s="89"/>
      <c r="BF18" s="89"/>
      <c r="BG18" s="89"/>
      <c r="BH18" s="104"/>
      <c r="BI18" s="83"/>
      <c r="BJ18" s="89"/>
      <c r="BK18" s="89"/>
      <c r="BL18" s="89"/>
      <c r="BM18" s="90"/>
      <c r="BN18" s="89"/>
      <c r="BO18" s="89"/>
      <c r="BP18" s="89"/>
      <c r="BQ18" s="89"/>
      <c r="BR18" s="104"/>
    </row>
    <row r="19" spans="1:70" ht="17.5" x14ac:dyDescent="0.6">
      <c r="A19" s="82" t="s">
        <v>52</v>
      </c>
      <c r="B19" s="83" t="s">
        <v>32</v>
      </c>
      <c r="C19" s="84">
        <v>104600</v>
      </c>
      <c r="D19" s="84">
        <v>101208.39456</v>
      </c>
      <c r="E19" s="85">
        <v>1.0335111079940047</v>
      </c>
      <c r="F19" s="85">
        <v>1.7999999999999999E-2</v>
      </c>
      <c r="G19" s="84">
        <v>1821.7511020799998</v>
      </c>
      <c r="H19" s="85">
        <v>1.0515111079940047</v>
      </c>
      <c r="I19" s="93">
        <v>106421.75110208</v>
      </c>
      <c r="J19" s="83"/>
      <c r="K19" s="83" t="s">
        <v>32</v>
      </c>
      <c r="L19" s="89">
        <f>[1]ICELAND!D14</f>
        <v>219.56479999999999</v>
      </c>
      <c r="M19" s="89">
        <f>[1]ICELAND!D9</f>
        <v>406</v>
      </c>
      <c r="N19" s="89">
        <f t="shared" si="1"/>
        <v>89143.308799999999</v>
      </c>
      <c r="O19" s="89">
        <v>89209.04</v>
      </c>
      <c r="P19" s="90">
        <f t="shared" si="2"/>
        <v>1.000737365494784</v>
      </c>
      <c r="Q19" s="90"/>
      <c r="R19" s="103"/>
      <c r="S19" s="103"/>
      <c r="T19" s="104"/>
      <c r="U19" s="83" t="s">
        <v>32</v>
      </c>
      <c r="V19" s="89">
        <f>[1]ICELAND!E14</f>
        <v>230.54303999999999</v>
      </c>
      <c r="W19" s="89">
        <f>[1]ICELAND!E9</f>
        <v>439</v>
      </c>
      <c r="X19" s="89">
        <f t="shared" si="3"/>
        <v>101208.39456</v>
      </c>
      <c r="Y19" s="90">
        <f t="shared" si="0"/>
        <v>1.0515111079940047</v>
      </c>
      <c r="Z19" s="89">
        <v>106421.75110208</v>
      </c>
      <c r="AA19" s="89"/>
      <c r="AB19" s="89"/>
      <c r="AC19" s="89"/>
      <c r="AD19" s="104"/>
      <c r="AE19" s="83"/>
      <c r="AF19" s="89"/>
      <c r="AG19" s="89"/>
      <c r="AH19" s="89"/>
      <c r="AI19" s="90"/>
      <c r="AJ19" s="89"/>
      <c r="AK19" s="89"/>
      <c r="AL19" s="89"/>
      <c r="AM19" s="89"/>
      <c r="AN19" s="104"/>
      <c r="AO19" s="83"/>
      <c r="AP19" s="89"/>
      <c r="AQ19" s="89"/>
      <c r="AR19" s="89"/>
      <c r="AS19" s="90"/>
      <c r="AT19" s="89"/>
      <c r="AU19" s="89"/>
      <c r="AV19" s="89"/>
      <c r="AW19" s="89"/>
      <c r="AX19" s="104"/>
      <c r="AY19" s="83"/>
      <c r="AZ19" s="89"/>
      <c r="BA19" s="89"/>
      <c r="BB19" s="89"/>
      <c r="BC19" s="90"/>
      <c r="BD19" s="89"/>
      <c r="BE19" s="89"/>
      <c r="BF19" s="89"/>
      <c r="BG19" s="89"/>
      <c r="BH19" s="104"/>
      <c r="BI19" s="83"/>
      <c r="BJ19" s="89"/>
      <c r="BK19" s="89"/>
      <c r="BL19" s="89"/>
      <c r="BM19" s="90"/>
      <c r="BN19" s="89"/>
      <c r="BO19" s="89"/>
      <c r="BP19" s="89"/>
      <c r="BQ19" s="89"/>
      <c r="BR19" s="104"/>
    </row>
    <row r="20" spans="1:70" ht="17.5" x14ac:dyDescent="0.6">
      <c r="A20" s="82" t="s">
        <v>54</v>
      </c>
      <c r="B20" s="83" t="s">
        <v>55</v>
      </c>
      <c r="C20" s="84">
        <v>2913662.84</v>
      </c>
      <c r="D20" s="84">
        <v>4007354.8972800002</v>
      </c>
      <c r="E20" s="85">
        <v>0.72707881250489048</v>
      </c>
      <c r="F20" s="85">
        <v>1.7999999999999999E-2</v>
      </c>
      <c r="G20" s="84">
        <v>72132.388151039995</v>
      </c>
      <c r="H20" s="85">
        <v>0.74507881250489039</v>
      </c>
      <c r="I20" s="93">
        <v>2985795.2281510397</v>
      </c>
      <c r="J20" s="83"/>
      <c r="K20" s="83" t="s">
        <v>368</v>
      </c>
      <c r="L20" s="89">
        <f>[1]GERMANY!C17</f>
        <v>739</v>
      </c>
      <c r="M20" s="89">
        <f>[1]GERMANY!D9</f>
        <v>697</v>
      </c>
      <c r="N20" s="89">
        <f t="shared" si="1"/>
        <v>515083</v>
      </c>
      <c r="P20" s="90"/>
      <c r="Q20" s="90"/>
      <c r="R20" s="103"/>
      <c r="S20" s="103"/>
      <c r="T20" s="104"/>
      <c r="U20" s="83" t="s">
        <v>368</v>
      </c>
      <c r="V20" s="89">
        <f>[1]GERMANY!D17</f>
        <v>775.95</v>
      </c>
      <c r="W20" s="89">
        <f>[1]GERMANY!E9</f>
        <v>1066</v>
      </c>
      <c r="X20" s="89">
        <f t="shared" si="3"/>
        <v>827162.70000000007</v>
      </c>
      <c r="Y20" s="90"/>
      <c r="Z20" s="89"/>
      <c r="AA20" s="89"/>
      <c r="AB20" s="89"/>
      <c r="AC20" s="89"/>
      <c r="AD20" s="104"/>
      <c r="AE20" s="83"/>
      <c r="AF20" s="89"/>
      <c r="AG20" s="89"/>
      <c r="AH20" s="89"/>
      <c r="AI20" s="90"/>
      <c r="AJ20" s="89"/>
      <c r="AK20" s="89"/>
      <c r="AL20" s="89"/>
      <c r="AM20" s="89"/>
      <c r="AN20" s="104"/>
      <c r="AO20" s="83"/>
      <c r="AP20" s="89"/>
      <c r="AQ20" s="89"/>
      <c r="AR20" s="89"/>
      <c r="AS20" s="90"/>
      <c r="AT20" s="89"/>
      <c r="AU20" s="89"/>
      <c r="AV20" s="89"/>
      <c r="AW20" s="89"/>
      <c r="AX20" s="104"/>
      <c r="AY20" s="83"/>
      <c r="AZ20" s="89"/>
      <c r="BA20" s="89"/>
      <c r="BB20" s="89"/>
      <c r="BC20" s="90"/>
      <c r="BD20" s="89"/>
      <c r="BE20" s="89"/>
      <c r="BF20" s="89"/>
      <c r="BG20" s="89"/>
      <c r="BH20" s="104"/>
      <c r="BI20" s="83"/>
      <c r="BJ20" s="89"/>
      <c r="BK20" s="89"/>
      <c r="BL20" s="89"/>
      <c r="BM20" s="90"/>
      <c r="BN20" s="89"/>
      <c r="BO20" s="89"/>
      <c r="BP20" s="89"/>
      <c r="BQ20" s="89"/>
      <c r="BR20" s="104"/>
    </row>
    <row r="21" spans="1:70" ht="17.5" x14ac:dyDescent="0.6">
      <c r="A21" s="82"/>
      <c r="B21" s="83"/>
      <c r="C21" s="84"/>
      <c r="D21" s="84"/>
      <c r="E21" s="85"/>
      <c r="F21" s="85"/>
      <c r="G21" s="84"/>
      <c r="H21" s="85"/>
      <c r="I21" s="93"/>
      <c r="J21" s="83"/>
      <c r="K21" s="83" t="s">
        <v>369</v>
      </c>
      <c r="L21" s="89">
        <f>[1]GERMANY!C18</f>
        <v>887</v>
      </c>
      <c r="M21" s="89">
        <f>[1]GERMANY!D10</f>
        <v>35</v>
      </c>
      <c r="N21" s="89">
        <f t="shared" si="1"/>
        <v>31045</v>
      </c>
      <c r="O21" s="89"/>
      <c r="P21" s="90"/>
      <c r="Q21" s="90"/>
      <c r="R21" s="103"/>
      <c r="S21" s="103"/>
      <c r="T21" s="104"/>
      <c r="U21" s="83" t="s">
        <v>369</v>
      </c>
      <c r="V21" s="89">
        <f>[1]GERMANY!D18</f>
        <v>931.35</v>
      </c>
      <c r="W21" s="89">
        <f>[1]GERMANY!E10</f>
        <v>34</v>
      </c>
      <c r="X21" s="89">
        <f t="shared" si="3"/>
        <v>31665.9</v>
      </c>
      <c r="Y21" s="90"/>
      <c r="Z21" s="89"/>
      <c r="AA21" s="89"/>
      <c r="AB21" s="89"/>
      <c r="AC21" s="89"/>
      <c r="AD21" s="104"/>
      <c r="AE21" s="83"/>
      <c r="AF21" s="89"/>
      <c r="AG21" s="89"/>
      <c r="AH21" s="89"/>
      <c r="AI21" s="90"/>
      <c r="AJ21" s="89"/>
      <c r="AK21" s="89"/>
      <c r="AL21" s="89"/>
      <c r="AM21" s="89"/>
      <c r="AN21" s="104"/>
      <c r="AO21" s="83"/>
      <c r="AP21" s="89"/>
      <c r="AQ21" s="89"/>
      <c r="AR21" s="89"/>
      <c r="AS21" s="90"/>
      <c r="AT21" s="89"/>
      <c r="AU21" s="89"/>
      <c r="AV21" s="89"/>
      <c r="AW21" s="89"/>
      <c r="AX21" s="104"/>
      <c r="AY21" s="83"/>
      <c r="AZ21" s="89"/>
      <c r="BA21" s="89"/>
      <c r="BB21" s="89"/>
      <c r="BC21" s="90"/>
      <c r="BD21" s="89"/>
      <c r="BE21" s="89"/>
      <c r="BF21" s="89"/>
      <c r="BG21" s="89"/>
      <c r="BH21" s="104"/>
      <c r="BI21" s="83"/>
      <c r="BJ21" s="89"/>
      <c r="BK21" s="89"/>
      <c r="BL21" s="89"/>
      <c r="BM21" s="90"/>
      <c r="BN21" s="89"/>
      <c r="BO21" s="89"/>
      <c r="BP21" s="89"/>
      <c r="BQ21" s="89"/>
      <c r="BR21" s="104"/>
    </row>
    <row r="22" spans="1:70" ht="17.5" x14ac:dyDescent="0.6">
      <c r="A22" s="82"/>
      <c r="B22" s="83"/>
      <c r="C22" s="84"/>
      <c r="D22" s="84"/>
      <c r="E22" s="85"/>
      <c r="F22" s="85"/>
      <c r="G22" s="84"/>
      <c r="H22" s="85"/>
      <c r="I22" s="93"/>
      <c r="J22" s="83"/>
      <c r="K22" s="83" t="s">
        <v>32</v>
      </c>
      <c r="L22" s="89">
        <f>[1]GERMANY!C20</f>
        <v>219.56479999999999</v>
      </c>
      <c r="M22" s="89">
        <f>[1]GERMANY!D12</f>
        <v>13048</v>
      </c>
      <c r="N22" s="89">
        <f t="shared" si="1"/>
        <v>2864881.5104</v>
      </c>
      <c r="O22" s="89"/>
      <c r="P22" s="90"/>
      <c r="Q22" s="90"/>
      <c r="R22" s="103"/>
      <c r="S22" s="103"/>
      <c r="T22" s="104"/>
      <c r="U22" s="83" t="s">
        <v>32</v>
      </c>
      <c r="V22" s="89">
        <f>[1]GERMANY!D20</f>
        <v>230.54303999999999</v>
      </c>
      <c r="W22" s="89">
        <f>[1]GERMANY!E12</f>
        <v>13657</v>
      </c>
      <c r="X22" s="89">
        <f t="shared" si="3"/>
        <v>3148526.2972800001</v>
      </c>
      <c r="Y22" s="90"/>
      <c r="Z22" s="89"/>
      <c r="AA22" s="89"/>
      <c r="AB22" s="89"/>
      <c r="AC22" s="89"/>
      <c r="AD22" s="104"/>
      <c r="AE22" s="83"/>
      <c r="AF22" s="89"/>
      <c r="AG22" s="89"/>
      <c r="AH22" s="89"/>
      <c r="AI22" s="90"/>
      <c r="AJ22" s="89"/>
      <c r="AK22" s="89"/>
      <c r="AL22" s="89"/>
      <c r="AM22" s="89"/>
      <c r="AN22" s="104"/>
      <c r="AO22" s="83"/>
      <c r="AP22" s="89"/>
      <c r="AQ22" s="89"/>
      <c r="AR22" s="89"/>
      <c r="AS22" s="90"/>
      <c r="AT22" s="89"/>
      <c r="AU22" s="89"/>
      <c r="AV22" s="89"/>
      <c r="AW22" s="89"/>
      <c r="AX22" s="104"/>
      <c r="AY22" s="83"/>
      <c r="AZ22" s="89"/>
      <c r="BA22" s="89"/>
      <c r="BB22" s="89"/>
      <c r="BC22" s="90"/>
      <c r="BD22" s="89"/>
      <c r="BE22" s="89"/>
      <c r="BF22" s="89"/>
      <c r="BG22" s="89"/>
      <c r="BH22" s="104"/>
      <c r="BI22" s="83"/>
      <c r="BJ22" s="89"/>
      <c r="BK22" s="89"/>
      <c r="BL22" s="89"/>
      <c r="BM22" s="90"/>
      <c r="BN22" s="89"/>
      <c r="BO22" s="89"/>
      <c r="BP22" s="89"/>
      <c r="BQ22" s="89"/>
      <c r="BR22" s="104"/>
    </row>
    <row r="23" spans="1:70" ht="17.5" x14ac:dyDescent="0.6">
      <c r="A23" s="82"/>
      <c r="B23" s="83"/>
      <c r="C23" s="84"/>
      <c r="D23" s="84"/>
      <c r="E23" s="85"/>
      <c r="F23" s="85"/>
      <c r="G23" s="84"/>
      <c r="H23" s="85"/>
      <c r="I23" s="93"/>
      <c r="J23" s="83"/>
      <c r="K23" s="83"/>
      <c r="L23" s="89"/>
      <c r="M23" s="89">
        <f>SUM(M20:M22)</f>
        <v>13780</v>
      </c>
      <c r="N23" s="89">
        <f>SUM(N20:N22)</f>
        <v>3411009.5104</v>
      </c>
      <c r="O23" s="89">
        <v>2661850.4300000002</v>
      </c>
      <c r="P23" s="90">
        <f t="shared" si="2"/>
        <v>0.7803702751001278</v>
      </c>
      <c r="Q23" s="90"/>
      <c r="R23" s="103"/>
      <c r="S23" s="103"/>
      <c r="T23" s="104"/>
      <c r="U23" s="83"/>
      <c r="V23" s="89"/>
      <c r="W23" s="89">
        <f>SUM(W20:W22)</f>
        <v>14757</v>
      </c>
      <c r="X23" s="89">
        <f>SUM(X20:X22)</f>
        <v>4007354.8972800002</v>
      </c>
      <c r="Y23" s="90">
        <f t="shared" si="0"/>
        <v>0.74507881250489039</v>
      </c>
      <c r="Z23" s="89">
        <v>2985795.2281510397</v>
      </c>
      <c r="AA23" s="89"/>
      <c r="AB23" s="89"/>
      <c r="AC23" s="89"/>
      <c r="AD23" s="104"/>
      <c r="AE23" s="83"/>
      <c r="AF23" s="89"/>
      <c r="AG23" s="89"/>
      <c r="AH23" s="89"/>
      <c r="AI23" s="90"/>
      <c r="AJ23" s="89"/>
      <c r="AK23" s="89"/>
      <c r="AL23" s="89"/>
      <c r="AM23" s="89"/>
      <c r="AN23" s="104"/>
      <c r="AO23" s="83"/>
      <c r="AP23" s="89"/>
      <c r="AQ23" s="89"/>
      <c r="AR23" s="89"/>
      <c r="AS23" s="90"/>
      <c r="AT23" s="89"/>
      <c r="AU23" s="89"/>
      <c r="AV23" s="89"/>
      <c r="AW23" s="89"/>
      <c r="AX23" s="104"/>
      <c r="AY23" s="83"/>
      <c r="AZ23" s="89"/>
      <c r="BA23" s="89"/>
      <c r="BB23" s="89"/>
      <c r="BC23" s="90"/>
      <c r="BD23" s="89"/>
      <c r="BE23" s="89"/>
      <c r="BF23" s="89"/>
      <c r="BG23" s="89"/>
      <c r="BH23" s="104"/>
      <c r="BI23" s="83"/>
      <c r="BJ23" s="89"/>
      <c r="BK23" s="89"/>
      <c r="BL23" s="89"/>
      <c r="BM23" s="90"/>
      <c r="BN23" s="89"/>
      <c r="BO23" s="89"/>
      <c r="BP23" s="89"/>
      <c r="BQ23" s="89"/>
      <c r="BR23" s="104"/>
    </row>
    <row r="24" spans="1:70" ht="17.5" x14ac:dyDescent="0.6">
      <c r="A24" s="82" t="s">
        <v>57</v>
      </c>
      <c r="B24" s="83" t="s">
        <v>55</v>
      </c>
      <c r="C24" s="84">
        <v>2296577.34</v>
      </c>
      <c r="D24" s="84">
        <v>2419787.4943200001</v>
      </c>
      <c r="E24" s="85">
        <v>0.94908224188726775</v>
      </c>
      <c r="F24" s="85">
        <v>1.7999999999999999E-2</v>
      </c>
      <c r="G24" s="84">
        <v>43556.17489776</v>
      </c>
      <c r="H24" s="85">
        <v>0.96708224188726777</v>
      </c>
      <c r="I24" s="93">
        <v>2340133.51489776</v>
      </c>
      <c r="J24" s="83"/>
      <c r="K24" s="83" t="s">
        <v>368</v>
      </c>
      <c r="L24" s="89">
        <f>[1]BELGIUM!C17</f>
        <v>739</v>
      </c>
      <c r="M24" s="89">
        <f>[1]BELGIUM!D9</f>
        <v>113</v>
      </c>
      <c r="N24" s="89">
        <f t="shared" si="1"/>
        <v>83507</v>
      </c>
      <c r="P24" s="90"/>
      <c r="Q24" s="90"/>
      <c r="R24" s="103"/>
      <c r="S24" s="103"/>
      <c r="T24" s="104"/>
      <c r="U24" s="83" t="s">
        <v>368</v>
      </c>
      <c r="V24" s="89">
        <f>[1]BELGIUM!D17</f>
        <v>775.95</v>
      </c>
      <c r="W24" s="89">
        <f>[1]BELGIUM!E9</f>
        <v>145</v>
      </c>
      <c r="X24" s="89">
        <f t="shared" si="3"/>
        <v>112512.75</v>
      </c>
      <c r="Y24" s="90"/>
      <c r="Z24" s="89"/>
      <c r="AA24" s="89"/>
      <c r="AB24" s="89"/>
      <c r="AC24" s="89"/>
      <c r="AD24" s="104"/>
      <c r="AE24" s="83"/>
      <c r="AF24" s="89"/>
      <c r="AG24" s="89"/>
      <c r="AH24" s="89"/>
      <c r="AI24" s="90"/>
      <c r="AJ24" s="89"/>
      <c r="AK24" s="89"/>
      <c r="AL24" s="89"/>
      <c r="AM24" s="89"/>
      <c r="AN24" s="104"/>
      <c r="AO24" s="83"/>
      <c r="AP24" s="89"/>
      <c r="AQ24" s="89"/>
      <c r="AR24" s="89"/>
      <c r="AS24" s="90"/>
      <c r="AT24" s="89"/>
      <c r="AU24" s="89"/>
      <c r="AV24" s="89"/>
      <c r="AW24" s="89"/>
      <c r="AX24" s="104"/>
      <c r="AY24" s="83"/>
      <c r="AZ24" s="89"/>
      <c r="BA24" s="89"/>
      <c r="BB24" s="89"/>
      <c r="BC24" s="90"/>
      <c r="BD24" s="89"/>
      <c r="BE24" s="89"/>
      <c r="BF24" s="89"/>
      <c r="BG24" s="89"/>
      <c r="BH24" s="104"/>
      <c r="BI24" s="83"/>
      <c r="BJ24" s="89"/>
      <c r="BK24" s="89"/>
      <c r="BL24" s="89"/>
      <c r="BM24" s="90"/>
      <c r="BN24" s="89"/>
      <c r="BO24" s="89"/>
      <c r="BP24" s="89"/>
      <c r="BQ24" s="89"/>
      <c r="BR24" s="104"/>
    </row>
    <row r="25" spans="1:70" ht="17.5" x14ac:dyDescent="0.6">
      <c r="A25" s="82"/>
      <c r="B25" s="83"/>
      <c r="C25" s="84"/>
      <c r="D25" s="84"/>
      <c r="E25" s="85"/>
      <c r="F25" s="85"/>
      <c r="G25" s="84"/>
      <c r="H25" s="85"/>
      <c r="I25" s="93"/>
      <c r="J25" s="83"/>
      <c r="K25" s="83" t="s">
        <v>32</v>
      </c>
      <c r="L25" s="89">
        <f>[1]BELGIUM!C20</f>
        <v>219.56479999999999</v>
      </c>
      <c r="M25" s="89">
        <f>[1]BELGIUM!D12</f>
        <v>9452</v>
      </c>
      <c r="N25" s="89">
        <f t="shared" si="1"/>
        <v>2075326.4896</v>
      </c>
      <c r="O25" s="89"/>
      <c r="P25" s="90"/>
      <c r="Q25" s="90"/>
      <c r="R25" s="103"/>
      <c r="S25" s="103"/>
      <c r="T25" s="104"/>
      <c r="U25" s="83" t="s">
        <v>32</v>
      </c>
      <c r="V25" s="89">
        <f>[1]BELGIUM!D20</f>
        <v>230.54303999999999</v>
      </c>
      <c r="W25" s="89">
        <f>[1]BELGIUM!E12</f>
        <v>10008</v>
      </c>
      <c r="X25" s="89">
        <f t="shared" si="3"/>
        <v>2307274.7443200001</v>
      </c>
      <c r="Y25" s="90"/>
      <c r="Z25" s="89"/>
      <c r="AA25" s="89"/>
      <c r="AB25" s="89"/>
      <c r="AC25" s="89"/>
      <c r="AD25" s="104"/>
      <c r="AE25" s="83"/>
      <c r="AF25" s="89"/>
      <c r="AG25" s="89"/>
      <c r="AH25" s="89"/>
      <c r="AI25" s="90"/>
      <c r="AJ25" s="89"/>
      <c r="AK25" s="89"/>
      <c r="AL25" s="89"/>
      <c r="AM25" s="89"/>
      <c r="AN25" s="104"/>
      <c r="AO25" s="83"/>
      <c r="AP25" s="89"/>
      <c r="AQ25" s="89"/>
      <c r="AR25" s="89"/>
      <c r="AS25" s="90"/>
      <c r="AT25" s="89"/>
      <c r="AU25" s="89"/>
      <c r="AV25" s="89"/>
      <c r="AW25" s="89"/>
      <c r="AX25" s="104"/>
      <c r="AY25" s="83"/>
      <c r="AZ25" s="89"/>
      <c r="BA25" s="89"/>
      <c r="BB25" s="89"/>
      <c r="BC25" s="90"/>
      <c r="BD25" s="89"/>
      <c r="BE25" s="89"/>
      <c r="BF25" s="89"/>
      <c r="BG25" s="89"/>
      <c r="BH25" s="104"/>
      <c r="BI25" s="83"/>
      <c r="BJ25" s="89"/>
      <c r="BK25" s="89"/>
      <c r="BL25" s="89"/>
      <c r="BM25" s="90"/>
      <c r="BN25" s="89"/>
      <c r="BO25" s="89"/>
      <c r="BP25" s="89"/>
      <c r="BQ25" s="89"/>
      <c r="BR25" s="104"/>
    </row>
    <row r="26" spans="1:70" ht="17.5" x14ac:dyDescent="0.6">
      <c r="A26" s="82"/>
      <c r="B26" s="83"/>
      <c r="C26" s="84"/>
      <c r="D26" s="84"/>
      <c r="E26" s="85"/>
      <c r="F26" s="85"/>
      <c r="G26" s="84"/>
      <c r="H26" s="85"/>
      <c r="I26" s="93"/>
      <c r="J26" s="83"/>
      <c r="K26" s="83"/>
      <c r="L26" s="89"/>
      <c r="M26" s="89">
        <f>SUM(M24:M25)</f>
        <v>9565</v>
      </c>
      <c r="N26" s="89">
        <f>SUM(N24:N25)</f>
        <v>2158833.4896</v>
      </c>
      <c r="O26" s="89">
        <v>2152712.48</v>
      </c>
      <c r="P26" s="90">
        <f t="shared" si="2"/>
        <v>0.99716466803508119</v>
      </c>
      <c r="Q26" s="90"/>
      <c r="R26" s="103"/>
      <c r="S26" s="103"/>
      <c r="T26" s="104"/>
      <c r="U26" s="83"/>
      <c r="V26" s="89"/>
      <c r="W26" s="89">
        <f>SUM(W24:W25)</f>
        <v>10153</v>
      </c>
      <c r="X26" s="89">
        <f>SUM(X24:X25)</f>
        <v>2419787.4943200001</v>
      </c>
      <c r="Y26" s="90">
        <f t="shared" si="0"/>
        <v>0.96708224188726777</v>
      </c>
      <c r="Z26" s="89">
        <v>2340133.51489776</v>
      </c>
      <c r="AA26" s="89"/>
      <c r="AB26" s="89"/>
      <c r="AC26" s="89"/>
      <c r="AD26" s="104"/>
      <c r="AE26" s="83"/>
      <c r="AF26" s="89"/>
      <c r="AG26" s="89"/>
      <c r="AH26" s="89"/>
      <c r="AI26" s="90"/>
      <c r="AJ26" s="89"/>
      <c r="AK26" s="89"/>
      <c r="AL26" s="89"/>
      <c r="AM26" s="89"/>
      <c r="AN26" s="104"/>
      <c r="AO26" s="83"/>
      <c r="AP26" s="89"/>
      <c r="AQ26" s="89"/>
      <c r="AR26" s="89"/>
      <c r="AS26" s="90"/>
      <c r="AT26" s="89"/>
      <c r="AU26" s="89"/>
      <c r="AV26" s="89"/>
      <c r="AW26" s="89"/>
      <c r="AX26" s="104"/>
      <c r="AY26" s="83"/>
      <c r="AZ26" s="89"/>
      <c r="BA26" s="89"/>
      <c r="BB26" s="89"/>
      <c r="BC26" s="90"/>
      <c r="BD26" s="89"/>
      <c r="BE26" s="89"/>
      <c r="BF26" s="89"/>
      <c r="BG26" s="89"/>
      <c r="BH26" s="104"/>
      <c r="BI26" s="83"/>
      <c r="BJ26" s="89"/>
      <c r="BK26" s="89"/>
      <c r="BL26" s="89"/>
      <c r="BM26" s="90"/>
      <c r="BN26" s="89"/>
      <c r="BO26" s="89"/>
      <c r="BP26" s="89"/>
      <c r="BQ26" s="89"/>
      <c r="BR26" s="104"/>
    </row>
    <row r="27" spans="1:70" ht="17.5" x14ac:dyDescent="0.6">
      <c r="A27" s="82" t="s">
        <v>60</v>
      </c>
      <c r="B27" s="83" t="s">
        <v>55</v>
      </c>
      <c r="C27" s="84">
        <v>1858269.4</v>
      </c>
      <c r="D27" s="84">
        <v>3612769.9826400001</v>
      </c>
      <c r="E27" s="85">
        <v>0.51436139276215032</v>
      </c>
      <c r="F27" s="85">
        <v>1.7999999999999999E-2</v>
      </c>
      <c r="G27" s="84">
        <v>65029.859687519995</v>
      </c>
      <c r="H27" s="85">
        <v>0.53236139276215022</v>
      </c>
      <c r="I27" s="93">
        <v>1923299.2596875199</v>
      </c>
      <c r="J27" s="83"/>
      <c r="K27" s="83" t="s">
        <v>370</v>
      </c>
      <c r="L27" s="89">
        <f>[1]PORTUGAL!C17</f>
        <v>739</v>
      </c>
      <c r="M27" s="89">
        <f>[1]PORTUGAL!D9</f>
        <v>2206</v>
      </c>
      <c r="N27" s="89">
        <f t="shared" si="1"/>
        <v>1630234</v>
      </c>
      <c r="P27" s="90"/>
      <c r="Q27" s="90"/>
      <c r="R27" s="103"/>
      <c r="S27" s="103"/>
      <c r="T27" s="104"/>
      <c r="U27" s="83" t="s">
        <v>370</v>
      </c>
      <c r="V27" s="89">
        <f>[1]PORTUGAL!D17</f>
        <v>775.95</v>
      </c>
      <c r="W27" s="89">
        <f>[1]PORTUGAL!E9</f>
        <v>2596</v>
      </c>
      <c r="X27" s="89">
        <f t="shared" si="3"/>
        <v>2014366.2000000002</v>
      </c>
      <c r="Y27" s="90"/>
      <c r="Z27" s="89"/>
      <c r="AA27" s="89"/>
      <c r="AB27" s="89"/>
      <c r="AC27" s="89"/>
      <c r="AD27" s="104"/>
      <c r="AE27" s="83"/>
      <c r="AF27" s="89"/>
      <c r="AG27" s="89"/>
      <c r="AH27" s="89"/>
      <c r="AI27" s="90"/>
      <c r="AJ27" s="89"/>
      <c r="AK27" s="89"/>
      <c r="AL27" s="89"/>
      <c r="AM27" s="89"/>
      <c r="AN27" s="104"/>
      <c r="AO27" s="83"/>
      <c r="AP27" s="89"/>
      <c r="AQ27" s="89"/>
      <c r="AR27" s="89"/>
      <c r="AS27" s="90"/>
      <c r="AT27" s="89"/>
      <c r="AU27" s="89"/>
      <c r="AV27" s="89"/>
      <c r="AW27" s="89"/>
      <c r="AX27" s="104"/>
      <c r="AY27" s="83"/>
      <c r="AZ27" s="89"/>
      <c r="BA27" s="89"/>
      <c r="BB27" s="89"/>
      <c r="BC27" s="90"/>
      <c r="BD27" s="89"/>
      <c r="BE27" s="89"/>
      <c r="BF27" s="89"/>
      <c r="BG27" s="89"/>
      <c r="BH27" s="104"/>
      <c r="BI27" s="83"/>
      <c r="BJ27" s="89"/>
      <c r="BK27" s="89"/>
      <c r="BL27" s="89"/>
      <c r="BM27" s="90"/>
      <c r="BN27" s="89"/>
      <c r="BO27" s="89"/>
      <c r="BP27" s="89"/>
      <c r="BQ27" s="89"/>
      <c r="BR27" s="104"/>
    </row>
    <row r="28" spans="1:70" ht="17.5" x14ac:dyDescent="0.6">
      <c r="A28" s="82"/>
      <c r="B28" s="83"/>
      <c r="C28" s="84"/>
      <c r="D28" s="84"/>
      <c r="E28" s="85"/>
      <c r="F28" s="85"/>
      <c r="G28" s="84"/>
      <c r="H28" s="85"/>
      <c r="I28" s="93"/>
      <c r="J28" s="83"/>
      <c r="K28" s="83" t="s">
        <v>371</v>
      </c>
      <c r="L28" s="89">
        <f>[1]PORTUGAL!C19</f>
        <v>887</v>
      </c>
      <c r="M28" s="89">
        <f>[1]PORTUGAL!D11</f>
        <v>269</v>
      </c>
      <c r="N28" s="89">
        <f t="shared" si="1"/>
        <v>238603</v>
      </c>
      <c r="O28" s="89"/>
      <c r="P28" s="90"/>
      <c r="Q28" s="90"/>
      <c r="R28" s="103"/>
      <c r="S28" s="103"/>
      <c r="T28" s="104"/>
      <c r="U28" s="83" t="s">
        <v>371</v>
      </c>
      <c r="V28" s="89">
        <f>[1]PORTUGAL!D19</f>
        <v>931.35</v>
      </c>
      <c r="W28" s="89">
        <f>[1]PORTUGAL!E10+[1]PORTUGAL!E11</f>
        <v>357</v>
      </c>
      <c r="X28" s="89">
        <f t="shared" si="3"/>
        <v>332491.95</v>
      </c>
      <c r="Y28" s="90"/>
      <c r="Z28" s="89"/>
      <c r="AA28" s="89"/>
      <c r="AB28" s="89"/>
      <c r="AC28" s="89"/>
      <c r="AD28" s="104"/>
      <c r="AE28" s="83"/>
      <c r="AF28" s="89"/>
      <c r="AG28" s="89"/>
      <c r="AH28" s="89"/>
      <c r="AI28" s="90"/>
      <c r="AJ28" s="89"/>
      <c r="AK28" s="89"/>
      <c r="AL28" s="89"/>
      <c r="AM28" s="89"/>
      <c r="AN28" s="104"/>
      <c r="AO28" s="83"/>
      <c r="AP28" s="89"/>
      <c r="AQ28" s="89"/>
      <c r="AR28" s="89"/>
      <c r="AS28" s="90"/>
      <c r="AT28" s="89"/>
      <c r="AU28" s="89"/>
      <c r="AV28" s="89"/>
      <c r="AW28" s="89"/>
      <c r="AX28" s="104"/>
      <c r="AY28" s="83"/>
      <c r="AZ28" s="89"/>
      <c r="BA28" s="89"/>
      <c r="BB28" s="89"/>
      <c r="BC28" s="90"/>
      <c r="BD28" s="89"/>
      <c r="BE28" s="89"/>
      <c r="BF28" s="89"/>
      <c r="BG28" s="89"/>
      <c r="BH28" s="104"/>
      <c r="BI28" s="83"/>
      <c r="BJ28" s="89"/>
      <c r="BK28" s="89"/>
      <c r="BL28" s="89"/>
      <c r="BM28" s="90"/>
      <c r="BN28" s="89"/>
      <c r="BO28" s="89"/>
      <c r="BP28" s="89"/>
      <c r="BQ28" s="89"/>
      <c r="BR28" s="104"/>
    </row>
    <row r="29" spans="1:70" ht="17.5" x14ac:dyDescent="0.6">
      <c r="A29" s="82"/>
      <c r="B29" s="83"/>
      <c r="C29" s="84"/>
      <c r="D29" s="84"/>
      <c r="E29" s="85"/>
      <c r="F29" s="85"/>
      <c r="G29" s="84"/>
      <c r="H29" s="85"/>
      <c r="I29" s="93"/>
      <c r="J29" s="83"/>
      <c r="K29" s="83" t="s">
        <v>32</v>
      </c>
      <c r="L29" s="89">
        <f>[1]PORTUGAL!C20</f>
        <v>219.56479999999999</v>
      </c>
      <c r="M29" s="89">
        <f>[1]PORTUGAL!D12</f>
        <v>4733</v>
      </c>
      <c r="N29" s="89">
        <f t="shared" si="1"/>
        <v>1039200.1984</v>
      </c>
      <c r="O29" s="89"/>
      <c r="P29" s="90"/>
      <c r="Q29" s="90"/>
      <c r="R29" s="103"/>
      <c r="S29" s="103"/>
      <c r="T29" s="104"/>
      <c r="U29" s="83" t="s">
        <v>32</v>
      </c>
      <c r="V29" s="89">
        <f>[1]PORTUGAL!D20</f>
        <v>230.54303999999999</v>
      </c>
      <c r="W29" s="89">
        <f>[1]PORTUGAL!E12</f>
        <v>5491</v>
      </c>
      <c r="X29" s="89">
        <f t="shared" si="3"/>
        <v>1265911.8326399999</v>
      </c>
      <c r="Y29" s="90"/>
      <c r="Z29" s="89"/>
      <c r="AA29" s="89"/>
      <c r="AB29" s="89"/>
      <c r="AC29" s="89"/>
      <c r="AD29" s="104"/>
      <c r="AE29" s="83"/>
      <c r="AF29" s="89"/>
      <c r="AG29" s="89"/>
      <c r="AH29" s="89"/>
      <c r="AI29" s="90"/>
      <c r="AJ29" s="89"/>
      <c r="AK29" s="89"/>
      <c r="AL29" s="89"/>
      <c r="AM29" s="89"/>
      <c r="AN29" s="104"/>
      <c r="AO29" s="83"/>
      <c r="AP29" s="89"/>
      <c r="AQ29" s="89"/>
      <c r="AR29" s="89"/>
      <c r="AS29" s="90"/>
      <c r="AT29" s="89"/>
      <c r="AU29" s="89"/>
      <c r="AV29" s="89"/>
      <c r="AW29" s="89"/>
      <c r="AX29" s="104"/>
      <c r="AY29" s="83"/>
      <c r="AZ29" s="89"/>
      <c r="BA29" s="89"/>
      <c r="BB29" s="89"/>
      <c r="BC29" s="90"/>
      <c r="BD29" s="89"/>
      <c r="BE29" s="89"/>
      <c r="BF29" s="89"/>
      <c r="BG29" s="89"/>
      <c r="BH29" s="104"/>
      <c r="BI29" s="83"/>
      <c r="BJ29" s="89"/>
      <c r="BK29" s="89"/>
      <c r="BL29" s="89"/>
      <c r="BM29" s="90"/>
      <c r="BN29" s="89"/>
      <c r="BO29" s="89"/>
      <c r="BP29" s="89"/>
      <c r="BQ29" s="89"/>
      <c r="BR29" s="104"/>
    </row>
    <row r="30" spans="1:70" ht="17.5" x14ac:dyDescent="0.6">
      <c r="A30" s="82"/>
      <c r="B30" s="83"/>
      <c r="C30" s="84"/>
      <c r="D30" s="84"/>
      <c r="E30" s="85"/>
      <c r="F30" s="85"/>
      <c r="G30" s="84"/>
      <c r="H30" s="85"/>
      <c r="I30" s="93"/>
      <c r="J30" s="83"/>
      <c r="K30" s="83"/>
      <c r="L30" s="89"/>
      <c r="M30" s="89">
        <f>SUM(M27:M29)</f>
        <v>7208</v>
      </c>
      <c r="N30" s="89">
        <f>SUM(N27:N29)</f>
        <v>2908037.1984000001</v>
      </c>
      <c r="O30" s="89">
        <v>1795020.18</v>
      </c>
      <c r="P30" s="90">
        <f t="shared" si="2"/>
        <v>0.61726176714232495</v>
      </c>
      <c r="Q30" s="90"/>
      <c r="R30" s="103"/>
      <c r="S30" s="103"/>
      <c r="T30" s="104"/>
      <c r="U30" s="83"/>
      <c r="V30" s="89"/>
      <c r="W30" s="89">
        <f>SUM(W27:W29)</f>
        <v>8444</v>
      </c>
      <c r="X30" s="89">
        <f>SUM(X27:X29)</f>
        <v>3612769.9826400001</v>
      </c>
      <c r="Y30" s="90">
        <f t="shared" si="0"/>
        <v>0.53236139276215022</v>
      </c>
      <c r="Z30" s="89">
        <v>1923299.2596875199</v>
      </c>
      <c r="AA30" s="89"/>
      <c r="AB30" s="89"/>
      <c r="AC30" s="89"/>
      <c r="AD30" s="104"/>
      <c r="AE30" s="83"/>
      <c r="AF30" s="89"/>
      <c r="AG30" s="89"/>
      <c r="AH30" s="89"/>
      <c r="AI30" s="90"/>
      <c r="AJ30" s="89"/>
      <c r="AK30" s="89"/>
      <c r="AL30" s="89"/>
      <c r="AM30" s="89"/>
      <c r="AN30" s="104"/>
      <c r="AO30" s="83"/>
      <c r="AP30" s="89"/>
      <c r="AQ30" s="89"/>
      <c r="AR30" s="89"/>
      <c r="AS30" s="90"/>
      <c r="AT30" s="89"/>
      <c r="AU30" s="89"/>
      <c r="AV30" s="89"/>
      <c r="AW30" s="89"/>
      <c r="AX30" s="104"/>
      <c r="AY30" s="83"/>
      <c r="AZ30" s="89"/>
      <c r="BA30" s="89"/>
      <c r="BB30" s="89"/>
      <c r="BC30" s="90"/>
      <c r="BD30" s="89"/>
      <c r="BE30" s="89"/>
      <c r="BF30" s="89"/>
      <c r="BG30" s="89"/>
      <c r="BH30" s="104"/>
      <c r="BI30" s="83"/>
      <c r="BJ30" s="89"/>
      <c r="BK30" s="89"/>
      <c r="BL30" s="89"/>
      <c r="BM30" s="90"/>
      <c r="BN30" s="89"/>
      <c r="BO30" s="89"/>
      <c r="BP30" s="89"/>
      <c r="BQ30" s="89"/>
      <c r="BR30" s="104"/>
    </row>
    <row r="31" spans="1:70" ht="17.5" x14ac:dyDescent="0.6">
      <c r="A31" s="82" t="s">
        <v>63</v>
      </c>
      <c r="B31" s="83" t="s">
        <v>55</v>
      </c>
      <c r="C31" s="84">
        <v>1267443.3500000001</v>
      </c>
      <c r="D31" s="84">
        <v>1232550.8731200001</v>
      </c>
      <c r="E31" s="85">
        <v>1.0283091575698415</v>
      </c>
      <c r="F31" s="85">
        <v>1.7999999999999999E-2</v>
      </c>
      <c r="G31" s="84">
        <v>22185.915716160001</v>
      </c>
      <c r="H31" s="85">
        <v>1.0463091575698418</v>
      </c>
      <c r="I31" s="93">
        <v>1289629.2657161602</v>
      </c>
      <c r="J31" s="83"/>
      <c r="K31" s="83" t="s">
        <v>370</v>
      </c>
      <c r="L31" s="89">
        <f>[1]IRELAND!C17</f>
        <v>739</v>
      </c>
      <c r="M31" s="89">
        <f>[1]IRELAND!D9</f>
        <v>731</v>
      </c>
      <c r="N31" s="89">
        <f>L31*M31</f>
        <v>540209</v>
      </c>
      <c r="P31" s="90"/>
      <c r="Q31" s="90"/>
      <c r="R31" s="103"/>
      <c r="S31" s="103"/>
      <c r="T31" s="104"/>
      <c r="U31" s="83" t="s">
        <v>370</v>
      </c>
      <c r="V31" s="89">
        <f>[1]IRELAND!D17</f>
        <v>775.95</v>
      </c>
      <c r="W31" s="89">
        <f>[1]IRELAND!E9</f>
        <v>925</v>
      </c>
      <c r="X31" s="89">
        <f t="shared" si="3"/>
        <v>717753.75</v>
      </c>
      <c r="Y31" s="90"/>
      <c r="Z31" s="89"/>
      <c r="AA31" s="89"/>
      <c r="AB31" s="89"/>
      <c r="AC31" s="89"/>
      <c r="AD31" s="104"/>
      <c r="AE31" s="83"/>
      <c r="AF31" s="89"/>
      <c r="AG31" s="89"/>
      <c r="AH31" s="89"/>
      <c r="AI31" s="90"/>
      <c r="AJ31" s="89"/>
      <c r="AK31" s="89"/>
      <c r="AL31" s="89"/>
      <c r="AM31" s="89"/>
      <c r="AN31" s="104"/>
      <c r="AO31" s="83"/>
      <c r="AP31" s="89"/>
      <c r="AQ31" s="89"/>
      <c r="AR31" s="89"/>
      <c r="AS31" s="90"/>
      <c r="AT31" s="89"/>
      <c r="AU31" s="89"/>
      <c r="AV31" s="89"/>
      <c r="AW31" s="89"/>
      <c r="AX31" s="104"/>
      <c r="AY31" s="83"/>
      <c r="AZ31" s="89"/>
      <c r="BA31" s="89"/>
      <c r="BB31" s="89"/>
      <c r="BC31" s="90"/>
      <c r="BD31" s="89"/>
      <c r="BE31" s="89"/>
      <c r="BF31" s="89"/>
      <c r="BG31" s="89"/>
      <c r="BH31" s="104"/>
      <c r="BI31" s="83"/>
      <c r="BJ31" s="89"/>
      <c r="BK31" s="89"/>
      <c r="BL31" s="89"/>
      <c r="BM31" s="90"/>
      <c r="BN31" s="89"/>
      <c r="BO31" s="89"/>
      <c r="BP31" s="89"/>
      <c r="BQ31" s="89"/>
      <c r="BR31" s="104"/>
    </row>
    <row r="32" spans="1:70" ht="17.5" x14ac:dyDescent="0.6">
      <c r="A32" s="82"/>
      <c r="B32" s="83"/>
      <c r="C32" s="84"/>
      <c r="D32" s="84"/>
      <c r="E32" s="85"/>
      <c r="F32" s="85"/>
      <c r="G32" s="84"/>
      <c r="H32" s="85"/>
      <c r="I32" s="93"/>
      <c r="J32" s="83"/>
      <c r="K32" s="83" t="s">
        <v>371</v>
      </c>
      <c r="L32" s="89">
        <f>[1]IRELAND!C19</f>
        <v>887</v>
      </c>
      <c r="M32" s="89">
        <f>[1]IRELAND!D11</f>
        <v>92</v>
      </c>
      <c r="N32" s="89">
        <f t="shared" ref="N32:N33" si="4">L32*M32</f>
        <v>81604</v>
      </c>
      <c r="O32" s="89"/>
      <c r="P32" s="90"/>
      <c r="Q32" s="90"/>
      <c r="R32" s="103"/>
      <c r="S32" s="103"/>
      <c r="T32" s="104"/>
      <c r="U32" s="83" t="s">
        <v>371</v>
      </c>
      <c r="V32" s="89">
        <f>[1]IRELAND!D19</f>
        <v>931.35</v>
      </c>
      <c r="W32" s="89">
        <f>[1]IRELAND!E10+[1]IRELAND!E11</f>
        <v>125</v>
      </c>
      <c r="X32" s="89">
        <f t="shared" si="3"/>
        <v>116418.75</v>
      </c>
      <c r="Y32" s="90"/>
      <c r="Z32" s="89"/>
      <c r="AA32" s="89"/>
      <c r="AB32" s="89"/>
      <c r="AC32" s="89"/>
      <c r="AD32" s="104"/>
      <c r="AE32" s="83"/>
      <c r="AF32" s="89"/>
      <c r="AG32" s="89"/>
      <c r="AH32" s="89"/>
      <c r="AI32" s="90"/>
      <c r="AJ32" s="89"/>
      <c r="AK32" s="89"/>
      <c r="AL32" s="89"/>
      <c r="AM32" s="89"/>
      <c r="AN32" s="104"/>
      <c r="AO32" s="83"/>
      <c r="AP32" s="89"/>
      <c r="AQ32" s="89"/>
      <c r="AR32" s="89"/>
      <c r="AS32" s="90"/>
      <c r="AT32" s="89"/>
      <c r="AU32" s="89"/>
      <c r="AV32" s="89"/>
      <c r="AW32" s="89"/>
      <c r="AX32" s="104"/>
      <c r="AY32" s="83"/>
      <c r="AZ32" s="89"/>
      <c r="BA32" s="89"/>
      <c r="BB32" s="89"/>
      <c r="BC32" s="90"/>
      <c r="BD32" s="89"/>
      <c r="BE32" s="89"/>
      <c r="BF32" s="89"/>
      <c r="BG32" s="89"/>
      <c r="BH32" s="104"/>
      <c r="BI32" s="83"/>
      <c r="BJ32" s="89"/>
      <c r="BK32" s="89"/>
      <c r="BL32" s="89"/>
      <c r="BM32" s="90"/>
      <c r="BN32" s="89"/>
      <c r="BO32" s="89"/>
      <c r="BP32" s="89"/>
      <c r="BQ32" s="89"/>
      <c r="BR32" s="104"/>
    </row>
    <row r="33" spans="1:70" ht="17.5" x14ac:dyDescent="0.6">
      <c r="A33" s="82"/>
      <c r="B33" s="83"/>
      <c r="C33" s="84"/>
      <c r="D33" s="84"/>
      <c r="E33" s="85"/>
      <c r="F33" s="85"/>
      <c r="G33" s="84"/>
      <c r="H33" s="85"/>
      <c r="I33" s="93"/>
      <c r="J33" s="83"/>
      <c r="K33" s="83" t="s">
        <v>32</v>
      </c>
      <c r="L33" s="89">
        <f>[1]IRELAND!C20</f>
        <v>219.56479999999999</v>
      </c>
      <c r="M33" s="89">
        <f>[1]IRELAND!D12</f>
        <v>1338</v>
      </c>
      <c r="N33" s="89">
        <f t="shared" si="4"/>
        <v>293777.70240000001</v>
      </c>
      <c r="O33" s="89"/>
      <c r="P33" s="90"/>
      <c r="Q33" s="90"/>
      <c r="R33" s="103"/>
      <c r="S33" s="103"/>
      <c r="T33" s="104"/>
      <c r="U33" s="83" t="s">
        <v>32</v>
      </c>
      <c r="V33" s="89">
        <f>[1]IRELAND!D20</f>
        <v>230.54303999999999</v>
      </c>
      <c r="W33" s="89">
        <f>[1]IRELAND!E12</f>
        <v>1728</v>
      </c>
      <c r="X33" s="89">
        <f t="shared" si="3"/>
        <v>398378.37312</v>
      </c>
      <c r="Y33" s="90"/>
      <c r="Z33" s="89"/>
      <c r="AA33" s="89"/>
      <c r="AB33" s="89"/>
      <c r="AC33" s="89"/>
      <c r="AD33" s="104"/>
      <c r="AE33" s="83"/>
      <c r="AF33" s="89"/>
      <c r="AG33" s="89"/>
      <c r="AH33" s="89"/>
      <c r="AI33" s="90"/>
      <c r="AJ33" s="89"/>
      <c r="AK33" s="89"/>
      <c r="AL33" s="89"/>
      <c r="AM33" s="89"/>
      <c r="AN33" s="104"/>
      <c r="AO33" s="83"/>
      <c r="AP33" s="89"/>
      <c r="AQ33" s="89"/>
      <c r="AR33" s="89"/>
      <c r="AS33" s="90"/>
      <c r="AT33" s="89"/>
      <c r="AU33" s="89"/>
      <c r="AV33" s="89"/>
      <c r="AW33" s="89"/>
      <c r="AX33" s="104"/>
      <c r="AY33" s="83"/>
      <c r="AZ33" s="89"/>
      <c r="BA33" s="89"/>
      <c r="BB33" s="89"/>
      <c r="BC33" s="90"/>
      <c r="BD33" s="89"/>
      <c r="BE33" s="89"/>
      <c r="BF33" s="89"/>
      <c r="BG33" s="89"/>
      <c r="BH33" s="104"/>
      <c r="BI33" s="83"/>
      <c r="BJ33" s="89"/>
      <c r="BK33" s="89"/>
      <c r="BL33" s="89"/>
      <c r="BM33" s="90"/>
      <c r="BN33" s="89"/>
      <c r="BO33" s="89"/>
      <c r="BP33" s="89"/>
      <c r="BQ33" s="89"/>
      <c r="BR33" s="104"/>
    </row>
    <row r="34" spans="1:70" ht="17.5" x14ac:dyDescent="0.6">
      <c r="A34" s="82"/>
      <c r="B34" s="83"/>
      <c r="C34" s="84"/>
      <c r="D34" s="84"/>
      <c r="E34" s="85"/>
      <c r="F34" s="85"/>
      <c r="G34" s="84"/>
      <c r="H34" s="85"/>
      <c r="I34" s="93"/>
      <c r="J34" s="83"/>
      <c r="K34" s="83"/>
      <c r="L34" s="89"/>
      <c r="M34" s="89">
        <f>SUM(M31:M33)</f>
        <v>2161</v>
      </c>
      <c r="N34" s="89">
        <f>SUM(N31:N33)</f>
        <v>915590.70240000007</v>
      </c>
      <c r="O34" s="89">
        <v>1137819.98</v>
      </c>
      <c r="P34" s="90">
        <f t="shared" si="2"/>
        <v>1.2427168351726154</v>
      </c>
      <c r="Q34" s="90"/>
      <c r="R34" s="103"/>
      <c r="S34" s="103"/>
      <c r="T34" s="104"/>
      <c r="U34" s="83"/>
      <c r="V34" s="89"/>
      <c r="W34" s="89">
        <f>SUM(W31:W33)</f>
        <v>2778</v>
      </c>
      <c r="X34" s="89">
        <f>SUM(X31:X33)</f>
        <v>1232550.8731200001</v>
      </c>
      <c r="Y34" s="90">
        <f t="shared" si="0"/>
        <v>1.0463091575698418</v>
      </c>
      <c r="Z34" s="89">
        <v>1289629.2657161602</v>
      </c>
      <c r="AA34" s="89"/>
      <c r="AB34" s="89"/>
      <c r="AC34" s="89"/>
      <c r="AD34" s="104"/>
      <c r="AE34" s="83"/>
      <c r="AF34" s="89"/>
      <c r="AG34" s="89"/>
      <c r="AH34" s="89"/>
      <c r="AI34" s="90"/>
      <c r="AJ34" s="89"/>
      <c r="AK34" s="89"/>
      <c r="AL34" s="89"/>
      <c r="AM34" s="89"/>
      <c r="AN34" s="104"/>
      <c r="AO34" s="83"/>
      <c r="AP34" s="89"/>
      <c r="AQ34" s="89"/>
      <c r="AR34" s="89"/>
      <c r="AS34" s="90"/>
      <c r="AT34" s="89"/>
      <c r="AU34" s="89"/>
      <c r="AV34" s="89"/>
      <c r="AW34" s="89"/>
      <c r="AX34" s="104"/>
      <c r="AY34" s="83"/>
      <c r="AZ34" s="89"/>
      <c r="BA34" s="89"/>
      <c r="BB34" s="89"/>
      <c r="BC34" s="90"/>
      <c r="BD34" s="89"/>
      <c r="BE34" s="89"/>
      <c r="BF34" s="89"/>
      <c r="BG34" s="89"/>
      <c r="BH34" s="104"/>
      <c r="BI34" s="83"/>
      <c r="BJ34" s="89"/>
      <c r="BK34" s="89"/>
      <c r="BL34" s="89"/>
      <c r="BM34" s="90"/>
      <c r="BN34" s="89"/>
      <c r="BO34" s="89"/>
      <c r="BP34" s="89"/>
      <c r="BQ34" s="89"/>
      <c r="BR34" s="104"/>
    </row>
    <row r="35" spans="1:70" ht="17.5" x14ac:dyDescent="0.6">
      <c r="A35" s="82" t="s">
        <v>65</v>
      </c>
      <c r="B35" s="83" t="s">
        <v>55</v>
      </c>
      <c r="C35" s="84">
        <v>574400</v>
      </c>
      <c r="D35" s="84">
        <v>1021923.7509599999</v>
      </c>
      <c r="E35" s="85">
        <v>0.56207716031690824</v>
      </c>
      <c r="F35" s="85">
        <v>1.7999999999999999E-2</v>
      </c>
      <c r="G35" s="84">
        <v>18394.627517279998</v>
      </c>
      <c r="H35" s="85">
        <v>0.58007716031690826</v>
      </c>
      <c r="I35" s="93">
        <v>592794.62751728005</v>
      </c>
      <c r="J35" s="83"/>
      <c r="K35" s="83" t="s">
        <v>370</v>
      </c>
      <c r="L35" s="89">
        <f>[1]GREECE!C17</f>
        <v>739</v>
      </c>
      <c r="M35" s="89">
        <f>[1]GREECE!D9</f>
        <v>37</v>
      </c>
      <c r="N35" s="89">
        <f t="shared" si="1"/>
        <v>27343</v>
      </c>
      <c r="P35" s="90"/>
      <c r="Q35" s="90"/>
      <c r="R35" s="103"/>
      <c r="S35" s="103"/>
      <c r="T35" s="104"/>
      <c r="U35" s="83" t="s">
        <v>370</v>
      </c>
      <c r="V35" s="89">
        <f>[1]GREECE!D17</f>
        <v>775.95</v>
      </c>
      <c r="W35" s="89">
        <f>[1]GREECE!E9</f>
        <v>56</v>
      </c>
      <c r="X35" s="89">
        <f t="shared" si="3"/>
        <v>43453.200000000004</v>
      </c>
      <c r="Y35" s="90"/>
      <c r="Z35" s="89"/>
      <c r="AA35" s="89"/>
      <c r="AB35" s="89"/>
      <c r="AC35" s="89"/>
      <c r="AD35" s="104"/>
      <c r="AE35" s="83"/>
      <c r="AF35" s="89"/>
      <c r="AG35" s="89"/>
      <c r="AH35" s="89"/>
      <c r="AI35" s="90"/>
      <c r="AJ35" s="89"/>
      <c r="AK35" s="89"/>
      <c r="AL35" s="89"/>
      <c r="AM35" s="89"/>
      <c r="AN35" s="104"/>
      <c r="AO35" s="83"/>
      <c r="AP35" s="89"/>
      <c r="AQ35" s="89"/>
      <c r="AR35" s="89"/>
      <c r="AS35" s="90"/>
      <c r="AT35" s="89"/>
      <c r="AU35" s="89"/>
      <c r="AV35" s="89"/>
      <c r="AW35" s="89"/>
      <c r="AX35" s="104"/>
      <c r="AY35" s="83"/>
      <c r="AZ35" s="89"/>
      <c r="BA35" s="89"/>
      <c r="BB35" s="89"/>
      <c r="BC35" s="90"/>
      <c r="BD35" s="89"/>
      <c r="BE35" s="89"/>
      <c r="BF35" s="89"/>
      <c r="BG35" s="89"/>
      <c r="BH35" s="104"/>
      <c r="BI35" s="83"/>
      <c r="BJ35" s="89"/>
      <c r="BK35" s="89"/>
      <c r="BL35" s="89"/>
      <c r="BM35" s="90"/>
      <c r="BN35" s="89"/>
      <c r="BO35" s="89"/>
      <c r="BP35" s="89"/>
      <c r="BQ35" s="89"/>
      <c r="BR35" s="104"/>
    </row>
    <row r="36" spans="1:70" ht="17.5" x14ac:dyDescent="0.6">
      <c r="A36" s="82"/>
      <c r="B36" s="83"/>
      <c r="C36" s="84"/>
      <c r="D36" s="84"/>
      <c r="E36" s="85"/>
      <c r="F36" s="85"/>
      <c r="G36" s="84"/>
      <c r="H36" s="85"/>
      <c r="I36" s="93"/>
      <c r="J36" s="83"/>
      <c r="K36" s="83" t="s">
        <v>32</v>
      </c>
      <c r="L36" s="89">
        <f>[1]GREECE!C20</f>
        <v>219.56479999999999</v>
      </c>
      <c r="M36" s="89">
        <f>[1]GREECE!D12</f>
        <v>3705</v>
      </c>
      <c r="N36" s="89">
        <f t="shared" si="1"/>
        <v>813487.58399999992</v>
      </c>
      <c r="O36" s="89"/>
      <c r="P36" s="90"/>
      <c r="Q36" s="90"/>
      <c r="R36" s="103"/>
      <c r="S36" s="103"/>
      <c r="T36" s="104"/>
      <c r="U36" s="83" t="s">
        <v>32</v>
      </c>
      <c r="V36" s="89">
        <f>[1]GREECE!D20</f>
        <v>230.54303999999999</v>
      </c>
      <c r="W36" s="89">
        <f>[1]GREECE!E12</f>
        <v>4224</v>
      </c>
      <c r="X36" s="89">
        <f t="shared" si="3"/>
        <v>973813.80095999991</v>
      </c>
      <c r="Y36" s="90"/>
      <c r="Z36" s="89"/>
      <c r="AA36" s="89"/>
      <c r="AB36" s="89"/>
      <c r="AC36" s="89"/>
      <c r="AD36" s="104"/>
      <c r="AE36" s="83"/>
      <c r="AF36" s="89"/>
      <c r="AG36" s="89"/>
      <c r="AH36" s="89"/>
      <c r="AI36" s="90"/>
      <c r="AJ36" s="89"/>
      <c r="AK36" s="89"/>
      <c r="AL36" s="89"/>
      <c r="AM36" s="89"/>
      <c r="AN36" s="104"/>
      <c r="AO36" s="83"/>
      <c r="AP36" s="89"/>
      <c r="AQ36" s="89"/>
      <c r="AR36" s="89"/>
      <c r="AS36" s="90"/>
      <c r="AT36" s="89"/>
      <c r="AU36" s="89"/>
      <c r="AV36" s="89"/>
      <c r="AW36" s="89"/>
      <c r="AX36" s="104"/>
      <c r="AY36" s="83"/>
      <c r="AZ36" s="89"/>
      <c r="BA36" s="89"/>
      <c r="BB36" s="89"/>
      <c r="BC36" s="90"/>
      <c r="BD36" s="89"/>
      <c r="BE36" s="89"/>
      <c r="BF36" s="89"/>
      <c r="BG36" s="89"/>
      <c r="BH36" s="104"/>
      <c r="BI36" s="83"/>
      <c r="BJ36" s="89"/>
      <c r="BK36" s="89"/>
      <c r="BL36" s="89"/>
      <c r="BM36" s="90"/>
      <c r="BN36" s="89"/>
      <c r="BO36" s="89"/>
      <c r="BP36" s="89"/>
      <c r="BQ36" s="89"/>
      <c r="BR36" s="104"/>
    </row>
    <row r="37" spans="1:70" ht="17.5" x14ac:dyDescent="0.6">
      <c r="A37" s="82"/>
      <c r="B37" s="83"/>
      <c r="C37" s="84"/>
      <c r="D37" s="84"/>
      <c r="E37" s="85"/>
      <c r="F37" s="85"/>
      <c r="G37" s="84"/>
      <c r="H37" s="85"/>
      <c r="I37" s="93"/>
      <c r="J37" s="83"/>
      <c r="K37" s="83"/>
      <c r="L37" s="89"/>
      <c r="M37" s="89">
        <f>SUM(M35:M36)</f>
        <v>3742</v>
      </c>
      <c r="N37" s="89">
        <f>SUM(N35:N36)</f>
        <v>840830.58399999992</v>
      </c>
      <c r="O37" s="89">
        <v>471585.67999999993</v>
      </c>
      <c r="P37" s="90">
        <f t="shared" si="2"/>
        <v>0.56085695379510603</v>
      </c>
      <c r="Q37" s="90"/>
      <c r="R37" s="103"/>
      <c r="S37" s="103"/>
      <c r="T37" s="104"/>
      <c r="U37" s="83"/>
      <c r="V37" s="89"/>
      <c r="W37" s="89">
        <f>SUM(W35:W36)</f>
        <v>4280</v>
      </c>
      <c r="X37" s="89">
        <f>SUM(X35:X36)</f>
        <v>1017267.0009599999</v>
      </c>
      <c r="Y37" s="90">
        <f t="shared" si="0"/>
        <v>0.58273258343960521</v>
      </c>
      <c r="Z37" s="89">
        <v>592794.62751728005</v>
      </c>
      <c r="AA37" s="89"/>
      <c r="AB37" s="89"/>
      <c r="AC37" s="89"/>
      <c r="AD37" s="104"/>
      <c r="AE37" s="83"/>
      <c r="AF37" s="89"/>
      <c r="AG37" s="89"/>
      <c r="AH37" s="89"/>
      <c r="AI37" s="90"/>
      <c r="AJ37" s="89"/>
      <c r="AK37" s="89"/>
      <c r="AL37" s="89"/>
      <c r="AM37" s="89"/>
      <c r="AN37" s="104"/>
      <c r="AO37" s="83"/>
      <c r="AP37" s="89"/>
      <c r="AQ37" s="89"/>
      <c r="AR37" s="89"/>
      <c r="AS37" s="90"/>
      <c r="AT37" s="89"/>
      <c r="AU37" s="89"/>
      <c r="AV37" s="89"/>
      <c r="AW37" s="89"/>
      <c r="AX37" s="104"/>
      <c r="AY37" s="83"/>
      <c r="AZ37" s="89"/>
      <c r="BA37" s="89"/>
      <c r="BB37" s="89"/>
      <c r="BC37" s="90"/>
      <c r="BD37" s="89"/>
      <c r="BE37" s="89"/>
      <c r="BF37" s="89"/>
      <c r="BG37" s="89"/>
      <c r="BH37" s="104"/>
      <c r="BI37" s="83"/>
      <c r="BJ37" s="89"/>
      <c r="BK37" s="89"/>
      <c r="BL37" s="89"/>
      <c r="BM37" s="90"/>
      <c r="BN37" s="89"/>
      <c r="BO37" s="89"/>
      <c r="BP37" s="89"/>
      <c r="BQ37" s="89"/>
      <c r="BR37" s="104"/>
    </row>
    <row r="38" spans="1:70" ht="17.5" x14ac:dyDescent="0.6">
      <c r="A38" s="82" t="s">
        <v>67</v>
      </c>
      <c r="B38" s="83" t="s">
        <v>55</v>
      </c>
      <c r="C38" s="84">
        <v>539600</v>
      </c>
      <c r="D38" s="84">
        <v>734561.78208000003</v>
      </c>
      <c r="E38" s="85">
        <v>0.73458763192397203</v>
      </c>
      <c r="F38" s="85">
        <v>1.7999999999999999E-2</v>
      </c>
      <c r="G38" s="84">
        <v>13222.112077439999</v>
      </c>
      <c r="H38" s="85">
        <v>0.75258763192397204</v>
      </c>
      <c r="I38" s="93">
        <v>552822.11207744002</v>
      </c>
      <c r="J38" s="83"/>
      <c r="K38" s="83" t="s">
        <v>370</v>
      </c>
      <c r="L38" s="89">
        <f>[1]CYPRUS!C17</f>
        <v>739</v>
      </c>
      <c r="M38" s="89">
        <f>[1]CYPRUS!D9</f>
        <v>203</v>
      </c>
      <c r="N38" s="89">
        <f t="shared" si="1"/>
        <v>150017</v>
      </c>
      <c r="P38" s="90"/>
      <c r="Q38" s="90"/>
      <c r="R38" s="103"/>
      <c r="S38" s="103"/>
      <c r="T38" s="104"/>
      <c r="U38" s="83" t="s">
        <v>370</v>
      </c>
      <c r="V38" s="89">
        <f>[1]CYPRUS!D17</f>
        <v>775.95</v>
      </c>
      <c r="W38" s="89">
        <f>[1]CYPRUS!E9+[1]CYPRUS!E10</f>
        <v>232</v>
      </c>
      <c r="X38" s="89">
        <f t="shared" si="3"/>
        <v>180020.40000000002</v>
      </c>
      <c r="Y38" s="90"/>
      <c r="Z38" s="89"/>
      <c r="AA38" s="89"/>
      <c r="AB38" s="89"/>
      <c r="AC38" s="89"/>
      <c r="AD38" s="104"/>
      <c r="AE38" s="83"/>
      <c r="AF38" s="89"/>
      <c r="AG38" s="89"/>
      <c r="AH38" s="89"/>
      <c r="AI38" s="90"/>
      <c r="AJ38" s="89"/>
      <c r="AK38" s="89"/>
      <c r="AL38" s="89"/>
      <c r="AM38" s="89"/>
      <c r="AN38" s="104"/>
      <c r="AO38" s="83"/>
      <c r="AP38" s="89"/>
      <c r="AQ38" s="89"/>
      <c r="AR38" s="89"/>
      <c r="AS38" s="90"/>
      <c r="AT38" s="89"/>
      <c r="AU38" s="89"/>
      <c r="AV38" s="89"/>
      <c r="AW38" s="89"/>
      <c r="AX38" s="104"/>
      <c r="AY38" s="83"/>
      <c r="AZ38" s="89"/>
      <c r="BA38" s="89"/>
      <c r="BB38" s="89"/>
      <c r="BC38" s="90"/>
      <c r="BD38" s="89"/>
      <c r="BE38" s="89"/>
      <c r="BF38" s="89"/>
      <c r="BG38" s="89"/>
      <c r="BH38" s="104"/>
      <c r="BI38" s="83"/>
      <c r="BJ38" s="89"/>
      <c r="BK38" s="89"/>
      <c r="BL38" s="89"/>
      <c r="BM38" s="90"/>
      <c r="BN38" s="89"/>
      <c r="BO38" s="89"/>
      <c r="BP38" s="89"/>
      <c r="BQ38" s="89"/>
      <c r="BR38" s="104"/>
    </row>
    <row r="39" spans="1:70" ht="17.5" x14ac:dyDescent="0.6">
      <c r="A39" s="82"/>
      <c r="B39" s="83"/>
      <c r="C39" s="84"/>
      <c r="D39" s="84"/>
      <c r="E39" s="85"/>
      <c r="F39" s="85"/>
      <c r="G39" s="84"/>
      <c r="H39" s="85"/>
      <c r="I39" s="93"/>
      <c r="J39" s="83"/>
      <c r="K39" s="83" t="s">
        <v>32</v>
      </c>
      <c r="L39" s="89">
        <f>[1]CYPRUS!C20</f>
        <v>219.56479999999999</v>
      </c>
      <c r="M39" s="89">
        <f>[1]CYPRUS!D12</f>
        <v>2105</v>
      </c>
      <c r="N39" s="89">
        <f t="shared" si="1"/>
        <v>462183.90399999998</v>
      </c>
      <c r="O39" s="89"/>
      <c r="P39" s="90"/>
      <c r="Q39" s="90"/>
      <c r="R39" s="103"/>
      <c r="S39" s="103"/>
      <c r="T39" s="104"/>
      <c r="U39" s="83" t="s">
        <v>32</v>
      </c>
      <c r="V39" s="89">
        <f>[1]CYPRUS!D20</f>
        <v>230.54303999999999</v>
      </c>
      <c r="W39" s="89">
        <f>[1]CYPRUS!E12</f>
        <v>2402</v>
      </c>
      <c r="X39" s="89">
        <f t="shared" si="3"/>
        <v>553764.38208000001</v>
      </c>
      <c r="Y39" s="90"/>
      <c r="Z39" s="89"/>
      <c r="AA39" s="89"/>
      <c r="AB39" s="89"/>
      <c r="AC39" s="89"/>
      <c r="AD39" s="104"/>
      <c r="AE39" s="83"/>
      <c r="AF39" s="89"/>
      <c r="AG39" s="89"/>
      <c r="AH39" s="89"/>
      <c r="AI39" s="90"/>
      <c r="AJ39" s="89"/>
      <c r="AK39" s="89"/>
      <c r="AL39" s="89"/>
      <c r="AM39" s="89"/>
      <c r="AN39" s="104"/>
      <c r="AO39" s="83"/>
      <c r="AP39" s="89"/>
      <c r="AQ39" s="89"/>
      <c r="AR39" s="89"/>
      <c r="AS39" s="90"/>
      <c r="AT39" s="89"/>
      <c r="AU39" s="89"/>
      <c r="AV39" s="89"/>
      <c r="AW39" s="89"/>
      <c r="AX39" s="104"/>
      <c r="AY39" s="83"/>
      <c r="AZ39" s="89"/>
      <c r="BA39" s="89"/>
      <c r="BB39" s="89"/>
      <c r="BC39" s="90"/>
      <c r="BD39" s="89"/>
      <c r="BE39" s="89"/>
      <c r="BF39" s="89"/>
      <c r="BG39" s="89"/>
      <c r="BH39" s="104"/>
      <c r="BI39" s="83"/>
      <c r="BJ39" s="89"/>
      <c r="BK39" s="89"/>
      <c r="BL39" s="89"/>
      <c r="BM39" s="90"/>
      <c r="BN39" s="89"/>
      <c r="BO39" s="89"/>
      <c r="BP39" s="89"/>
      <c r="BQ39" s="89"/>
      <c r="BR39" s="104"/>
    </row>
    <row r="40" spans="1:70" ht="17.5" x14ac:dyDescent="0.6">
      <c r="A40" s="82"/>
      <c r="B40" s="83"/>
      <c r="C40" s="84"/>
      <c r="D40" s="84"/>
      <c r="E40" s="85"/>
      <c r="F40" s="85"/>
      <c r="G40" s="84"/>
      <c r="H40" s="85"/>
      <c r="I40" s="93"/>
      <c r="J40" s="83"/>
      <c r="K40" s="83"/>
      <c r="L40" s="89"/>
      <c r="M40" s="89">
        <f>SUM(M38:M39)</f>
        <v>2308</v>
      </c>
      <c r="N40" s="89">
        <f>SUM(N38:N39)</f>
        <v>612200.90399999998</v>
      </c>
      <c r="O40" s="89">
        <v>410727.51000000007</v>
      </c>
      <c r="P40" s="90">
        <f t="shared" si="2"/>
        <v>0.6709031419528908</v>
      </c>
      <c r="Q40" s="90"/>
      <c r="R40" s="103"/>
      <c r="S40" s="103"/>
      <c r="T40" s="104"/>
      <c r="U40" s="83"/>
      <c r="V40" s="89"/>
      <c r="W40" s="89">
        <f>SUM(W38:W39)</f>
        <v>2634</v>
      </c>
      <c r="X40" s="89">
        <f>SUM(X38:X39)</f>
        <v>733784.78208000003</v>
      </c>
      <c r="Y40" s="90">
        <f t="shared" si="0"/>
        <v>0.75338454214108963</v>
      </c>
      <c r="Z40" s="89">
        <v>552822.11207744002</v>
      </c>
      <c r="AA40" s="89"/>
      <c r="AB40" s="89"/>
      <c r="AC40" s="89"/>
      <c r="AD40" s="104"/>
      <c r="AE40" s="83"/>
      <c r="AF40" s="89"/>
      <c r="AG40" s="89"/>
      <c r="AH40" s="89"/>
      <c r="AI40" s="90"/>
      <c r="AJ40" s="89"/>
      <c r="AK40" s="89"/>
      <c r="AL40" s="89"/>
      <c r="AM40" s="89"/>
      <c r="AN40" s="104"/>
      <c r="AO40" s="83"/>
      <c r="AP40" s="89"/>
      <c r="AQ40" s="89"/>
      <c r="AR40" s="89"/>
      <c r="AS40" s="90"/>
      <c r="AT40" s="89"/>
      <c r="AU40" s="89"/>
      <c r="AV40" s="89"/>
      <c r="AW40" s="89"/>
      <c r="AX40" s="104"/>
      <c r="AY40" s="83"/>
      <c r="AZ40" s="89"/>
      <c r="BA40" s="89"/>
      <c r="BB40" s="89"/>
      <c r="BC40" s="90"/>
      <c r="BD40" s="89"/>
      <c r="BE40" s="89"/>
      <c r="BF40" s="89"/>
      <c r="BG40" s="89"/>
      <c r="BH40" s="104"/>
      <c r="BI40" s="83"/>
      <c r="BJ40" s="89"/>
      <c r="BK40" s="89"/>
      <c r="BL40" s="89"/>
      <c r="BM40" s="90"/>
      <c r="BN40" s="89"/>
      <c r="BO40" s="89"/>
      <c r="BP40" s="89"/>
      <c r="BQ40" s="89"/>
      <c r="BR40" s="104"/>
    </row>
    <row r="41" spans="1:70" ht="17.5" x14ac:dyDescent="0.6">
      <c r="A41" s="82" t="s">
        <v>69</v>
      </c>
      <c r="B41" s="83" t="s">
        <v>55</v>
      </c>
      <c r="C41" s="84">
        <v>233100</v>
      </c>
      <c r="D41" s="84">
        <v>397247.49791999999</v>
      </c>
      <c r="E41" s="85">
        <v>0.58678783685364588</v>
      </c>
      <c r="F41" s="85">
        <v>1.7999999999999999E-2</v>
      </c>
      <c r="G41" s="84">
        <v>7150.4549625599993</v>
      </c>
      <c r="H41" s="85">
        <v>0.6047878368536459</v>
      </c>
      <c r="I41" s="93">
        <v>240250.45496256</v>
      </c>
      <c r="J41" s="83"/>
      <c r="K41" s="83" t="s">
        <v>370</v>
      </c>
      <c r="L41" s="89">
        <f>[1]MALTA!C17</f>
        <v>739</v>
      </c>
      <c r="M41" s="89">
        <f>[1]MALTA!D9</f>
        <v>243</v>
      </c>
      <c r="N41" s="89">
        <f t="shared" si="1"/>
        <v>179577</v>
      </c>
      <c r="P41" s="90"/>
      <c r="Q41" s="90"/>
      <c r="R41" s="103"/>
      <c r="S41" s="103"/>
      <c r="T41" s="104"/>
      <c r="U41" s="83" t="s">
        <v>370</v>
      </c>
      <c r="V41" s="89">
        <f>[1]MALTA!D17</f>
        <v>775.95</v>
      </c>
      <c r="W41" s="89">
        <f>[1]MALTA!E9</f>
        <v>260</v>
      </c>
      <c r="X41" s="89">
        <f t="shared" si="3"/>
        <v>201747</v>
      </c>
      <c r="Y41" s="90"/>
      <c r="Z41" s="89"/>
      <c r="AA41" s="89"/>
      <c r="AB41" s="89"/>
      <c r="AC41" s="89"/>
      <c r="AD41" s="104"/>
      <c r="AE41" s="83"/>
      <c r="AF41" s="89"/>
      <c r="AG41" s="89"/>
      <c r="AH41" s="89"/>
      <c r="AI41" s="90"/>
      <c r="AJ41" s="89"/>
      <c r="AK41" s="89"/>
      <c r="AL41" s="89"/>
      <c r="AM41" s="89"/>
      <c r="AN41" s="104"/>
      <c r="AO41" s="83"/>
      <c r="AP41" s="89"/>
      <c r="AQ41" s="89"/>
      <c r="AR41" s="89"/>
      <c r="AS41" s="90"/>
      <c r="AT41" s="89"/>
      <c r="AU41" s="89"/>
      <c r="AV41" s="89"/>
      <c r="AW41" s="89"/>
      <c r="AX41" s="104"/>
      <c r="AY41" s="83"/>
      <c r="AZ41" s="89"/>
      <c r="BA41" s="89"/>
      <c r="BB41" s="89"/>
      <c r="BC41" s="90"/>
      <c r="BD41" s="89"/>
      <c r="BE41" s="89"/>
      <c r="BF41" s="89"/>
      <c r="BG41" s="89"/>
      <c r="BH41" s="104"/>
      <c r="BI41" s="83"/>
      <c r="BJ41" s="89"/>
      <c r="BK41" s="89"/>
      <c r="BL41" s="89"/>
      <c r="BM41" s="90"/>
      <c r="BN41" s="89"/>
      <c r="BO41" s="89"/>
      <c r="BP41" s="89"/>
      <c r="BQ41" s="89"/>
      <c r="BR41" s="104"/>
    </row>
    <row r="42" spans="1:70" ht="17.5" x14ac:dyDescent="0.6">
      <c r="A42" s="82"/>
      <c r="B42" s="83"/>
      <c r="C42" s="84"/>
      <c r="D42" s="84"/>
      <c r="E42" s="85"/>
      <c r="F42" s="85"/>
      <c r="G42" s="84"/>
      <c r="H42" s="85"/>
      <c r="I42" s="93"/>
      <c r="J42" s="83"/>
      <c r="K42" s="83" t="s">
        <v>32</v>
      </c>
      <c r="L42" s="89">
        <f>[1]MALTA!C19</f>
        <v>887</v>
      </c>
      <c r="M42" s="89">
        <f>[1]MALTA!D12</f>
        <v>797</v>
      </c>
      <c r="N42" s="89">
        <f t="shared" si="1"/>
        <v>706939</v>
      </c>
      <c r="O42" s="89"/>
      <c r="P42" s="90"/>
      <c r="Q42" s="90"/>
      <c r="R42" s="103"/>
      <c r="S42" s="103"/>
      <c r="T42" s="104"/>
      <c r="U42" s="83" t="s">
        <v>32</v>
      </c>
      <c r="V42" s="89">
        <f>[1]MALTA!D19</f>
        <v>931.35</v>
      </c>
      <c r="W42" s="89">
        <f>[1]MALTA!E12</f>
        <v>848</v>
      </c>
      <c r="X42" s="89">
        <f t="shared" si="3"/>
        <v>789784.8</v>
      </c>
      <c r="Y42" s="90"/>
      <c r="Z42" s="89"/>
      <c r="AA42" s="89"/>
      <c r="AB42" s="89"/>
      <c r="AC42" s="89"/>
      <c r="AD42" s="104"/>
      <c r="AE42" s="83"/>
      <c r="AF42" s="89"/>
      <c r="AG42" s="89"/>
      <c r="AH42" s="89"/>
      <c r="AI42" s="90"/>
      <c r="AJ42" s="89"/>
      <c r="AK42" s="89"/>
      <c r="AL42" s="89"/>
      <c r="AM42" s="89"/>
      <c r="AN42" s="104"/>
      <c r="AO42" s="83"/>
      <c r="AP42" s="89"/>
      <c r="AQ42" s="89"/>
      <c r="AR42" s="89"/>
      <c r="AS42" s="90"/>
      <c r="AT42" s="89"/>
      <c r="AU42" s="89"/>
      <c r="AV42" s="89"/>
      <c r="AW42" s="89"/>
      <c r="AX42" s="104"/>
      <c r="AY42" s="83"/>
      <c r="AZ42" s="89"/>
      <c r="BA42" s="89"/>
      <c r="BB42" s="89"/>
      <c r="BC42" s="90"/>
      <c r="BD42" s="89"/>
      <c r="BE42" s="89"/>
      <c r="BF42" s="89"/>
      <c r="BG42" s="89"/>
      <c r="BH42" s="104"/>
      <c r="BI42" s="83"/>
      <c r="BJ42" s="89"/>
      <c r="BK42" s="89"/>
      <c r="BL42" s="89"/>
      <c r="BM42" s="90"/>
      <c r="BN42" s="89"/>
      <c r="BO42" s="89"/>
      <c r="BP42" s="89"/>
      <c r="BQ42" s="89"/>
      <c r="BR42" s="104"/>
    </row>
    <row r="43" spans="1:70" ht="17.5" x14ac:dyDescent="0.6">
      <c r="A43" s="82"/>
      <c r="B43" s="83"/>
      <c r="C43" s="84"/>
      <c r="D43" s="84"/>
      <c r="E43" s="85"/>
      <c r="F43" s="85"/>
      <c r="G43" s="84"/>
      <c r="H43" s="85"/>
      <c r="I43" s="93"/>
      <c r="J43" s="83"/>
      <c r="K43" s="83"/>
      <c r="L43" s="89"/>
      <c r="M43" s="89">
        <f>SUM(M41:M42)</f>
        <v>1040</v>
      </c>
      <c r="N43" s="89">
        <f>SUM(N41:N42)</f>
        <v>886516</v>
      </c>
      <c r="O43" s="89">
        <v>202056.91999999998</v>
      </c>
      <c r="P43" s="90">
        <f t="shared" si="2"/>
        <v>0.22792247404446167</v>
      </c>
      <c r="Q43" s="90"/>
      <c r="R43" s="103"/>
      <c r="S43" s="103"/>
      <c r="T43" s="104"/>
      <c r="U43" s="83"/>
      <c r="V43" s="89"/>
      <c r="W43" s="89">
        <f>SUM(W41:W42)</f>
        <v>1108</v>
      </c>
      <c r="X43" s="89">
        <f>SUM(X41:X42)</f>
        <v>991531.8</v>
      </c>
      <c r="Y43" s="90">
        <f t="shared" si="0"/>
        <v>0.40064019925533401</v>
      </c>
      <c r="Z43" s="89">
        <v>397247.49791999999</v>
      </c>
      <c r="AA43" s="89"/>
      <c r="AB43" s="89"/>
      <c r="AC43" s="89"/>
      <c r="AD43" s="104"/>
      <c r="AE43" s="83"/>
      <c r="AF43" s="89"/>
      <c r="AG43" s="89"/>
      <c r="AH43" s="89"/>
      <c r="AI43" s="90"/>
      <c r="AJ43" s="89"/>
      <c r="AK43" s="89"/>
      <c r="AL43" s="89"/>
      <c r="AM43" s="89"/>
      <c r="AN43" s="104"/>
      <c r="AO43" s="83"/>
      <c r="AP43" s="89"/>
      <c r="AQ43" s="89"/>
      <c r="AR43" s="89"/>
      <c r="AS43" s="90"/>
      <c r="AT43" s="89"/>
      <c r="AU43" s="89"/>
      <c r="AV43" s="89"/>
      <c r="AW43" s="89"/>
      <c r="AX43" s="104"/>
      <c r="AY43" s="83"/>
      <c r="AZ43" s="89"/>
      <c r="BA43" s="89"/>
      <c r="BB43" s="89"/>
      <c r="BC43" s="90"/>
      <c r="BD43" s="89"/>
      <c r="BE43" s="89"/>
      <c r="BF43" s="89"/>
      <c r="BG43" s="89"/>
      <c r="BH43" s="104"/>
      <c r="BI43" s="83"/>
      <c r="BJ43" s="89"/>
      <c r="BK43" s="89"/>
      <c r="BL43" s="89"/>
      <c r="BM43" s="90"/>
      <c r="BN43" s="89"/>
      <c r="BO43" s="89"/>
      <c r="BP43" s="89"/>
      <c r="BQ43" s="89"/>
      <c r="BR43" s="104"/>
    </row>
    <row r="44" spans="1:70" ht="17.5" x14ac:dyDescent="0.6">
      <c r="A44" s="82" t="s">
        <v>71</v>
      </c>
      <c r="B44" s="83"/>
      <c r="C44" s="87">
        <f>SUM(C6:C41)</f>
        <v>33222361.956</v>
      </c>
      <c r="D44" s="87">
        <f>SUM(D6:D41)</f>
        <v>56813054.208579987</v>
      </c>
      <c r="E44" s="94">
        <f>C44/D44</f>
        <v>0.58476634320748611</v>
      </c>
      <c r="F44" s="83"/>
      <c r="G44" s="87">
        <f>SUM(G6:G41)</f>
        <v>1163773.7432222399</v>
      </c>
      <c r="H44" s="83"/>
      <c r="I44" s="87">
        <f>SUM(I6:I41)</f>
        <v>34386135.699222244</v>
      </c>
      <c r="J44" s="83"/>
      <c r="K44" s="83"/>
      <c r="L44" s="89"/>
      <c r="M44" s="89"/>
      <c r="N44" s="89">
        <f t="shared" si="1"/>
        <v>0</v>
      </c>
      <c r="O44" s="89">
        <f>SUM(O9:O43)</f>
        <v>30810826.860000011</v>
      </c>
      <c r="P44" s="90"/>
      <c r="Q44" s="90"/>
      <c r="R44" s="103"/>
      <c r="S44" s="103"/>
      <c r="T44" s="104"/>
      <c r="U44" s="83"/>
      <c r="V44" s="89"/>
      <c r="W44" s="89"/>
      <c r="X44" s="89"/>
      <c r="Y44" s="90"/>
      <c r="Z44" s="89"/>
      <c r="AA44" s="89"/>
      <c r="AB44" s="89"/>
      <c r="AC44" s="89"/>
      <c r="AD44" s="104"/>
      <c r="AE44" s="83"/>
      <c r="AF44" s="89"/>
      <c r="AG44" s="89"/>
      <c r="AH44" s="89"/>
      <c r="AI44" s="90"/>
      <c r="AJ44" s="89"/>
      <c r="AK44" s="89"/>
      <c r="AL44" s="89"/>
      <c r="AM44" s="89"/>
      <c r="AN44" s="104"/>
      <c r="AO44" s="83"/>
      <c r="AP44" s="89"/>
      <c r="AQ44" s="89"/>
      <c r="AR44" s="89"/>
      <c r="AS44" s="90"/>
      <c r="AT44" s="89"/>
      <c r="AU44" s="89"/>
      <c r="AV44" s="89"/>
      <c r="AW44" s="89"/>
      <c r="AX44" s="104"/>
      <c r="AY44" s="83"/>
      <c r="AZ44" s="89"/>
      <c r="BA44" s="89"/>
      <c r="BB44" s="89"/>
      <c r="BC44" s="90"/>
      <c r="BD44" s="89"/>
      <c r="BE44" s="89"/>
      <c r="BF44" s="89"/>
      <c r="BG44" s="89"/>
      <c r="BH44" s="104"/>
      <c r="BI44" s="83"/>
      <c r="BJ44" s="89"/>
      <c r="BK44" s="89"/>
      <c r="BL44" s="89"/>
      <c r="BM44" s="90"/>
      <c r="BN44" s="89"/>
      <c r="BO44" s="89"/>
      <c r="BP44" s="89"/>
      <c r="BQ44" s="89"/>
      <c r="BR44" s="104"/>
    </row>
    <row r="45" spans="1:70" ht="0.5" customHeight="1" x14ac:dyDescent="0.6">
      <c r="N45" s="89">
        <f t="shared" si="1"/>
        <v>0</v>
      </c>
    </row>
    <row r="46" spans="1:70" ht="17.5" x14ac:dyDescent="0.6">
      <c r="A46" s="71" t="s">
        <v>72</v>
      </c>
      <c r="C46" s="95">
        <v>952037.42249999999</v>
      </c>
    </row>
    <row r="47" spans="1:70" ht="17.5" x14ac:dyDescent="0.6">
      <c r="A47" s="71" t="s">
        <v>73</v>
      </c>
      <c r="C47" s="96">
        <f>G44</f>
        <v>1163773.7432222399</v>
      </c>
    </row>
    <row r="48" spans="1:70" ht="17.5" x14ac:dyDescent="0.6">
      <c r="A48" s="97" t="s">
        <v>74</v>
      </c>
      <c r="C48" s="98">
        <f>C46-C47</f>
        <v>-211736.32072223991</v>
      </c>
      <c r="E48" s="72" t="s">
        <v>75</v>
      </c>
    </row>
    <row r="50" spans="1:1" ht="17.5" x14ac:dyDescent="0.6">
      <c r="A50" s="70" t="s">
        <v>76</v>
      </c>
    </row>
    <row r="51" spans="1:1" ht="270" customHeight="1" x14ac:dyDescent="0.6">
      <c r="A51" s="99" t="s">
        <v>77</v>
      </c>
    </row>
    <row r="52" spans="1:1" ht="180" customHeight="1" x14ac:dyDescent="0.6">
      <c r="A52" s="99" t="s">
        <v>78</v>
      </c>
    </row>
    <row r="53" spans="1:1" ht="101.25" customHeight="1" x14ac:dyDescent="0.6">
      <c r="A53" s="99" t="s">
        <v>79</v>
      </c>
    </row>
    <row r="54" spans="1:1" ht="213.75" customHeight="1" x14ac:dyDescent="0.6">
      <c r="A54" s="99" t="s">
        <v>80</v>
      </c>
    </row>
    <row r="55" spans="1:1" ht="168.75" customHeight="1" x14ac:dyDescent="0.6">
      <c r="A55" s="99" t="s">
        <v>81</v>
      </c>
    </row>
    <row r="56" spans="1:1" ht="90" customHeight="1" x14ac:dyDescent="0.6">
      <c r="A56" s="99" t="s">
        <v>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showGridLines="0" topLeftCell="A4" zoomScaleNormal="100" workbookViewId="0">
      <pane xSplit="10" ySplit="5" topLeftCell="K21" activePane="bottomRight" state="frozen"/>
      <selection activeCell="A4" sqref="A4"/>
      <selection pane="topRight" activeCell="K4" sqref="K4"/>
      <selection pane="bottomLeft" activeCell="A9" sqref="A9"/>
      <selection pane="bottomRight" activeCell="L5" sqref="L5:L22"/>
    </sheetView>
  </sheetViews>
  <sheetFormatPr defaultColWidth="8.6328125" defaultRowHeight="15.5" x14ac:dyDescent="0.35"/>
  <cols>
    <col min="1" max="1" width="13" customWidth="1"/>
    <col min="2" max="2" width="11" customWidth="1"/>
    <col min="3" max="4" width="14" customWidth="1"/>
    <col min="5" max="6" width="9" customWidth="1"/>
    <col min="7" max="7" width="12" customWidth="1"/>
    <col min="8" max="8" width="9" customWidth="1"/>
    <col min="9" max="9" width="15" customWidth="1"/>
    <col min="10" max="10" width="46" hidden="1" customWidth="1"/>
    <col min="11" max="11" width="2.453125" customWidth="1"/>
    <col min="12" max="12" width="12.90625" customWidth="1"/>
    <col min="13" max="14" width="15" style="1" customWidth="1"/>
    <col min="15" max="15" width="2.453125" customWidth="1"/>
    <col min="16" max="17" width="14" style="1" customWidth="1"/>
    <col min="18" max="18" width="11" style="1" customWidth="1"/>
    <col min="19" max="19" width="10" style="1" customWidth="1"/>
    <col min="20" max="21" width="16" style="1" customWidth="1"/>
    <col min="22" max="22" width="42" style="1" customWidth="1"/>
    <col min="23" max="23" width="46" style="1" customWidth="1"/>
  </cols>
  <sheetData>
    <row r="1" spans="1:23" ht="15.75" customHeight="1" x14ac:dyDescent="0.35">
      <c r="A1" s="1" t="s">
        <v>0</v>
      </c>
    </row>
    <row r="2" spans="1:23" ht="14.25" customHeight="1" x14ac:dyDescent="0.35">
      <c r="A2" s="2" t="s">
        <v>1</v>
      </c>
    </row>
    <row r="3" spans="1:23" ht="27.75" customHeight="1" x14ac:dyDescent="0.35">
      <c r="A3" s="67" t="s">
        <v>2</v>
      </c>
      <c r="B3" s="67"/>
      <c r="C3" s="67"/>
      <c r="D3" s="67"/>
      <c r="E3" s="67"/>
      <c r="F3" s="67"/>
      <c r="G3" s="67"/>
      <c r="H3" s="67"/>
      <c r="I3" s="67"/>
      <c r="J3" s="67"/>
      <c r="K3" s="3"/>
      <c r="L3" s="3"/>
      <c r="M3" s="68" t="s">
        <v>3</v>
      </c>
      <c r="N3" s="68"/>
      <c r="O3" s="3"/>
      <c r="P3" s="69" t="s">
        <v>4</v>
      </c>
      <c r="Q3" s="69"/>
      <c r="R3" s="69"/>
      <c r="S3" s="69"/>
      <c r="T3" s="69"/>
      <c r="U3" s="69"/>
      <c r="V3" s="69"/>
      <c r="W3" s="69"/>
    </row>
    <row r="4" spans="1:23" ht="54.75" customHeight="1" x14ac:dyDescent="0.3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3"/>
      <c r="L4" s="3"/>
      <c r="M4" s="5" t="s">
        <v>15</v>
      </c>
      <c r="N4" s="6" t="s">
        <v>16</v>
      </c>
      <c r="O4" s="3"/>
      <c r="P4" s="7" t="s">
        <v>17</v>
      </c>
      <c r="Q4" s="8" t="s">
        <v>18</v>
      </c>
      <c r="R4" s="8" t="s">
        <v>19</v>
      </c>
      <c r="S4" s="8" t="s">
        <v>20</v>
      </c>
      <c r="T4" s="8" t="s">
        <v>21</v>
      </c>
      <c r="U4" s="8" t="s">
        <v>22</v>
      </c>
      <c r="V4" s="8" t="s">
        <v>23</v>
      </c>
      <c r="W4" s="8" t="s">
        <v>24</v>
      </c>
    </row>
    <row r="5" spans="1:23" ht="27.75" customHeight="1" x14ac:dyDescent="0.35">
      <c r="A5" s="9" t="s">
        <v>25</v>
      </c>
      <c r="B5" t="s">
        <v>26</v>
      </c>
      <c r="C5" s="10">
        <v>6974170.0524000004</v>
      </c>
      <c r="D5" s="10">
        <v>13051952.562899999</v>
      </c>
      <c r="E5" s="11">
        <f>C5/D5</f>
        <v>0.53433921237378579</v>
      </c>
      <c r="G5" s="12">
        <v>376073.91360000003</v>
      </c>
      <c r="I5" s="13">
        <f>C5+G5</f>
        <v>7350243.966</v>
      </c>
      <c r="J5" s="14" t="s">
        <v>27</v>
      </c>
      <c r="K5" s="15"/>
      <c r="L5" s="66">
        <f t="shared" ref="L5:L6" si="0">G5*0.33/2</f>
        <v>62052.195744000004</v>
      </c>
      <c r="M5" s="16">
        <v>5668549</v>
      </c>
      <c r="N5" s="17">
        <v>6658172</v>
      </c>
      <c r="O5" s="15"/>
      <c r="P5" s="18" t="s">
        <v>28</v>
      </c>
      <c r="Q5" s="15"/>
      <c r="R5" s="15"/>
      <c r="S5" s="15"/>
      <c r="T5" s="15"/>
      <c r="V5" s="19"/>
      <c r="W5" s="20" t="s">
        <v>29</v>
      </c>
    </row>
    <row r="6" spans="1:23" ht="54.75" customHeight="1" x14ac:dyDescent="0.35">
      <c r="A6" s="9" t="s">
        <v>30</v>
      </c>
      <c r="B6" t="s">
        <v>26</v>
      </c>
      <c r="C6" s="10">
        <v>3098113.5035999999</v>
      </c>
      <c r="D6" s="10">
        <v>8834692</v>
      </c>
      <c r="E6" s="11">
        <f>C6/D6</f>
        <v>0.35067589267401739</v>
      </c>
      <c r="G6" s="12">
        <v>159024.45600000001</v>
      </c>
      <c r="I6" s="13">
        <f>C6+G6</f>
        <v>3257137.9595999997</v>
      </c>
      <c r="J6" s="14" t="s">
        <v>27</v>
      </c>
      <c r="K6" s="15"/>
      <c r="L6" s="66">
        <f t="shared" si="0"/>
        <v>26239.035240000001</v>
      </c>
      <c r="M6" s="21"/>
      <c r="N6" s="15"/>
      <c r="O6" s="15"/>
      <c r="P6" s="18" t="s">
        <v>28</v>
      </c>
      <c r="Q6" s="15"/>
      <c r="R6" s="15"/>
      <c r="S6" s="15"/>
      <c r="T6" s="15"/>
      <c r="V6" s="19"/>
      <c r="W6" s="20" t="s">
        <v>29</v>
      </c>
    </row>
    <row r="7" spans="1:23" ht="27.75" customHeight="1" x14ac:dyDescent="0.35">
      <c r="A7" s="9" t="s">
        <v>31</v>
      </c>
      <c r="B7" t="s">
        <v>32</v>
      </c>
      <c r="C7" s="10">
        <f>IUK!E20</f>
        <v>6062956.4900000002</v>
      </c>
      <c r="D7" s="10">
        <f>IUK!E19</f>
        <v>11361161.0112</v>
      </c>
      <c r="E7" s="11">
        <f>IUK!E21</f>
        <v>0.53365641803888253</v>
      </c>
      <c r="F7" s="11">
        <f>IUK!E22</f>
        <v>1.7999999999999999E-2</v>
      </c>
      <c r="G7" s="10">
        <f>IUK!E23</f>
        <v>204500.89820159998</v>
      </c>
      <c r="H7" s="11">
        <f>IUK!E25</f>
        <v>0.55165641803888255</v>
      </c>
      <c r="I7" s="22">
        <f>IUK!E24</f>
        <v>6267457.3882015999</v>
      </c>
      <c r="K7" s="15"/>
      <c r="L7" s="66">
        <f>G7*0.33/2</f>
        <v>33742.648203263998</v>
      </c>
      <c r="M7" s="23">
        <v>7154801</v>
      </c>
      <c r="N7" s="24">
        <v>5682505</v>
      </c>
      <c r="O7" s="15"/>
      <c r="P7" s="23">
        <v>18843293</v>
      </c>
      <c r="Q7" s="24">
        <v>21418279</v>
      </c>
      <c r="R7" s="25">
        <v>3.1329133792352901E-2</v>
      </c>
      <c r="S7" s="25">
        <v>0.05</v>
      </c>
      <c r="T7" s="25">
        <v>1.7999999999999999E-2</v>
      </c>
      <c r="U7" s="12">
        <v>22981703</v>
      </c>
      <c r="V7" s="19" t="s">
        <v>33</v>
      </c>
      <c r="W7" s="20" t="s">
        <v>34</v>
      </c>
    </row>
    <row r="8" spans="1:23" ht="41.25" customHeight="1" x14ac:dyDescent="0.35">
      <c r="A8" s="9" t="s">
        <v>35</v>
      </c>
      <c r="B8" t="s">
        <v>32</v>
      </c>
      <c r="C8" s="10">
        <f>UMI!E20</f>
        <v>2973279.33</v>
      </c>
      <c r="D8" s="10">
        <f>UMI!E19</f>
        <v>4354035.8534399997</v>
      </c>
      <c r="E8" s="11">
        <f>UMI!E21</f>
        <v>0.68287892660573679</v>
      </c>
      <c r="F8" s="11">
        <f>UMI!E22</f>
        <v>1.7999999999999999E-2</v>
      </c>
      <c r="G8" s="10">
        <f>UMI!E23</f>
        <v>78372.645361919989</v>
      </c>
      <c r="H8" s="11">
        <f>UMI!E25</f>
        <v>0.70087892660573681</v>
      </c>
      <c r="I8" s="22">
        <f>UMI!E24</f>
        <v>3051651.97536192</v>
      </c>
      <c r="K8" s="15"/>
      <c r="L8" s="66">
        <f t="shared" ref="L8:L22" si="1">G8*0.33/2</f>
        <v>12931.486484716799</v>
      </c>
      <c r="M8" s="23">
        <v>5755871</v>
      </c>
      <c r="N8" s="24">
        <v>5546944</v>
      </c>
      <c r="O8" s="15"/>
      <c r="P8" s="26" t="s">
        <v>36</v>
      </c>
      <c r="Q8" s="15"/>
      <c r="R8" s="15"/>
      <c r="S8" s="25">
        <v>0.05</v>
      </c>
      <c r="T8" s="25">
        <v>1.7999999999999999E-2</v>
      </c>
      <c r="V8" s="27" t="s">
        <v>37</v>
      </c>
      <c r="W8" s="28" t="s">
        <v>38</v>
      </c>
    </row>
    <row r="9" spans="1:23" ht="14.25" customHeight="1" x14ac:dyDescent="0.35">
      <c r="A9" s="9" t="s">
        <v>39</v>
      </c>
      <c r="B9" t="s">
        <v>32</v>
      </c>
      <c r="C9" s="10">
        <f>NORWAY!E20</f>
        <v>1764799.75</v>
      </c>
      <c r="D9" s="10">
        <f>NORWAY!E19</f>
        <v>1869934.5974399999</v>
      </c>
      <c r="E9" s="11">
        <f>NORWAY!E21</f>
        <v>0.94377619004219027</v>
      </c>
      <c r="F9" s="11">
        <f>NORWAY!E22</f>
        <v>1.7999999999999999E-2</v>
      </c>
      <c r="G9" s="10">
        <f>NORWAY!E23</f>
        <v>33658.822753919994</v>
      </c>
      <c r="H9" s="11">
        <f>NORWAY!E25</f>
        <v>0.96177619004219028</v>
      </c>
      <c r="I9" s="22">
        <f>NORWAY!E24</f>
        <v>1798458.57275392</v>
      </c>
      <c r="K9" s="15"/>
      <c r="L9" s="66">
        <f t="shared" si="1"/>
        <v>5553.7057543967994</v>
      </c>
      <c r="M9" s="23">
        <v>1156859</v>
      </c>
      <c r="N9" s="24">
        <v>1454525</v>
      </c>
      <c r="O9" s="15"/>
      <c r="P9" s="23">
        <v>3367988</v>
      </c>
      <c r="Q9" s="24">
        <v>5248795</v>
      </c>
      <c r="R9" s="25">
        <v>2.2953714213646E-2</v>
      </c>
      <c r="S9" s="25">
        <v>0.05</v>
      </c>
      <c r="T9" s="25">
        <v>1.7999999999999999E-2</v>
      </c>
      <c r="U9" s="12">
        <v>5640960</v>
      </c>
      <c r="V9" s="19" t="s">
        <v>40</v>
      </c>
      <c r="W9" s="20" t="s">
        <v>41</v>
      </c>
    </row>
    <row r="10" spans="1:23" ht="27.75" customHeight="1" x14ac:dyDescent="0.35">
      <c r="A10" s="9" t="s">
        <v>42</v>
      </c>
      <c r="B10" t="s">
        <v>32</v>
      </c>
      <c r="C10" s="10">
        <f>SWEDEN!E20</f>
        <v>1464302.33</v>
      </c>
      <c r="D10" s="10">
        <f>SWEDEN!E19</f>
        <v>2095636.2335999999</v>
      </c>
      <c r="E10" s="11">
        <f>SWEDEN!E21</f>
        <v>0.69873879183914489</v>
      </c>
      <c r="F10" s="11">
        <f>SWEDEN!E22</f>
        <v>1.7999999999999999E-2</v>
      </c>
      <c r="G10" s="10">
        <f>SWEDEN!E23</f>
        <v>37721.452204799993</v>
      </c>
      <c r="H10" s="11">
        <f>SWEDEN!E25</f>
        <v>0.71673879183914491</v>
      </c>
      <c r="I10" s="22">
        <f>SWEDEN!E24</f>
        <v>1502023.7822048001</v>
      </c>
      <c r="K10" s="15"/>
      <c r="L10" s="66">
        <f t="shared" si="1"/>
        <v>6224.0396137919988</v>
      </c>
      <c r="M10" s="23">
        <v>1233980</v>
      </c>
      <c r="N10" s="24">
        <v>1282687</v>
      </c>
      <c r="O10" s="15"/>
      <c r="P10" s="23">
        <v>2482560</v>
      </c>
      <c r="Q10" s="24">
        <v>3154222</v>
      </c>
      <c r="R10" s="25">
        <v>7.6631529077342303E-2</v>
      </c>
      <c r="S10" s="25">
        <v>0.05</v>
      </c>
      <c r="T10" s="25">
        <v>1.7999999999999999E-2</v>
      </c>
      <c r="U10" s="12">
        <v>3533131</v>
      </c>
      <c r="V10" s="19" t="s">
        <v>33</v>
      </c>
      <c r="W10" s="20" t="s">
        <v>43</v>
      </c>
    </row>
    <row r="11" spans="1:23" ht="27.75" customHeight="1" x14ac:dyDescent="0.35">
      <c r="A11" s="9" t="s">
        <v>44</v>
      </c>
      <c r="B11" t="s">
        <v>32</v>
      </c>
      <c r="C11" s="10">
        <f>HUNGARY!E20</f>
        <v>349600</v>
      </c>
      <c r="D11" s="10">
        <f>HUNGARY!E19</f>
        <v>920327.81568</v>
      </c>
      <c r="E11" s="11">
        <f>HUNGARY!E21</f>
        <v>0.37986464610079401</v>
      </c>
      <c r="F11" s="11">
        <f>HUNGARY!E22</f>
        <v>1.7999999999999999E-2</v>
      </c>
      <c r="G11" s="10">
        <f>HUNGARY!E23</f>
        <v>16565.900682239997</v>
      </c>
      <c r="H11" s="11">
        <f>HUNGARY!E25</f>
        <v>0.39786464610079408</v>
      </c>
      <c r="I11" s="22">
        <f>HUNGARY!E24</f>
        <v>366165.90068224003</v>
      </c>
      <c r="K11" s="15"/>
      <c r="L11" s="66">
        <f t="shared" si="1"/>
        <v>2733.3736125695996</v>
      </c>
      <c r="M11" s="23">
        <v>365622</v>
      </c>
      <c r="N11" s="24">
        <v>347456</v>
      </c>
      <c r="O11" s="15"/>
      <c r="P11" s="26" t="s">
        <v>36</v>
      </c>
      <c r="Q11" s="15"/>
      <c r="R11" s="15"/>
      <c r="S11" s="25">
        <v>0.05</v>
      </c>
      <c r="T11" s="25">
        <v>1.7999999999999999E-2</v>
      </c>
      <c r="V11" s="27" t="s">
        <v>45</v>
      </c>
      <c r="W11" s="28" t="s">
        <v>38</v>
      </c>
    </row>
    <row r="12" spans="1:23" ht="41.25" customHeight="1" x14ac:dyDescent="0.35">
      <c r="A12" s="9" t="s">
        <v>46</v>
      </c>
      <c r="B12" t="s">
        <v>32</v>
      </c>
      <c r="C12" s="10">
        <f>FINLAND!E20</f>
        <v>360300</v>
      </c>
      <c r="D12" s="10">
        <f>FINLAND!E19</f>
        <v>301550.29631999996</v>
      </c>
      <c r="E12" s="11">
        <f>FINLAND!E21</f>
        <v>1.1948255544662303</v>
      </c>
      <c r="F12" s="11">
        <f>FINLAND!E22</f>
        <v>1.7999999999999999E-2</v>
      </c>
      <c r="G12" s="10">
        <f>FINLAND!E23</f>
        <v>5427.9053337599989</v>
      </c>
      <c r="H12" s="11">
        <f>FINLAND!E25</f>
        <v>1.2128255544662303</v>
      </c>
      <c r="I12" s="22">
        <f>FINLAND!E24</f>
        <v>365727.90533376002</v>
      </c>
      <c r="K12" s="15"/>
      <c r="L12" s="66">
        <f t="shared" si="1"/>
        <v>895.60438007039988</v>
      </c>
      <c r="M12" s="23">
        <v>267986</v>
      </c>
      <c r="N12" s="24">
        <v>280753</v>
      </c>
      <c r="O12" s="15"/>
      <c r="P12" s="26" t="s">
        <v>36</v>
      </c>
      <c r="Q12" s="15"/>
      <c r="R12" s="15"/>
      <c r="S12" s="25">
        <v>0.05</v>
      </c>
      <c r="T12" s="25">
        <v>1.7999999999999999E-2</v>
      </c>
      <c r="V12" s="27" t="s">
        <v>47</v>
      </c>
      <c r="W12" s="28" t="s">
        <v>38</v>
      </c>
    </row>
    <row r="13" spans="1:23" ht="27.75" customHeight="1" x14ac:dyDescent="0.35">
      <c r="A13" s="9" t="s">
        <v>48</v>
      </c>
      <c r="B13" t="s">
        <v>32</v>
      </c>
      <c r="C13" s="10">
        <f>ROMANIA!E20</f>
        <v>199587.57</v>
      </c>
      <c r="D13" s="10">
        <f>ROMANIA!E19</f>
        <v>278726.53535999998</v>
      </c>
      <c r="E13" s="11">
        <f>ROMANIA!E21</f>
        <v>0.71606949708686685</v>
      </c>
      <c r="F13" s="11">
        <f>ROMANIA!E22</f>
        <v>1.7999999999999999E-2</v>
      </c>
      <c r="G13" s="10">
        <f>ROMANIA!E23</f>
        <v>5017.0776364799995</v>
      </c>
      <c r="H13" s="11">
        <f>ROMANIA!E25</f>
        <v>0.73406949708686697</v>
      </c>
      <c r="I13" s="22">
        <f>ROMANIA!E24</f>
        <v>204604.64763648002</v>
      </c>
      <c r="K13" s="15"/>
      <c r="L13" s="66">
        <f t="shared" si="1"/>
        <v>827.8178100191999</v>
      </c>
      <c r="M13" s="23">
        <v>155162</v>
      </c>
      <c r="N13" s="24">
        <v>180500</v>
      </c>
      <c r="O13" s="15"/>
      <c r="P13" s="23">
        <v>382258</v>
      </c>
      <c r="Q13" s="24">
        <v>394597</v>
      </c>
      <c r="R13" s="25">
        <v>0.12885154061624701</v>
      </c>
      <c r="S13" s="25">
        <v>0.05</v>
      </c>
      <c r="T13" s="25">
        <v>1.7999999999999999E-2</v>
      </c>
      <c r="U13" s="12">
        <v>458894</v>
      </c>
      <c r="V13" s="19" t="s">
        <v>33</v>
      </c>
      <c r="W13" s="20" t="s">
        <v>49</v>
      </c>
    </row>
    <row r="14" spans="1:23" ht="27.75" customHeight="1" x14ac:dyDescent="0.35">
      <c r="A14" s="9" t="s">
        <v>50</v>
      </c>
      <c r="B14" t="s">
        <v>32</v>
      </c>
      <c r="C14" s="10">
        <f>DENMARK!E20</f>
        <v>187600</v>
      </c>
      <c r="D14" s="10">
        <f>DENMARK!E19</f>
        <v>217632.62975999998</v>
      </c>
      <c r="E14" s="11">
        <f>DENMARK!E21</f>
        <v>0.86200309304207168</v>
      </c>
      <c r="F14" s="11">
        <f>DENMARK!E22</f>
        <v>1.7999999999999999E-2</v>
      </c>
      <c r="G14" s="10">
        <f>DENMARK!E23</f>
        <v>3917.3873356799995</v>
      </c>
      <c r="H14" s="11">
        <f>DENMARK!E25</f>
        <v>0.88000309304207158</v>
      </c>
      <c r="I14" s="22">
        <f>DENMARK!E24</f>
        <v>191517.38733567999</v>
      </c>
      <c r="K14" s="15"/>
      <c r="L14" s="66">
        <f t="shared" si="1"/>
        <v>646.3689103872</v>
      </c>
      <c r="M14" s="23">
        <v>125038</v>
      </c>
      <c r="N14" s="24">
        <v>155945</v>
      </c>
      <c r="O14" s="15"/>
      <c r="P14" s="23">
        <v>356680</v>
      </c>
      <c r="Q14" s="24">
        <v>572864</v>
      </c>
      <c r="R14" s="25">
        <v>0.110588235294118</v>
      </c>
      <c r="S14" s="25">
        <v>0.05</v>
      </c>
      <c r="T14" s="25">
        <v>1.7999999999999999E-2</v>
      </c>
      <c r="U14" s="12">
        <v>671653</v>
      </c>
      <c r="V14" s="19" t="s">
        <v>33</v>
      </c>
      <c r="W14" s="20" t="s">
        <v>51</v>
      </c>
    </row>
    <row r="15" spans="1:23" ht="27.75" customHeight="1" x14ac:dyDescent="0.35">
      <c r="A15" s="9" t="s">
        <v>52</v>
      </c>
      <c r="B15" t="s">
        <v>32</v>
      </c>
      <c r="C15" s="10">
        <f>ICELAND!E20</f>
        <v>104600</v>
      </c>
      <c r="D15" s="10">
        <f>ICELAND!E19</f>
        <v>101208.39456</v>
      </c>
      <c r="E15" s="11">
        <f>ICELAND!E21</f>
        <v>1.0335111079940047</v>
      </c>
      <c r="F15" s="11">
        <f>ICELAND!E22</f>
        <v>1.7999999999999999E-2</v>
      </c>
      <c r="G15" s="10">
        <f>ICELAND!E23</f>
        <v>1821.7511020799998</v>
      </c>
      <c r="H15" s="11">
        <f>ICELAND!E25</f>
        <v>1.0515111079940047</v>
      </c>
      <c r="I15" s="22">
        <f>ICELAND!E24</f>
        <v>106421.75110208</v>
      </c>
      <c r="K15" s="15"/>
      <c r="L15" s="66">
        <f t="shared" si="1"/>
        <v>300.58893184319999</v>
      </c>
      <c r="M15" s="23">
        <v>76214</v>
      </c>
      <c r="N15" s="24">
        <v>89209</v>
      </c>
      <c r="O15" s="15"/>
      <c r="P15" s="23">
        <v>209944</v>
      </c>
      <c r="Q15" s="24">
        <v>195849</v>
      </c>
      <c r="R15" s="25">
        <v>8.1280788177339899E-2</v>
      </c>
      <c r="S15" s="25">
        <v>0.05</v>
      </c>
      <c r="T15" s="25">
        <v>1.7999999999999999E-2</v>
      </c>
      <c r="U15" s="12">
        <v>217083</v>
      </c>
      <c r="V15" s="19" t="s">
        <v>33</v>
      </c>
      <c r="W15" s="20" t="s">
        <v>53</v>
      </c>
    </row>
    <row r="16" spans="1:23" ht="27.75" customHeight="1" x14ac:dyDescent="0.35">
      <c r="A16" s="9" t="s">
        <v>54</v>
      </c>
      <c r="B16" t="s">
        <v>55</v>
      </c>
      <c r="C16" s="10">
        <f>GERMANY!E26</f>
        <v>2913662.84</v>
      </c>
      <c r="D16" s="10">
        <f>GERMANY!E25</f>
        <v>4007354.8972800002</v>
      </c>
      <c r="E16" s="11">
        <f>GERMANY!E27</f>
        <v>0.72707881250489048</v>
      </c>
      <c r="F16" s="11">
        <f>GERMANY!E28</f>
        <v>1.7999999999999999E-2</v>
      </c>
      <c r="G16" s="10">
        <f>GERMANY!E29</f>
        <v>72132.388151039995</v>
      </c>
      <c r="H16" s="11">
        <f>GERMANY!E31</f>
        <v>0.74507881250489039</v>
      </c>
      <c r="I16" s="22">
        <f>GERMANY!E30</f>
        <v>2985795.2281510397</v>
      </c>
      <c r="K16" s="15"/>
      <c r="L16" s="66">
        <f t="shared" si="1"/>
        <v>11901.8440449216</v>
      </c>
      <c r="M16" s="23">
        <v>2614731</v>
      </c>
      <c r="N16" s="24">
        <v>2661850</v>
      </c>
      <c r="O16" s="15"/>
      <c r="P16" s="26" t="s">
        <v>36</v>
      </c>
      <c r="Q16" s="15"/>
      <c r="R16" s="15"/>
      <c r="S16" s="25">
        <v>0.05</v>
      </c>
      <c r="T16" s="25">
        <v>1.7999999999999999E-2</v>
      </c>
      <c r="V16" s="27" t="s">
        <v>56</v>
      </c>
      <c r="W16" s="28" t="s">
        <v>38</v>
      </c>
    </row>
    <row r="17" spans="1:23" ht="14.25" customHeight="1" x14ac:dyDescent="0.35">
      <c r="A17" s="9" t="s">
        <v>57</v>
      </c>
      <c r="B17" t="s">
        <v>55</v>
      </c>
      <c r="C17" s="10">
        <f>BELGIUM!E26</f>
        <v>2296577.34</v>
      </c>
      <c r="D17" s="10">
        <f>BELGIUM!E25</f>
        <v>2419787.4943200001</v>
      </c>
      <c r="E17" s="11">
        <f>BELGIUM!E27</f>
        <v>0.94908224188726775</v>
      </c>
      <c r="F17" s="11">
        <f>BELGIUM!E28</f>
        <v>1.7999999999999999E-2</v>
      </c>
      <c r="G17" s="10">
        <f>BELGIUM!E29</f>
        <v>43556.17489776</v>
      </c>
      <c r="H17" s="11">
        <f>BELGIUM!E31</f>
        <v>0.96708224188726777</v>
      </c>
      <c r="I17" s="22">
        <f>BELGIUM!E30</f>
        <v>2340133.51489776</v>
      </c>
      <c r="K17" s="15"/>
      <c r="L17" s="66">
        <f t="shared" si="1"/>
        <v>7186.7688581304001</v>
      </c>
      <c r="M17" s="23">
        <v>2286742</v>
      </c>
      <c r="N17" s="24">
        <v>2152712</v>
      </c>
      <c r="O17" s="15"/>
      <c r="P17" s="23">
        <v>4867562</v>
      </c>
      <c r="Q17" s="24">
        <v>6834272</v>
      </c>
      <c r="R17" s="25">
        <v>6.14741244119184E-2</v>
      </c>
      <c r="S17" s="25">
        <v>0.05</v>
      </c>
      <c r="T17" s="25">
        <v>1.7999999999999999E-2</v>
      </c>
      <c r="U17" s="12">
        <v>7621476</v>
      </c>
      <c r="V17" s="19" t="s">
        <v>58</v>
      </c>
      <c r="W17" s="20" t="s">
        <v>59</v>
      </c>
    </row>
    <row r="18" spans="1:23" ht="14.25" customHeight="1" x14ac:dyDescent="0.35">
      <c r="A18" s="9" t="s">
        <v>60</v>
      </c>
      <c r="B18" t="s">
        <v>55</v>
      </c>
      <c r="C18" s="10">
        <f>PORTUGAL!E26</f>
        <v>1858269.4</v>
      </c>
      <c r="D18" s="10">
        <f>PORTUGAL!E25</f>
        <v>3612769.9826400001</v>
      </c>
      <c r="E18" s="11">
        <f>PORTUGAL!E27</f>
        <v>0.51436139276215032</v>
      </c>
      <c r="F18" s="11">
        <f>PORTUGAL!E28</f>
        <v>1.7999999999999999E-2</v>
      </c>
      <c r="G18" s="10">
        <f>PORTUGAL!E29</f>
        <v>65029.859687519995</v>
      </c>
      <c r="H18" s="11">
        <f>PORTUGAL!E31</f>
        <v>0.53236139276215022</v>
      </c>
      <c r="I18" s="22">
        <f>PORTUGAL!E30</f>
        <v>1923299.2596875199</v>
      </c>
      <c r="K18" s="15"/>
      <c r="L18" s="66">
        <f t="shared" si="1"/>
        <v>10729.9268484408</v>
      </c>
      <c r="M18" s="23">
        <v>1551256</v>
      </c>
      <c r="N18" s="24">
        <v>1795020</v>
      </c>
      <c r="O18" s="15"/>
      <c r="P18" s="23">
        <v>3821463</v>
      </c>
      <c r="Q18" s="24">
        <v>4047903</v>
      </c>
      <c r="R18" s="25">
        <v>0.171476137624861</v>
      </c>
      <c r="S18" s="25">
        <v>0.05</v>
      </c>
      <c r="T18" s="25">
        <v>1.7999999999999999E-2</v>
      </c>
      <c r="U18" s="12">
        <v>4933599</v>
      </c>
      <c r="V18" s="19" t="s">
        <v>61</v>
      </c>
      <c r="W18" s="20" t="s">
        <v>62</v>
      </c>
    </row>
    <row r="19" spans="1:23" ht="27.75" customHeight="1" x14ac:dyDescent="0.35">
      <c r="A19" s="9" t="s">
        <v>63</v>
      </c>
      <c r="B19" t="s">
        <v>55</v>
      </c>
      <c r="C19" s="10">
        <f>IRELAND!E26</f>
        <v>1267443.3500000001</v>
      </c>
      <c r="D19" s="10">
        <f>IRELAND!E25</f>
        <v>1232550.8731200001</v>
      </c>
      <c r="E19" s="11">
        <f>IRELAND!E27</f>
        <v>1.0283091575698415</v>
      </c>
      <c r="F19" s="11">
        <f>IRELAND!E28</f>
        <v>1.7999999999999999E-2</v>
      </c>
      <c r="G19" s="10">
        <f>IRELAND!E29</f>
        <v>22185.915716160001</v>
      </c>
      <c r="H19" s="11">
        <f>IRELAND!E31</f>
        <v>1.0463091575698418</v>
      </c>
      <c r="I19" s="22">
        <f>IRELAND!E30</f>
        <v>1289629.2657161602</v>
      </c>
      <c r="K19" s="15"/>
      <c r="L19" s="66">
        <f t="shared" si="1"/>
        <v>3660.6760931664003</v>
      </c>
      <c r="M19" s="23">
        <v>1201537</v>
      </c>
      <c r="N19" s="24">
        <v>1118453</v>
      </c>
      <c r="O19" s="15"/>
      <c r="P19" s="23">
        <v>2687539</v>
      </c>
      <c r="Q19" s="24">
        <v>2833637</v>
      </c>
      <c r="R19" s="25">
        <v>0.28551596483109698</v>
      </c>
      <c r="S19" s="25">
        <v>0.05</v>
      </c>
      <c r="T19" s="25">
        <v>1.7999999999999999E-2</v>
      </c>
      <c r="U19" s="12">
        <v>3752695</v>
      </c>
      <c r="V19" s="19" t="s">
        <v>33</v>
      </c>
      <c r="W19" s="20" t="s">
        <v>64</v>
      </c>
    </row>
    <row r="20" spans="1:23" ht="41.25" customHeight="1" x14ac:dyDescent="0.35">
      <c r="A20" s="9" t="s">
        <v>65</v>
      </c>
      <c r="B20" t="s">
        <v>55</v>
      </c>
      <c r="C20" s="10">
        <f>GREECE!E26</f>
        <v>574400</v>
      </c>
      <c r="D20" s="10">
        <f>GREECE!E25</f>
        <v>1021923.7509599999</v>
      </c>
      <c r="E20" s="11">
        <f>GREECE!E27</f>
        <v>0.56207716031690824</v>
      </c>
      <c r="F20" s="11">
        <f>GREECE!E28</f>
        <v>1.7999999999999999E-2</v>
      </c>
      <c r="G20" s="10">
        <f>GREECE!E29</f>
        <v>18394.627517279998</v>
      </c>
      <c r="H20" s="11">
        <f>GREECE!E31</f>
        <v>0.58007716031690826</v>
      </c>
      <c r="I20" s="22">
        <f>GREECE!E30</f>
        <v>592794.62751728005</v>
      </c>
      <c r="K20" s="15"/>
      <c r="L20" s="66">
        <f t="shared" si="1"/>
        <v>3035.1135403511998</v>
      </c>
      <c r="M20" s="23">
        <v>467826</v>
      </c>
      <c r="N20" s="24">
        <v>471586</v>
      </c>
      <c r="O20" s="15"/>
      <c r="P20" s="26" t="s">
        <v>36</v>
      </c>
      <c r="Q20" s="15"/>
      <c r="R20" s="15"/>
      <c r="S20" s="25">
        <v>0.05</v>
      </c>
      <c r="T20" s="25">
        <v>1.7999999999999999E-2</v>
      </c>
      <c r="V20" s="27" t="s">
        <v>66</v>
      </c>
      <c r="W20" s="28" t="s">
        <v>38</v>
      </c>
    </row>
    <row r="21" spans="1:23" ht="81.75" customHeight="1" x14ac:dyDescent="0.35">
      <c r="A21" s="9" t="s">
        <v>67</v>
      </c>
      <c r="B21" t="s">
        <v>55</v>
      </c>
      <c r="C21" s="10">
        <f>CYPRUS!E26</f>
        <v>539600</v>
      </c>
      <c r="D21" s="10">
        <f>CYPRUS!E25</f>
        <v>734561.78208000003</v>
      </c>
      <c r="E21" s="11">
        <f>CYPRUS!E27</f>
        <v>0.73458763192397203</v>
      </c>
      <c r="F21" s="11">
        <f>CYPRUS!E28</f>
        <v>1.7999999999999999E-2</v>
      </c>
      <c r="G21" s="10">
        <f>CYPRUS!E29</f>
        <v>13222.112077439999</v>
      </c>
      <c r="H21" s="11">
        <f>CYPRUS!E31</f>
        <v>0.75258763192397204</v>
      </c>
      <c r="I21" s="22">
        <f>CYPRUS!E30</f>
        <v>552822.11207744002</v>
      </c>
      <c r="K21" s="15"/>
      <c r="L21" s="66">
        <f t="shared" si="1"/>
        <v>2181.6484927776</v>
      </c>
      <c r="M21" s="21"/>
      <c r="N21" s="15"/>
      <c r="O21" s="15"/>
      <c r="P21" s="26" t="s">
        <v>36</v>
      </c>
      <c r="Q21" s="15"/>
      <c r="R21" s="15"/>
      <c r="S21" s="25">
        <v>0.05</v>
      </c>
      <c r="T21" s="25">
        <v>1.7999999999999999E-2</v>
      </c>
      <c r="V21" s="27" t="s">
        <v>68</v>
      </c>
      <c r="W21" s="28" t="s">
        <v>38</v>
      </c>
    </row>
    <row r="22" spans="1:23" ht="27.75" customHeight="1" x14ac:dyDescent="0.35">
      <c r="A22" s="9" t="s">
        <v>69</v>
      </c>
      <c r="B22" t="s">
        <v>55</v>
      </c>
      <c r="C22" s="10">
        <f>MALTA!E26</f>
        <v>233100</v>
      </c>
      <c r="D22" s="10">
        <f>MALTA!E25</f>
        <v>397247.49791999999</v>
      </c>
      <c r="E22" s="11">
        <f>MALTA!E27</f>
        <v>0.58678783685364588</v>
      </c>
      <c r="F22" s="11">
        <f>MALTA!E28</f>
        <v>1.7999999999999999E-2</v>
      </c>
      <c r="G22" s="10">
        <f>MALTA!E29</f>
        <v>7150.4549625599993</v>
      </c>
      <c r="H22" s="11">
        <f>MALTA!E31</f>
        <v>0.6047878368536459</v>
      </c>
      <c r="I22" s="22">
        <f>MALTA!E30</f>
        <v>240250.45496256</v>
      </c>
      <c r="K22" s="15"/>
      <c r="L22" s="66">
        <f t="shared" si="1"/>
        <v>1179.8250688224</v>
      </c>
      <c r="M22" s="23">
        <v>209033</v>
      </c>
      <c r="N22" s="24">
        <v>196245</v>
      </c>
      <c r="O22" s="15"/>
      <c r="P22" s="23">
        <v>555482</v>
      </c>
      <c r="Q22" s="24">
        <v>553873</v>
      </c>
      <c r="R22" s="25">
        <v>6.5384615384615402E-2</v>
      </c>
      <c r="S22" s="25">
        <v>0.05</v>
      </c>
      <c r="T22" s="25">
        <v>1.7999999999999999E-2</v>
      </c>
      <c r="U22" s="12">
        <v>610918</v>
      </c>
      <c r="V22" s="19" t="s">
        <v>33</v>
      </c>
      <c r="W22" s="20" t="s">
        <v>70</v>
      </c>
    </row>
    <row r="23" spans="1:23" ht="14.25" customHeight="1" x14ac:dyDescent="0.35">
      <c r="A23" s="9" t="s">
        <v>71</v>
      </c>
      <c r="C23" s="13">
        <f>SUM(C5:C22)</f>
        <v>33222361.956</v>
      </c>
      <c r="D23" s="13">
        <f>SUM(D5:D22)</f>
        <v>56813054.208579987</v>
      </c>
      <c r="E23" s="29">
        <f>C23/D23</f>
        <v>0.58476634320748611</v>
      </c>
      <c r="G23" s="13">
        <f>SUM(G5:G22)</f>
        <v>1163773.7432222399</v>
      </c>
      <c r="I23" s="13">
        <f>SUM(I5:I22)</f>
        <v>34386135.699222244</v>
      </c>
      <c r="K23" s="15"/>
      <c r="L23" s="15"/>
      <c r="M23" s="23">
        <f>SUM(M5:M22)</f>
        <v>30291207</v>
      </c>
      <c r="N23" s="24">
        <f>SUM(N5:N22)</f>
        <v>30074562</v>
      </c>
      <c r="O23" s="15"/>
      <c r="P23" s="23">
        <f>SUM(P5:P22)</f>
        <v>37574769</v>
      </c>
      <c r="Q23" s="24">
        <f>SUM(Q5:Q22)</f>
        <v>45254291</v>
      </c>
      <c r="R23" s="15"/>
      <c r="S23" s="25">
        <v>0.05</v>
      </c>
      <c r="T23" s="25">
        <v>1.7999999999999999E-2</v>
      </c>
      <c r="U23" s="10">
        <f>SUM(U5:U22)</f>
        <v>50422112</v>
      </c>
    </row>
    <row r="25" spans="1:23" ht="14.25" customHeight="1" x14ac:dyDescent="0.35">
      <c r="A25" t="s">
        <v>72</v>
      </c>
      <c r="C25" s="10">
        <v>952037.42249999999</v>
      </c>
    </row>
    <row r="26" spans="1:23" ht="14.25" customHeight="1" x14ac:dyDescent="0.35">
      <c r="A26" t="s">
        <v>73</v>
      </c>
      <c r="C26" s="30">
        <f>G23</f>
        <v>1163773.7432222399</v>
      </c>
    </row>
    <row r="27" spans="1:23" ht="14.25" customHeight="1" x14ac:dyDescent="0.35">
      <c r="A27" s="9" t="s">
        <v>74</v>
      </c>
      <c r="C27" s="13">
        <f>C25-C26</f>
        <v>-211736.32072223991</v>
      </c>
      <c r="E27" s="2" t="s">
        <v>75</v>
      </c>
    </row>
    <row r="29" spans="1:23" ht="14.25" customHeight="1" x14ac:dyDescent="0.35">
      <c r="A29" s="31" t="s">
        <v>76</v>
      </c>
    </row>
    <row r="30" spans="1:23" ht="270" customHeight="1" x14ac:dyDescent="0.35">
      <c r="A30" s="14" t="s">
        <v>77</v>
      </c>
    </row>
    <row r="31" spans="1:23" ht="180" customHeight="1" x14ac:dyDescent="0.35">
      <c r="A31" s="14" t="s">
        <v>78</v>
      </c>
    </row>
    <row r="32" spans="1:23" ht="101.25" customHeight="1" x14ac:dyDescent="0.35">
      <c r="A32" s="14" t="s">
        <v>79</v>
      </c>
    </row>
    <row r="33" spans="1:1" ht="213.75" customHeight="1" x14ac:dyDescent="0.35">
      <c r="A33" s="14" t="s">
        <v>80</v>
      </c>
    </row>
    <row r="34" spans="1:1" ht="168.75" customHeight="1" x14ac:dyDescent="0.35">
      <c r="A34" s="14" t="s">
        <v>81</v>
      </c>
    </row>
    <row r="35" spans="1:1" ht="90" customHeight="1" x14ac:dyDescent="0.35">
      <c r="A35" s="14" t="s">
        <v>82</v>
      </c>
    </row>
  </sheetData>
  <autoFilter ref="A4:W4" xr:uid="{00000000-0001-0000-0000-000000000000}"/>
  <mergeCells count="3">
    <mergeCell ref="A3:J3"/>
    <mergeCell ref="M3:N3"/>
    <mergeCell ref="P3:W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V31"/>
  <sheetViews>
    <sheetView showGridLines="0" topLeftCell="I1" zoomScaleNormal="100" workbookViewId="0">
      <selection activeCell="Q5" sqref="Q4:Q5"/>
    </sheetView>
  </sheetViews>
  <sheetFormatPr defaultColWidth="8.6328125" defaultRowHeight="14.5" x14ac:dyDescent="0.35"/>
  <cols>
    <col min="2" max="2" width="1.54296875" customWidth="1"/>
    <col min="3" max="3" width="14" customWidth="1"/>
    <col min="4" max="4" width="14.6328125" bestFit="1" customWidth="1"/>
    <col min="8" max="8" width="15.08984375" customWidth="1"/>
    <col min="9" max="9" width="13.453125" customWidth="1"/>
    <col min="10" max="10" width="11" customWidth="1"/>
    <col min="11" max="12" width="9.90625" customWidth="1"/>
    <col min="13" max="13" width="18.6328125" customWidth="1"/>
    <col min="14" max="14" width="13.08984375" customWidth="1"/>
    <col min="15" max="15" width="13.90625" customWidth="1"/>
    <col min="16" max="16" width="22" customWidth="1"/>
    <col min="17" max="17" width="14.90625" customWidth="1"/>
    <col min="18" max="18" width="13" customWidth="1"/>
    <col min="20" max="20" width="14" customWidth="1"/>
    <col min="21" max="21" width="44" customWidth="1"/>
    <col min="22" max="22" width="15" customWidth="1"/>
  </cols>
  <sheetData>
    <row r="4" spans="3:22" ht="15.75" customHeight="1" x14ac:dyDescent="0.35">
      <c r="P4" s="32">
        <f>SUM(V13:V30)</f>
        <v>1163773.7432222399</v>
      </c>
      <c r="Q4" s="32">
        <f>T7-C16-SUM(D5:S16)-P4</f>
        <v>-211736.3207649393</v>
      </c>
      <c r="T4" s="33" t="s">
        <v>83</v>
      </c>
    </row>
    <row r="5" spans="3:22" ht="15.75" customHeight="1" x14ac:dyDescent="0.35">
      <c r="O5" s="32">
        <v>210000</v>
      </c>
      <c r="P5" s="34" t="s">
        <v>84</v>
      </c>
      <c r="Q5" s="35" t="s">
        <v>85</v>
      </c>
      <c r="R5" s="32">
        <v>-260000</v>
      </c>
      <c r="T5" s="36">
        <f>SUM(C3:S16)</f>
        <v>35284444.237800002</v>
      </c>
    </row>
    <row r="6" spans="3:22" ht="15.75" customHeight="1" x14ac:dyDescent="0.35">
      <c r="O6" s="34" t="s">
        <v>86</v>
      </c>
      <c r="R6" s="37"/>
      <c r="S6" s="32">
        <v>-350000</v>
      </c>
    </row>
    <row r="7" spans="3:22" ht="31.5" customHeight="1" x14ac:dyDescent="0.35">
      <c r="N7" s="32">
        <f>71575+307333</f>
        <v>378908</v>
      </c>
      <c r="R7" s="38" t="s">
        <v>87</v>
      </c>
      <c r="S7" s="37"/>
      <c r="T7" s="32">
        <v>35284444.237800002</v>
      </c>
    </row>
    <row r="8" spans="3:22" ht="157.5" customHeight="1" x14ac:dyDescent="0.35">
      <c r="K8" s="32">
        <v>93000</v>
      </c>
      <c r="N8" s="34" t="s">
        <v>88</v>
      </c>
      <c r="S8" s="39" t="s">
        <v>89</v>
      </c>
      <c r="T8" s="40"/>
    </row>
    <row r="9" spans="3:22" ht="15.75" customHeight="1" x14ac:dyDescent="0.35">
      <c r="M9" s="32">
        <v>55000</v>
      </c>
      <c r="N9" s="34"/>
      <c r="T9" s="40"/>
      <c r="U9" s="34" t="s">
        <v>90</v>
      </c>
      <c r="V9" s="32">
        <f>-Q4</f>
        <v>211736.3207649393</v>
      </c>
    </row>
    <row r="10" spans="3:22" ht="15.75" customHeight="1" x14ac:dyDescent="0.35">
      <c r="J10" s="32">
        <v>280000</v>
      </c>
      <c r="K10" s="34" t="s">
        <v>91</v>
      </c>
      <c r="L10" s="34"/>
      <c r="M10" s="34" t="s">
        <v>92</v>
      </c>
      <c r="N10" s="41" t="s">
        <v>93</v>
      </c>
      <c r="T10" s="40"/>
      <c r="U10" s="2" t="s">
        <v>94</v>
      </c>
    </row>
    <row r="11" spans="3:22" ht="15.75" customHeight="1" x14ac:dyDescent="0.35">
      <c r="H11" s="32">
        <v>46000</v>
      </c>
      <c r="I11" s="32">
        <v>11940</v>
      </c>
      <c r="J11" s="34" t="s">
        <v>95</v>
      </c>
      <c r="M11" s="42" t="s">
        <v>96</v>
      </c>
      <c r="N11" s="43" t="s">
        <v>97</v>
      </c>
      <c r="T11" s="40"/>
    </row>
    <row r="12" spans="3:22" ht="15.75" customHeight="1" x14ac:dyDescent="0.35">
      <c r="G12" s="32">
        <v>75000</v>
      </c>
      <c r="H12" s="34" t="s">
        <v>98</v>
      </c>
      <c r="I12" s="34" t="s">
        <v>99</v>
      </c>
      <c r="N12" s="43" t="s">
        <v>100</v>
      </c>
      <c r="T12" s="40"/>
      <c r="U12" s="34" t="s">
        <v>101</v>
      </c>
    </row>
    <row r="13" spans="3:22" ht="15.75" customHeight="1" x14ac:dyDescent="0.35">
      <c r="F13" s="32">
        <v>60000</v>
      </c>
      <c r="G13" s="34" t="s">
        <v>102</v>
      </c>
      <c r="H13" s="43" t="s">
        <v>103</v>
      </c>
      <c r="I13" s="43" t="s">
        <v>104</v>
      </c>
      <c r="N13" s="43" t="s">
        <v>105</v>
      </c>
      <c r="T13" s="40"/>
      <c r="U13" s="43" t="s">
        <v>106</v>
      </c>
      <c r="V13" s="32">
        <v>376073.91360000003</v>
      </c>
    </row>
    <row r="14" spans="3:22" ht="15.75" customHeight="1" x14ac:dyDescent="0.35">
      <c r="E14" s="32">
        <v>96664.1975427</v>
      </c>
      <c r="F14" s="34" t="s">
        <v>107</v>
      </c>
      <c r="H14" s="43" t="s">
        <v>108</v>
      </c>
      <c r="I14" s="43" t="s">
        <v>109</v>
      </c>
      <c r="N14" s="43" t="s">
        <v>105</v>
      </c>
      <c r="T14" s="40"/>
      <c r="U14" s="43" t="s">
        <v>110</v>
      </c>
      <c r="V14" s="32">
        <v>159024.45600000001</v>
      </c>
    </row>
    <row r="15" spans="3:22" ht="15.75" customHeight="1" x14ac:dyDescent="0.35">
      <c r="D15" s="32">
        <v>691851.84780000197</v>
      </c>
      <c r="E15" s="34" t="s">
        <v>111</v>
      </c>
      <c r="H15" s="43" t="s">
        <v>112</v>
      </c>
      <c r="I15" s="43" t="s">
        <v>113</v>
      </c>
      <c r="T15" s="40"/>
      <c r="U15" s="43" t="s">
        <v>114</v>
      </c>
      <c r="V15" s="32">
        <f>IUK!E23</f>
        <v>204500.89820159998</v>
      </c>
    </row>
    <row r="16" spans="3:22" ht="15.75" customHeight="1" x14ac:dyDescent="0.35">
      <c r="C16" s="32">
        <v>32944042.77</v>
      </c>
      <c r="D16" s="34" t="s">
        <v>115</v>
      </c>
      <c r="H16" s="43" t="s">
        <v>113</v>
      </c>
      <c r="I16" s="43" t="s">
        <v>112</v>
      </c>
      <c r="T16" s="40"/>
      <c r="U16" s="43" t="s">
        <v>116</v>
      </c>
      <c r="V16" s="32">
        <f>UMI!E23</f>
        <v>78372.645361919989</v>
      </c>
    </row>
    <row r="17" spans="3:22" ht="15.75" customHeight="1" x14ac:dyDescent="0.35">
      <c r="C17" s="44"/>
      <c r="H17" s="43" t="s">
        <v>117</v>
      </c>
      <c r="I17" s="43" t="s">
        <v>114</v>
      </c>
      <c r="T17" s="45"/>
      <c r="U17" s="43" t="s">
        <v>118</v>
      </c>
      <c r="V17" s="32">
        <f>NORWAY!E23</f>
        <v>33658.822753919994</v>
      </c>
    </row>
    <row r="18" spans="3:22" ht="15.75" customHeight="1" x14ac:dyDescent="0.35">
      <c r="C18" s="44"/>
      <c r="H18" s="43" t="s">
        <v>117</v>
      </c>
      <c r="I18" s="43" t="s">
        <v>117</v>
      </c>
      <c r="T18" s="45"/>
      <c r="U18" s="43" t="s">
        <v>119</v>
      </c>
      <c r="V18" s="32">
        <f>SWEDEN!E23</f>
        <v>37721.452204799993</v>
      </c>
    </row>
    <row r="19" spans="3:22" ht="15.75" customHeight="1" x14ac:dyDescent="0.35">
      <c r="C19" s="44"/>
      <c r="H19" s="43" t="s">
        <v>117</v>
      </c>
      <c r="I19" s="43" t="s">
        <v>117</v>
      </c>
      <c r="T19" s="45"/>
      <c r="U19" s="43" t="s">
        <v>120</v>
      </c>
      <c r="V19" s="32">
        <f>HUNGARY!E23</f>
        <v>16565.900682239997</v>
      </c>
    </row>
    <row r="20" spans="3:22" ht="15.75" customHeight="1" x14ac:dyDescent="0.35">
      <c r="C20" s="44"/>
      <c r="T20" s="45"/>
      <c r="U20" s="43" t="s">
        <v>121</v>
      </c>
      <c r="V20" s="32">
        <f>FINLAND!E23</f>
        <v>5427.9053337599989</v>
      </c>
    </row>
    <row r="21" spans="3:22" ht="15.75" customHeight="1" x14ac:dyDescent="0.35">
      <c r="C21" s="44"/>
      <c r="T21" s="45"/>
      <c r="U21" s="43" t="s">
        <v>122</v>
      </c>
      <c r="V21" s="32">
        <f>ROMANIA!E23</f>
        <v>5017.0776364799995</v>
      </c>
    </row>
    <row r="22" spans="3:22" ht="15.75" customHeight="1" x14ac:dyDescent="0.35">
      <c r="C22" s="44"/>
      <c r="T22" s="45"/>
      <c r="U22" s="43" t="s">
        <v>123</v>
      </c>
      <c r="V22" s="32">
        <f>DENMARK!E23</f>
        <v>3917.3873356799995</v>
      </c>
    </row>
    <row r="23" spans="3:22" ht="15.75" customHeight="1" x14ac:dyDescent="0.35">
      <c r="C23" s="44"/>
      <c r="T23" s="45"/>
      <c r="U23" s="43" t="s">
        <v>124</v>
      </c>
      <c r="V23" s="32">
        <f>ICELAND!E23</f>
        <v>1821.7511020799998</v>
      </c>
    </row>
    <row r="24" spans="3:22" ht="15.75" customHeight="1" x14ac:dyDescent="0.35">
      <c r="C24" s="44"/>
      <c r="T24" s="45"/>
      <c r="U24" s="43" t="s">
        <v>125</v>
      </c>
      <c r="V24" s="32">
        <f>GERMANY!E29</f>
        <v>72132.388151039995</v>
      </c>
    </row>
    <row r="25" spans="3:22" ht="15.75" customHeight="1" x14ac:dyDescent="0.35">
      <c r="C25" s="46" t="s">
        <v>126</v>
      </c>
      <c r="T25" s="47" t="s">
        <v>127</v>
      </c>
      <c r="U25" s="43" t="s">
        <v>128</v>
      </c>
      <c r="V25" s="32">
        <f>BELGIUM!E29</f>
        <v>43556.17489776</v>
      </c>
    </row>
    <row r="26" spans="3:22" ht="15.75" customHeight="1" x14ac:dyDescent="0.35">
      <c r="U26" s="43" t="s">
        <v>129</v>
      </c>
      <c r="V26" s="32">
        <f>PORTUGAL!E29</f>
        <v>65029.859687519995</v>
      </c>
    </row>
    <row r="27" spans="3:22" ht="15.75" customHeight="1" x14ac:dyDescent="0.35">
      <c r="U27" s="43" t="s">
        <v>130</v>
      </c>
      <c r="V27" s="32">
        <f>IRELAND!E29</f>
        <v>22185.915716160001</v>
      </c>
    </row>
    <row r="28" spans="3:22" ht="15.75" customHeight="1" x14ac:dyDescent="0.35">
      <c r="U28" s="43" t="s">
        <v>131</v>
      </c>
      <c r="V28" s="32">
        <f>GREECE!E29</f>
        <v>18394.627517279998</v>
      </c>
    </row>
    <row r="29" spans="3:22" ht="15.75" customHeight="1" x14ac:dyDescent="0.35">
      <c r="U29" s="43" t="s">
        <v>132</v>
      </c>
      <c r="V29" s="32">
        <f>CYPRUS!E29</f>
        <v>13222.112077439999</v>
      </c>
    </row>
    <row r="30" spans="3:22" ht="15.75" customHeight="1" x14ac:dyDescent="0.35">
      <c r="U30" s="43" t="s">
        <v>133</v>
      </c>
      <c r="V30" s="32">
        <f>MALTA!E29</f>
        <v>7150.4549625599993</v>
      </c>
    </row>
    <row r="31" spans="3:22" ht="15.75" customHeight="1" x14ac:dyDescent="0.35">
      <c r="U31" s="34" t="s">
        <v>134</v>
      </c>
      <c r="V31" s="32">
        <f>SUM(V13:V30)</f>
        <v>1163773.7432222399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showGridLines="0" topLeftCell="A3" zoomScaleNormal="100" workbookViewId="0">
      <selection activeCell="E32" sqref="E32"/>
    </sheetView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135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141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32</v>
      </c>
      <c r="C9" s="51">
        <v>48876</v>
      </c>
      <c r="D9" s="51">
        <v>47783</v>
      </c>
      <c r="E9" s="51">
        <v>49280</v>
      </c>
    </row>
    <row r="10" spans="1:10" ht="14.25" customHeight="1" x14ac:dyDescent="0.35">
      <c r="A10" t="s">
        <v>145</v>
      </c>
      <c r="C10" s="10">
        <f>C9</f>
        <v>48876</v>
      </c>
      <c r="D10" s="10">
        <f>D9</f>
        <v>47783</v>
      </c>
      <c r="E10" s="10">
        <f>E9</f>
        <v>49280</v>
      </c>
    </row>
    <row r="11" spans="1:10" ht="14.25" customHeight="1" x14ac:dyDescent="0.35">
      <c r="A11" s="2" t="s">
        <v>146</v>
      </c>
    </row>
    <row r="13" spans="1:10" ht="14.25" customHeight="1" x14ac:dyDescent="0.35">
      <c r="A13" s="31" t="s">
        <v>147</v>
      </c>
      <c r="C13" s="52" t="s">
        <v>148</v>
      </c>
      <c r="D13" s="52" t="s">
        <v>149</v>
      </c>
      <c r="E13" s="52" t="s">
        <v>150</v>
      </c>
      <c r="F13" s="52" t="s">
        <v>151</v>
      </c>
    </row>
    <row r="14" spans="1:10" ht="14.25" customHeight="1" x14ac:dyDescent="0.35">
      <c r="A14" t="s">
        <v>152</v>
      </c>
      <c r="B14" s="53">
        <v>291.2</v>
      </c>
      <c r="C14" s="54">
        <f>B14*$J$6</f>
        <v>337.79199999999997</v>
      </c>
      <c r="D14" s="54">
        <f>C14*0.65</f>
        <v>219.56479999999999</v>
      </c>
      <c r="E14" s="55">
        <f>D14*1.05</f>
        <v>230.54303999999999</v>
      </c>
      <c r="F14" s="54">
        <f>E14*1.03</f>
        <v>237.45933120000001</v>
      </c>
    </row>
    <row r="15" spans="1:10" ht="14.25" customHeight="1" x14ac:dyDescent="0.35">
      <c r="A15" s="2" t="s">
        <v>153</v>
      </c>
    </row>
    <row r="17" spans="1:6" ht="14.25" customHeight="1" x14ac:dyDescent="0.35">
      <c r="A17" s="31" t="s">
        <v>154</v>
      </c>
    </row>
    <row r="18" spans="1:6" ht="26.25" customHeight="1" x14ac:dyDescent="0.35">
      <c r="C18" s="4" t="s">
        <v>142</v>
      </c>
      <c r="D18" s="4" t="s">
        <v>143</v>
      </c>
      <c r="E18" s="4" t="s">
        <v>144</v>
      </c>
    </row>
    <row r="19" spans="1:6" ht="14.25" customHeight="1" x14ac:dyDescent="0.35">
      <c r="A19" t="s">
        <v>155</v>
      </c>
      <c r="C19" s="10">
        <f>C9*$D$14</f>
        <v>10731449.164799999</v>
      </c>
      <c r="D19" s="10">
        <f>D9*$D$14</f>
        <v>10491464.838399999</v>
      </c>
      <c r="E19" s="10">
        <f>E9*$E$14</f>
        <v>11361161.0112</v>
      </c>
    </row>
    <row r="20" spans="1:6" ht="14.25" customHeight="1" x14ac:dyDescent="0.35">
      <c r="A20" t="s">
        <v>156</v>
      </c>
      <c r="C20" s="56">
        <v>7314795.2443253202</v>
      </c>
      <c r="D20" s="56">
        <v>5981960.4715039702</v>
      </c>
      <c r="E20" s="56">
        <v>6062956.4900000002</v>
      </c>
      <c r="F20" s="2" t="s">
        <v>157</v>
      </c>
    </row>
    <row r="21" spans="1:6" ht="14.25" customHeight="1" x14ac:dyDescent="0.35">
      <c r="A21" t="s">
        <v>158</v>
      </c>
      <c r="C21" s="29">
        <f>C20/C19</f>
        <v>0.6816223169857083</v>
      </c>
      <c r="D21" s="29">
        <f>D20/D19</f>
        <v>0.57017399987933903</v>
      </c>
      <c r="E21" s="29">
        <f>E20/E19</f>
        <v>0.53365641803888253</v>
      </c>
    </row>
    <row r="22" spans="1:6" ht="14.25" customHeight="1" x14ac:dyDescent="0.35">
      <c r="A22" t="s">
        <v>159</v>
      </c>
      <c r="C22" s="57">
        <v>0</v>
      </c>
      <c r="D22" s="57">
        <v>0</v>
      </c>
      <c r="E22" s="57">
        <v>1.7999999999999999E-2</v>
      </c>
    </row>
    <row r="23" spans="1:6" ht="14.25" customHeight="1" x14ac:dyDescent="0.35">
      <c r="A23" t="s">
        <v>160</v>
      </c>
      <c r="C23" s="10">
        <f>C19*C22</f>
        <v>0</v>
      </c>
      <c r="D23" s="10">
        <f>D19*D22</f>
        <v>0</v>
      </c>
      <c r="E23" s="30">
        <f>E19*E22</f>
        <v>204500.89820159998</v>
      </c>
    </row>
    <row r="24" spans="1:6" ht="14.25" customHeight="1" x14ac:dyDescent="0.35">
      <c r="A24" s="9" t="s">
        <v>161</v>
      </c>
      <c r="C24" s="13">
        <f>C20+C23</f>
        <v>7314795.2443253202</v>
      </c>
      <c r="D24" s="13">
        <f>D20+D23</f>
        <v>5981960.4715039702</v>
      </c>
      <c r="E24" s="22">
        <f>E20+E23</f>
        <v>6267457.3882015999</v>
      </c>
    </row>
    <row r="25" spans="1:6" ht="14.25" customHeight="1" x14ac:dyDescent="0.35">
      <c r="A25" t="s">
        <v>162</v>
      </c>
      <c r="C25" s="11">
        <f>C24/C19</f>
        <v>0.6816223169857083</v>
      </c>
      <c r="D25" s="11">
        <f>D24/D19</f>
        <v>0.57017399987933903</v>
      </c>
      <c r="E25" s="11">
        <f>E24/E19</f>
        <v>0.55165641803888255</v>
      </c>
    </row>
    <row r="26" spans="1:6" ht="14.25" customHeight="1" x14ac:dyDescent="0.35">
      <c r="A26" s="2" t="s">
        <v>163</v>
      </c>
    </row>
    <row r="28" spans="1:6" ht="14.25" customHeight="1" x14ac:dyDescent="0.35">
      <c r="A28" s="58" t="s">
        <v>164</v>
      </c>
    </row>
    <row r="29" spans="1:6" ht="26.25" customHeight="1" x14ac:dyDescent="0.35">
      <c r="C29" s="4" t="s">
        <v>142</v>
      </c>
      <c r="D29" s="4" t="s">
        <v>143</v>
      </c>
      <c r="E29" s="4" t="s">
        <v>144</v>
      </c>
    </row>
    <row r="30" spans="1:6" ht="14.25" customHeight="1" x14ac:dyDescent="0.35">
      <c r="A30" t="s">
        <v>165</v>
      </c>
      <c r="C30" s="56">
        <v>18843292.940000001</v>
      </c>
      <c r="D30" s="56">
        <v>21418279</v>
      </c>
      <c r="F30" s="2" t="s">
        <v>166</v>
      </c>
    </row>
    <row r="31" spans="1:6" ht="14.25" customHeight="1" x14ac:dyDescent="0.35">
      <c r="A31" t="s">
        <v>167</v>
      </c>
      <c r="B31" s="59">
        <v>0.35</v>
      </c>
      <c r="C31" s="60"/>
      <c r="D31" s="60"/>
    </row>
    <row r="32" spans="1:6" ht="14.25" customHeight="1" x14ac:dyDescent="0.35">
      <c r="A32" t="s">
        <v>168</v>
      </c>
      <c r="E32" s="61">
        <f>-E23/(B31-1)</f>
        <v>314616.76646399999</v>
      </c>
    </row>
    <row r="33" spans="1:5" ht="14.25" customHeight="1" x14ac:dyDescent="0.35">
      <c r="A33" s="9" t="s">
        <v>169</v>
      </c>
      <c r="E33" s="62">
        <f>IF(OR(D30="",D30="no KPI data"),"no KPI data",D30+E32)</f>
        <v>21732895.766463999</v>
      </c>
    </row>
    <row r="34" spans="1:5" ht="42" customHeight="1" x14ac:dyDescent="0.35">
      <c r="A34" s="63" t="s">
        <v>170</v>
      </c>
    </row>
    <row r="37" spans="1:5" ht="14.25" customHeight="1" x14ac:dyDescent="0.35">
      <c r="A37" s="31" t="s">
        <v>171</v>
      </c>
    </row>
    <row r="38" spans="1:5" ht="33.75" customHeight="1" x14ac:dyDescent="0.35">
      <c r="A38" s="14" t="s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9"/>
  <sheetViews>
    <sheetView showGridLines="0" zoomScaleNormal="100" workbookViewId="0"/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173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174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32</v>
      </c>
      <c r="C9" s="51">
        <v>18349</v>
      </c>
      <c r="D9" s="51">
        <v>18542</v>
      </c>
      <c r="E9" s="51">
        <v>18886</v>
      </c>
    </row>
    <row r="10" spans="1:10" ht="14.25" customHeight="1" x14ac:dyDescent="0.35">
      <c r="A10" t="s">
        <v>145</v>
      </c>
      <c r="C10" s="10">
        <f>C9</f>
        <v>18349</v>
      </c>
      <c r="D10" s="10">
        <f>D9</f>
        <v>18542</v>
      </c>
      <c r="E10" s="10">
        <f>E9</f>
        <v>18886</v>
      </c>
    </row>
    <row r="11" spans="1:10" ht="14.25" customHeight="1" x14ac:dyDescent="0.35">
      <c r="A11" s="2" t="s">
        <v>175</v>
      </c>
    </row>
    <row r="13" spans="1:10" ht="14.25" customHeight="1" x14ac:dyDescent="0.35">
      <c r="A13" s="31" t="s">
        <v>147</v>
      </c>
      <c r="C13" s="52" t="s">
        <v>148</v>
      </c>
      <c r="D13" s="52" t="s">
        <v>149</v>
      </c>
      <c r="E13" s="52" t="s">
        <v>150</v>
      </c>
      <c r="F13" s="52" t="s">
        <v>151</v>
      </c>
    </row>
    <row r="14" spans="1:10" ht="14.25" customHeight="1" x14ac:dyDescent="0.35">
      <c r="A14" t="s">
        <v>152</v>
      </c>
      <c r="B14" s="53">
        <v>291.2</v>
      </c>
      <c r="C14" s="54">
        <f>B14*$J$6</f>
        <v>337.79199999999997</v>
      </c>
      <c r="D14" s="54">
        <f>C14*0.65</f>
        <v>219.56479999999999</v>
      </c>
      <c r="E14" s="55">
        <f>D14*1.05</f>
        <v>230.54303999999999</v>
      </c>
      <c r="F14" s="54">
        <f>E14*1.03</f>
        <v>237.45933120000001</v>
      </c>
    </row>
    <row r="15" spans="1:10" ht="14.25" customHeight="1" x14ac:dyDescent="0.35">
      <c r="A15" s="2" t="s">
        <v>153</v>
      </c>
    </row>
    <row r="17" spans="1:6" ht="14.25" customHeight="1" x14ac:dyDescent="0.35">
      <c r="A17" s="31" t="s">
        <v>176</v>
      </c>
    </row>
    <row r="18" spans="1:6" ht="26.25" customHeight="1" x14ac:dyDescent="0.35">
      <c r="C18" s="4" t="s">
        <v>142</v>
      </c>
      <c r="D18" s="4" t="s">
        <v>143</v>
      </c>
      <c r="E18" s="4" t="s">
        <v>144</v>
      </c>
    </row>
    <row r="19" spans="1:6" ht="14.25" customHeight="1" x14ac:dyDescent="0.35">
      <c r="A19" t="s">
        <v>155</v>
      </c>
      <c r="C19" s="10">
        <f>C9*$D$14</f>
        <v>4028794.5151999998</v>
      </c>
      <c r="D19" s="10">
        <f>D9*$D$14</f>
        <v>4071170.5215999996</v>
      </c>
      <c r="E19" s="10">
        <f>E9*$E$14</f>
        <v>4354035.8534399997</v>
      </c>
    </row>
    <row r="20" spans="1:6" ht="14.25" customHeight="1" x14ac:dyDescent="0.35">
      <c r="A20" t="s">
        <v>156</v>
      </c>
      <c r="C20" s="56">
        <v>2739215.6979728299</v>
      </c>
      <c r="D20" s="56">
        <v>2445335.24185471</v>
      </c>
      <c r="E20" s="56">
        <v>2973279.33</v>
      </c>
      <c r="F20" s="2" t="s">
        <v>157</v>
      </c>
    </row>
    <row r="21" spans="1:6" ht="14.25" customHeight="1" x14ac:dyDescent="0.35">
      <c r="A21" t="s">
        <v>158</v>
      </c>
      <c r="C21" s="29">
        <f>C20/C19</f>
        <v>0.67990950832518404</v>
      </c>
      <c r="D21" s="29">
        <f>D20/D19</f>
        <v>0.60064672527980367</v>
      </c>
      <c r="E21" s="29">
        <f>E20/E19</f>
        <v>0.68287892660573679</v>
      </c>
    </row>
    <row r="22" spans="1:6" ht="14.25" customHeight="1" x14ac:dyDescent="0.35">
      <c r="A22" t="s">
        <v>159</v>
      </c>
      <c r="C22" s="57">
        <v>0</v>
      </c>
      <c r="D22" s="57">
        <v>0</v>
      </c>
      <c r="E22" s="57">
        <v>1.7999999999999999E-2</v>
      </c>
    </row>
    <row r="23" spans="1:6" ht="14.25" customHeight="1" x14ac:dyDescent="0.35">
      <c r="A23" t="s">
        <v>160</v>
      </c>
      <c r="C23" s="10">
        <f>C19*C22</f>
        <v>0</v>
      </c>
      <c r="D23" s="10">
        <f>D19*D22</f>
        <v>0</v>
      </c>
      <c r="E23" s="30">
        <f>E19*E22</f>
        <v>78372.645361919989</v>
      </c>
    </row>
    <row r="24" spans="1:6" ht="14.25" customHeight="1" x14ac:dyDescent="0.35">
      <c r="A24" s="9" t="s">
        <v>161</v>
      </c>
      <c r="C24" s="13">
        <f>C20+C23</f>
        <v>2739215.6979728299</v>
      </c>
      <c r="D24" s="13">
        <f>D20+D23</f>
        <v>2445335.24185471</v>
      </c>
      <c r="E24" s="22">
        <f>E20+E23</f>
        <v>3051651.97536192</v>
      </c>
    </row>
    <row r="25" spans="1:6" ht="14.25" customHeight="1" x14ac:dyDescent="0.35">
      <c r="A25" t="s">
        <v>162</v>
      </c>
      <c r="C25" s="11">
        <f>C24/C19</f>
        <v>0.67990950832518404</v>
      </c>
      <c r="D25" s="11">
        <f>D24/D19</f>
        <v>0.60064672527980367</v>
      </c>
      <c r="E25" s="11">
        <f>E24/E19</f>
        <v>0.70087892660573681</v>
      </c>
    </row>
    <row r="26" spans="1:6" ht="14.25" customHeight="1" x14ac:dyDescent="0.35">
      <c r="A26" s="2" t="s">
        <v>177</v>
      </c>
    </row>
    <row r="28" spans="1:6" ht="14.25" customHeight="1" x14ac:dyDescent="0.35">
      <c r="A28" s="58" t="s">
        <v>178</v>
      </c>
    </row>
    <row r="29" spans="1:6" ht="26.25" customHeight="1" x14ac:dyDescent="0.35">
      <c r="C29" s="4" t="s">
        <v>142</v>
      </c>
      <c r="D29" s="4" t="s">
        <v>143</v>
      </c>
      <c r="E29" s="4" t="s">
        <v>144</v>
      </c>
    </row>
    <row r="30" spans="1:6" ht="14.25" customHeight="1" x14ac:dyDescent="0.35">
      <c r="A30" t="s">
        <v>165</v>
      </c>
      <c r="C30" s="56"/>
      <c r="D30" s="56"/>
      <c r="F30" s="64" t="s">
        <v>179</v>
      </c>
    </row>
    <row r="31" spans="1:6" ht="14.25" customHeight="1" x14ac:dyDescent="0.35">
      <c r="A31" t="s">
        <v>167</v>
      </c>
      <c r="B31" s="59">
        <v>0.35</v>
      </c>
      <c r="C31" s="60"/>
      <c r="D31" s="60"/>
    </row>
    <row r="32" spans="1:6" ht="14.25" customHeight="1" x14ac:dyDescent="0.35">
      <c r="A32" t="s">
        <v>168</v>
      </c>
      <c r="E32" s="61">
        <f>-E23/(B31-1)</f>
        <v>120573.30055679998</v>
      </c>
    </row>
    <row r="33" spans="1:5" ht="14.25" customHeight="1" x14ac:dyDescent="0.35">
      <c r="A33" s="9" t="s">
        <v>169</v>
      </c>
      <c r="E33" s="62" t="str">
        <f>IF(OR(D30="",D30="no KPI data"),"no KPI data",D30+E32)</f>
        <v>no KPI data</v>
      </c>
    </row>
    <row r="34" spans="1:5" ht="42" customHeight="1" x14ac:dyDescent="0.35">
      <c r="A34" s="63" t="s">
        <v>170</v>
      </c>
    </row>
    <row r="37" spans="1:5" ht="14.25" customHeight="1" x14ac:dyDescent="0.35">
      <c r="A37" s="31" t="s">
        <v>171</v>
      </c>
    </row>
    <row r="38" spans="1:5" ht="33.75" customHeight="1" x14ac:dyDescent="0.35">
      <c r="A38" s="14" t="s">
        <v>172</v>
      </c>
    </row>
    <row r="39" spans="1:5" ht="22.5" customHeight="1" x14ac:dyDescent="0.35">
      <c r="A39" s="14" t="s">
        <v>180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showGridLines="0" zoomScaleNormal="100" workbookViewId="0"/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181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182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32</v>
      </c>
      <c r="C9" s="51">
        <v>8237</v>
      </c>
      <c r="D9" s="51">
        <v>7929</v>
      </c>
      <c r="E9" s="51">
        <v>8111</v>
      </c>
    </row>
    <row r="10" spans="1:10" ht="14.25" customHeight="1" x14ac:dyDescent="0.35">
      <c r="A10" t="s">
        <v>145</v>
      </c>
      <c r="C10" s="10">
        <f>C9</f>
        <v>8237</v>
      </c>
      <c r="D10" s="10">
        <f>D9</f>
        <v>7929</v>
      </c>
      <c r="E10" s="10">
        <f>E9</f>
        <v>8111</v>
      </c>
    </row>
    <row r="11" spans="1:10" ht="14.25" customHeight="1" x14ac:dyDescent="0.35">
      <c r="A11" s="2" t="s">
        <v>183</v>
      </c>
    </row>
    <row r="13" spans="1:10" ht="14.25" customHeight="1" x14ac:dyDescent="0.35">
      <c r="A13" s="31" t="s">
        <v>147</v>
      </c>
      <c r="C13" s="52" t="s">
        <v>148</v>
      </c>
      <c r="D13" s="52" t="s">
        <v>149</v>
      </c>
      <c r="E13" s="52" t="s">
        <v>150</v>
      </c>
      <c r="F13" s="52" t="s">
        <v>151</v>
      </c>
    </row>
    <row r="14" spans="1:10" ht="14.25" customHeight="1" x14ac:dyDescent="0.35">
      <c r="A14" t="s">
        <v>152</v>
      </c>
      <c r="B14" s="53">
        <v>291.2</v>
      </c>
      <c r="C14" s="54">
        <f>B14*$J$6</f>
        <v>337.79199999999997</v>
      </c>
      <c r="D14" s="54">
        <f>C14*0.65</f>
        <v>219.56479999999999</v>
      </c>
      <c r="E14" s="55">
        <f>D14*1.05</f>
        <v>230.54303999999999</v>
      </c>
      <c r="F14" s="54">
        <f>E14*1.03</f>
        <v>237.45933120000001</v>
      </c>
    </row>
    <row r="15" spans="1:10" ht="14.25" customHeight="1" x14ac:dyDescent="0.35">
      <c r="A15" s="2" t="s">
        <v>153</v>
      </c>
    </row>
    <row r="17" spans="1:6" ht="14.25" customHeight="1" x14ac:dyDescent="0.35">
      <c r="A17" s="31" t="s">
        <v>184</v>
      </c>
    </row>
    <row r="18" spans="1:6" ht="26.25" customHeight="1" x14ac:dyDescent="0.35">
      <c r="C18" s="4" t="s">
        <v>142</v>
      </c>
      <c r="D18" s="4" t="s">
        <v>143</v>
      </c>
      <c r="E18" s="4" t="s">
        <v>144</v>
      </c>
    </row>
    <row r="19" spans="1:6" ht="14.25" customHeight="1" x14ac:dyDescent="0.35">
      <c r="A19" t="s">
        <v>155</v>
      </c>
      <c r="C19" s="10">
        <f>C9*$D$14</f>
        <v>1808555.2575999999</v>
      </c>
      <c r="D19" s="10">
        <f>D9*$D$14</f>
        <v>1740929.2992</v>
      </c>
      <c r="E19" s="10">
        <f>E9*$E$14</f>
        <v>1869934.5974399999</v>
      </c>
    </row>
    <row r="20" spans="1:6" ht="14.25" customHeight="1" x14ac:dyDescent="0.35">
      <c r="A20" t="s">
        <v>156</v>
      </c>
      <c r="C20" s="56">
        <v>1162750.6663480599</v>
      </c>
      <c r="D20" s="56">
        <v>1471434.2149578901</v>
      </c>
      <c r="E20" s="56">
        <v>1764799.75</v>
      </c>
      <c r="F20" s="2" t="s">
        <v>157</v>
      </c>
    </row>
    <row r="21" spans="1:6" ht="14.25" customHeight="1" x14ac:dyDescent="0.35">
      <c r="A21" t="s">
        <v>158</v>
      </c>
      <c r="C21" s="29">
        <f>C20/C19</f>
        <v>0.64291685944451615</v>
      </c>
      <c r="D21" s="29">
        <f>D20/D19</f>
        <v>0.84520044302433794</v>
      </c>
      <c r="E21" s="29">
        <f>E20/E19</f>
        <v>0.94377619004219027</v>
      </c>
    </row>
    <row r="22" spans="1:6" ht="14.25" customHeight="1" x14ac:dyDescent="0.35">
      <c r="A22" t="s">
        <v>159</v>
      </c>
      <c r="C22" s="57">
        <v>0</v>
      </c>
      <c r="D22" s="57">
        <v>0</v>
      </c>
      <c r="E22" s="57">
        <v>1.7999999999999999E-2</v>
      </c>
    </row>
    <row r="23" spans="1:6" ht="14.25" customHeight="1" x14ac:dyDescent="0.35">
      <c r="A23" t="s">
        <v>160</v>
      </c>
      <c r="C23" s="10">
        <f>C19*C22</f>
        <v>0</v>
      </c>
      <c r="D23" s="10">
        <f>D19*D22</f>
        <v>0</v>
      </c>
      <c r="E23" s="30">
        <f>E19*E22</f>
        <v>33658.822753919994</v>
      </c>
    </row>
    <row r="24" spans="1:6" ht="14.25" customHeight="1" x14ac:dyDescent="0.35">
      <c r="A24" s="9" t="s">
        <v>161</v>
      </c>
      <c r="C24" s="13">
        <f>C20+C23</f>
        <v>1162750.6663480599</v>
      </c>
      <c r="D24" s="13">
        <f>D20+D23</f>
        <v>1471434.2149578901</v>
      </c>
      <c r="E24" s="22">
        <f>E20+E23</f>
        <v>1798458.57275392</v>
      </c>
    </row>
    <row r="25" spans="1:6" ht="14.25" customHeight="1" x14ac:dyDescent="0.35">
      <c r="A25" t="s">
        <v>162</v>
      </c>
      <c r="C25" s="11">
        <f>C24/C19</f>
        <v>0.64291685944451615</v>
      </c>
      <c r="D25" s="11">
        <f>D24/D19</f>
        <v>0.84520044302433794</v>
      </c>
      <c r="E25" s="11">
        <f>E24/E19</f>
        <v>0.96177619004219028</v>
      </c>
    </row>
    <row r="26" spans="1:6" ht="14.25" customHeight="1" x14ac:dyDescent="0.35">
      <c r="A26" s="2" t="s">
        <v>185</v>
      </c>
    </row>
    <row r="28" spans="1:6" ht="14.25" customHeight="1" x14ac:dyDescent="0.35">
      <c r="A28" s="58" t="s">
        <v>186</v>
      </c>
    </row>
    <row r="29" spans="1:6" ht="26.25" customHeight="1" x14ac:dyDescent="0.35">
      <c r="C29" s="4" t="s">
        <v>142</v>
      </c>
      <c r="D29" s="4" t="s">
        <v>143</v>
      </c>
      <c r="E29" s="4" t="s">
        <v>144</v>
      </c>
    </row>
    <row r="30" spans="1:6" ht="14.25" customHeight="1" x14ac:dyDescent="0.35">
      <c r="A30" t="s">
        <v>165</v>
      </c>
      <c r="C30" s="56">
        <v>3367988</v>
      </c>
      <c r="D30" s="56">
        <v>4811395</v>
      </c>
      <c r="F30" s="64" t="s">
        <v>187</v>
      </c>
    </row>
    <row r="31" spans="1:6" ht="14.25" customHeight="1" x14ac:dyDescent="0.35">
      <c r="A31" t="s">
        <v>167</v>
      </c>
      <c r="B31" s="59">
        <v>0.35</v>
      </c>
      <c r="C31" s="60"/>
      <c r="D31" s="60"/>
    </row>
    <row r="32" spans="1:6" ht="14.25" customHeight="1" x14ac:dyDescent="0.35">
      <c r="A32" t="s">
        <v>168</v>
      </c>
      <c r="E32" s="61">
        <f>-E23/(B31-1)</f>
        <v>51782.804236799988</v>
      </c>
    </row>
    <row r="33" spans="1:5" ht="14.25" customHeight="1" x14ac:dyDescent="0.35">
      <c r="A33" s="9" t="s">
        <v>169</v>
      </c>
      <c r="E33" s="62">
        <f>IF(OR(D30="",D30="no KPI data"),"no KPI data",D30+E32)</f>
        <v>4863177.8042368004</v>
      </c>
    </row>
    <row r="34" spans="1:5" ht="42" customHeight="1" x14ac:dyDescent="0.35">
      <c r="A34" s="63" t="s">
        <v>170</v>
      </c>
    </row>
    <row r="37" spans="1:5" ht="14.25" customHeight="1" x14ac:dyDescent="0.35">
      <c r="A37" s="31" t="s">
        <v>171</v>
      </c>
    </row>
    <row r="38" spans="1:5" ht="33.75" customHeight="1" x14ac:dyDescent="0.35">
      <c r="A38" s="14" t="s">
        <v>172</v>
      </c>
    </row>
    <row r="39" spans="1:5" ht="33.75" customHeight="1" x14ac:dyDescent="0.35">
      <c r="A39" s="14" t="s">
        <v>188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"/>
  <sheetViews>
    <sheetView showGridLines="0" zoomScaleNormal="100" workbookViewId="0"/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189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190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32</v>
      </c>
      <c r="C9" s="51">
        <v>7221</v>
      </c>
      <c r="D9" s="51">
        <v>8443</v>
      </c>
      <c r="E9" s="51">
        <v>9090</v>
      </c>
    </row>
    <row r="10" spans="1:10" ht="14.25" customHeight="1" x14ac:dyDescent="0.35">
      <c r="A10" t="s">
        <v>145</v>
      </c>
      <c r="C10" s="10">
        <f>C9</f>
        <v>7221</v>
      </c>
      <c r="D10" s="10">
        <f>D9</f>
        <v>8443</v>
      </c>
      <c r="E10" s="10">
        <f>E9</f>
        <v>9090</v>
      </c>
    </row>
    <row r="11" spans="1:10" ht="14.25" customHeight="1" x14ac:dyDescent="0.35">
      <c r="A11" s="2" t="s">
        <v>191</v>
      </c>
    </row>
    <row r="13" spans="1:10" ht="14.25" customHeight="1" x14ac:dyDescent="0.35">
      <c r="A13" s="31" t="s">
        <v>147</v>
      </c>
      <c r="C13" s="52" t="s">
        <v>148</v>
      </c>
      <c r="D13" s="52" t="s">
        <v>149</v>
      </c>
      <c r="E13" s="52" t="s">
        <v>150</v>
      </c>
      <c r="F13" s="52" t="s">
        <v>151</v>
      </c>
    </row>
    <row r="14" spans="1:10" ht="14.25" customHeight="1" x14ac:dyDescent="0.35">
      <c r="A14" t="s">
        <v>152</v>
      </c>
      <c r="B14" s="53">
        <v>291.2</v>
      </c>
      <c r="C14" s="54">
        <f>B14*$J$6</f>
        <v>337.79199999999997</v>
      </c>
      <c r="D14" s="54">
        <f>C14*0.65</f>
        <v>219.56479999999999</v>
      </c>
      <c r="E14" s="55">
        <f>D14*1.05</f>
        <v>230.54303999999999</v>
      </c>
      <c r="F14" s="54">
        <f>E14*1.03</f>
        <v>237.45933120000001</v>
      </c>
    </row>
    <row r="15" spans="1:10" ht="14.25" customHeight="1" x14ac:dyDescent="0.35">
      <c r="A15" s="2" t="s">
        <v>153</v>
      </c>
    </row>
    <row r="17" spans="1:6" ht="14.25" customHeight="1" x14ac:dyDescent="0.35">
      <c r="A17" s="31" t="s">
        <v>192</v>
      </c>
    </row>
    <row r="18" spans="1:6" ht="26.25" customHeight="1" x14ac:dyDescent="0.35">
      <c r="C18" s="4" t="s">
        <v>142</v>
      </c>
      <c r="D18" s="4" t="s">
        <v>143</v>
      </c>
      <c r="E18" s="4" t="s">
        <v>144</v>
      </c>
    </row>
    <row r="19" spans="1:6" ht="14.25" customHeight="1" x14ac:dyDescent="0.35">
      <c r="A19" t="s">
        <v>155</v>
      </c>
      <c r="C19" s="10">
        <f>C9*$D$14</f>
        <v>1585477.4208</v>
      </c>
      <c r="D19" s="10">
        <f>D9*$D$14</f>
        <v>1853785.6063999999</v>
      </c>
      <c r="E19" s="10">
        <f>E9*$E$14</f>
        <v>2095636.2335999999</v>
      </c>
    </row>
    <row r="20" spans="1:6" ht="14.25" customHeight="1" x14ac:dyDescent="0.35">
      <c r="A20" t="s">
        <v>156</v>
      </c>
      <c r="C20" s="56">
        <v>1216815.8050826499</v>
      </c>
      <c r="D20" s="56">
        <v>1299460.60942907</v>
      </c>
      <c r="E20" s="56">
        <v>1464302.33</v>
      </c>
      <c r="F20" s="2" t="s">
        <v>157</v>
      </c>
    </row>
    <row r="21" spans="1:6" ht="14.25" customHeight="1" x14ac:dyDescent="0.35">
      <c r="A21" t="s">
        <v>158</v>
      </c>
      <c r="C21" s="29">
        <f>C20/C19</f>
        <v>0.76747595968201754</v>
      </c>
      <c r="D21" s="29">
        <f>D20/D19</f>
        <v>0.70097674992341019</v>
      </c>
      <c r="E21" s="29">
        <f>E20/E19</f>
        <v>0.69873879183914489</v>
      </c>
    </row>
    <row r="22" spans="1:6" ht="14.25" customHeight="1" x14ac:dyDescent="0.35">
      <c r="A22" t="s">
        <v>159</v>
      </c>
      <c r="C22" s="57">
        <v>0</v>
      </c>
      <c r="D22" s="57">
        <v>0</v>
      </c>
      <c r="E22" s="57">
        <v>1.7999999999999999E-2</v>
      </c>
    </row>
    <row r="23" spans="1:6" ht="14.25" customHeight="1" x14ac:dyDescent="0.35">
      <c r="A23" t="s">
        <v>160</v>
      </c>
      <c r="C23" s="10">
        <f>C19*C22</f>
        <v>0</v>
      </c>
      <c r="D23" s="10">
        <f>D19*D22</f>
        <v>0</v>
      </c>
      <c r="E23" s="30">
        <f>E19*E22</f>
        <v>37721.452204799993</v>
      </c>
    </row>
    <row r="24" spans="1:6" ht="14.25" customHeight="1" x14ac:dyDescent="0.35">
      <c r="A24" s="9" t="s">
        <v>161</v>
      </c>
      <c r="C24" s="13">
        <f>C20+C23</f>
        <v>1216815.8050826499</v>
      </c>
      <c r="D24" s="13">
        <f>D20+D23</f>
        <v>1299460.60942907</v>
      </c>
      <c r="E24" s="22">
        <f>E20+E23</f>
        <v>1502023.7822048001</v>
      </c>
    </row>
    <row r="25" spans="1:6" ht="14.25" customHeight="1" x14ac:dyDescent="0.35">
      <c r="A25" t="s">
        <v>162</v>
      </c>
      <c r="C25" s="11">
        <f>C24/C19</f>
        <v>0.76747595968201754</v>
      </c>
      <c r="D25" s="11">
        <f>D24/D19</f>
        <v>0.70097674992341019</v>
      </c>
      <c r="E25" s="11">
        <f>E24/E19</f>
        <v>0.71673879183914491</v>
      </c>
    </row>
    <row r="26" spans="1:6" ht="14.25" customHeight="1" x14ac:dyDescent="0.35">
      <c r="A26" s="2" t="s">
        <v>193</v>
      </c>
    </row>
    <row r="28" spans="1:6" ht="14.25" customHeight="1" x14ac:dyDescent="0.35">
      <c r="A28" s="58" t="s">
        <v>194</v>
      </c>
    </row>
    <row r="29" spans="1:6" ht="26.25" customHeight="1" x14ac:dyDescent="0.35">
      <c r="C29" s="4" t="s">
        <v>142</v>
      </c>
      <c r="D29" s="4" t="s">
        <v>143</v>
      </c>
      <c r="E29" s="4" t="s">
        <v>144</v>
      </c>
    </row>
    <row r="30" spans="1:6" ht="14.25" customHeight="1" x14ac:dyDescent="0.35">
      <c r="A30" t="s">
        <v>165</v>
      </c>
      <c r="C30" s="56">
        <v>2482560</v>
      </c>
      <c r="D30" s="56">
        <v>3154221.5079999999</v>
      </c>
      <c r="F30" s="2" t="s">
        <v>166</v>
      </c>
    </row>
    <row r="31" spans="1:6" ht="14.25" customHeight="1" x14ac:dyDescent="0.35">
      <c r="A31" t="s">
        <v>167</v>
      </c>
      <c r="B31" s="59">
        <v>0.35</v>
      </c>
      <c r="C31" s="60"/>
      <c r="D31" s="60"/>
    </row>
    <row r="32" spans="1:6" ht="14.25" customHeight="1" x14ac:dyDescent="0.35">
      <c r="A32" t="s">
        <v>168</v>
      </c>
      <c r="E32" s="61">
        <f>-E23/(B31-1)</f>
        <v>58033.003391999984</v>
      </c>
    </row>
    <row r="33" spans="1:5" ht="14.25" customHeight="1" x14ac:dyDescent="0.35">
      <c r="A33" s="9" t="s">
        <v>169</v>
      </c>
      <c r="E33" s="62">
        <f>IF(OR(D30="",D30="no KPI data"),"no KPI data",D30+E32)</f>
        <v>3212254.5113920001</v>
      </c>
    </row>
    <row r="34" spans="1:5" ht="42" customHeight="1" x14ac:dyDescent="0.35">
      <c r="A34" s="63" t="s">
        <v>170</v>
      </c>
    </row>
    <row r="37" spans="1:5" ht="14.25" customHeight="1" x14ac:dyDescent="0.35">
      <c r="A37" s="31" t="s">
        <v>171</v>
      </c>
    </row>
    <row r="38" spans="1:5" ht="33.75" customHeight="1" x14ac:dyDescent="0.35">
      <c r="A38" s="14" t="s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8"/>
  <sheetViews>
    <sheetView showGridLines="0" zoomScaleNormal="100" workbookViewId="0"/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195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196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32</v>
      </c>
      <c r="C9" s="51">
        <v>3714</v>
      </c>
      <c r="D9" s="51">
        <v>3734</v>
      </c>
      <c r="E9" s="51">
        <v>3992</v>
      </c>
    </row>
    <row r="10" spans="1:10" ht="14.25" customHeight="1" x14ac:dyDescent="0.35">
      <c r="A10" t="s">
        <v>145</v>
      </c>
      <c r="C10" s="10">
        <f>C9</f>
        <v>3714</v>
      </c>
      <c r="D10" s="10">
        <f>D9</f>
        <v>3734</v>
      </c>
      <c r="E10" s="10">
        <f>E9</f>
        <v>3992</v>
      </c>
    </row>
    <row r="11" spans="1:10" ht="14.25" customHeight="1" x14ac:dyDescent="0.35">
      <c r="A11" s="2" t="s">
        <v>197</v>
      </c>
    </row>
    <row r="13" spans="1:10" ht="14.25" customHeight="1" x14ac:dyDescent="0.35">
      <c r="A13" s="31" t="s">
        <v>147</v>
      </c>
      <c r="C13" s="52" t="s">
        <v>148</v>
      </c>
      <c r="D13" s="52" t="s">
        <v>149</v>
      </c>
      <c r="E13" s="52" t="s">
        <v>150</v>
      </c>
      <c r="F13" s="52" t="s">
        <v>151</v>
      </c>
    </row>
    <row r="14" spans="1:10" ht="14.25" customHeight="1" x14ac:dyDescent="0.35">
      <c r="A14" t="s">
        <v>152</v>
      </c>
      <c r="B14" s="53">
        <v>291.2</v>
      </c>
      <c r="C14" s="54">
        <f>B14*$J$6</f>
        <v>337.79199999999997</v>
      </c>
      <c r="D14" s="54">
        <f>C14*0.65</f>
        <v>219.56479999999999</v>
      </c>
      <c r="E14" s="55">
        <f>D14*1.05</f>
        <v>230.54303999999999</v>
      </c>
      <c r="F14" s="54">
        <f>E14*1.03</f>
        <v>237.45933120000001</v>
      </c>
    </row>
    <row r="15" spans="1:10" ht="14.25" customHeight="1" x14ac:dyDescent="0.35">
      <c r="A15" s="2" t="s">
        <v>153</v>
      </c>
    </row>
    <row r="17" spans="1:6" ht="14.25" customHeight="1" x14ac:dyDescent="0.35">
      <c r="A17" s="31" t="s">
        <v>198</v>
      </c>
    </row>
    <row r="18" spans="1:6" ht="26.25" customHeight="1" x14ac:dyDescent="0.35">
      <c r="C18" s="4" t="s">
        <v>142</v>
      </c>
      <c r="D18" s="4" t="s">
        <v>143</v>
      </c>
      <c r="E18" s="4" t="s">
        <v>144</v>
      </c>
    </row>
    <row r="19" spans="1:6" ht="14.25" customHeight="1" x14ac:dyDescent="0.35">
      <c r="A19" t="s">
        <v>155</v>
      </c>
      <c r="C19" s="10">
        <f>C9*$D$14</f>
        <v>815463.66719999991</v>
      </c>
      <c r="D19" s="10">
        <f>D9*$D$14</f>
        <v>819854.9632</v>
      </c>
      <c r="E19" s="10">
        <f>E9*$E$14</f>
        <v>920327.81568</v>
      </c>
    </row>
    <row r="20" spans="1:6" ht="14.25" customHeight="1" x14ac:dyDescent="0.35">
      <c r="A20" t="s">
        <v>156</v>
      </c>
      <c r="C20" s="56">
        <v>365817.36704341701</v>
      </c>
      <c r="D20" s="56">
        <v>346246.24224029301</v>
      </c>
      <c r="E20" s="56">
        <v>349600</v>
      </c>
      <c r="F20" s="2" t="s">
        <v>157</v>
      </c>
    </row>
    <row r="21" spans="1:6" ht="14.25" customHeight="1" x14ac:dyDescent="0.35">
      <c r="A21" t="s">
        <v>158</v>
      </c>
      <c r="C21" s="29">
        <f>C20/C19</f>
        <v>0.44860044874776372</v>
      </c>
      <c r="D21" s="29">
        <f>D20/D19</f>
        <v>0.42232621351567978</v>
      </c>
      <c r="E21" s="29">
        <f>E20/E19</f>
        <v>0.37986464610079401</v>
      </c>
    </row>
    <row r="22" spans="1:6" ht="14.25" customHeight="1" x14ac:dyDescent="0.35">
      <c r="A22" t="s">
        <v>159</v>
      </c>
      <c r="C22" s="57">
        <v>0</v>
      </c>
      <c r="D22" s="57">
        <v>0</v>
      </c>
      <c r="E22" s="57">
        <v>1.7999999999999999E-2</v>
      </c>
    </row>
    <row r="23" spans="1:6" ht="14.25" customHeight="1" x14ac:dyDescent="0.35">
      <c r="A23" t="s">
        <v>160</v>
      </c>
      <c r="C23" s="10">
        <f>C19*C22</f>
        <v>0</v>
      </c>
      <c r="D23" s="10">
        <f>D19*D22</f>
        <v>0</v>
      </c>
      <c r="E23" s="30">
        <f>E19*E22</f>
        <v>16565.900682239997</v>
      </c>
    </row>
    <row r="24" spans="1:6" ht="14.25" customHeight="1" x14ac:dyDescent="0.35">
      <c r="A24" s="9" t="s">
        <v>161</v>
      </c>
      <c r="C24" s="13">
        <f>C20+C23</f>
        <v>365817.36704341701</v>
      </c>
      <c r="D24" s="13">
        <f>D20+D23</f>
        <v>346246.24224029301</v>
      </c>
      <c r="E24" s="22">
        <f>E20+E23</f>
        <v>366165.90068224003</v>
      </c>
    </row>
    <row r="25" spans="1:6" ht="14.25" customHeight="1" x14ac:dyDescent="0.35">
      <c r="A25" t="s">
        <v>162</v>
      </c>
      <c r="C25" s="11">
        <f>C24/C19</f>
        <v>0.44860044874776372</v>
      </c>
      <c r="D25" s="11">
        <f>D24/D19</f>
        <v>0.42232621351567978</v>
      </c>
      <c r="E25" s="11">
        <f>E24/E19</f>
        <v>0.39786464610079408</v>
      </c>
    </row>
    <row r="26" spans="1:6" ht="14.25" customHeight="1" x14ac:dyDescent="0.35">
      <c r="A26" s="2" t="s">
        <v>199</v>
      </c>
    </row>
    <row r="28" spans="1:6" ht="14.25" customHeight="1" x14ac:dyDescent="0.35">
      <c r="A28" s="58" t="s">
        <v>200</v>
      </c>
    </row>
    <row r="29" spans="1:6" ht="26.25" customHeight="1" x14ac:dyDescent="0.35">
      <c r="C29" s="4" t="s">
        <v>142</v>
      </c>
      <c r="D29" s="4" t="s">
        <v>143</v>
      </c>
      <c r="E29" s="4" t="s">
        <v>144</v>
      </c>
    </row>
    <row r="30" spans="1:6" ht="14.25" customHeight="1" x14ac:dyDescent="0.35">
      <c r="A30" t="s">
        <v>165</v>
      </c>
      <c r="C30" s="56">
        <v>934209</v>
      </c>
      <c r="D30" s="56">
        <v>871455</v>
      </c>
      <c r="F30" s="2" t="s">
        <v>166</v>
      </c>
    </row>
    <row r="31" spans="1:6" ht="14.25" customHeight="1" x14ac:dyDescent="0.35">
      <c r="A31" t="s">
        <v>167</v>
      </c>
      <c r="B31" s="59">
        <v>0.35</v>
      </c>
      <c r="C31" s="60"/>
      <c r="D31" s="60"/>
    </row>
    <row r="32" spans="1:6" ht="14.25" customHeight="1" x14ac:dyDescent="0.35">
      <c r="A32" t="s">
        <v>168</v>
      </c>
      <c r="E32" s="61">
        <f>-E23/(B31-1)</f>
        <v>25486.001049599996</v>
      </c>
    </row>
    <row r="33" spans="1:5" ht="14.25" customHeight="1" x14ac:dyDescent="0.35">
      <c r="A33" s="9" t="s">
        <v>169</v>
      </c>
      <c r="E33" s="62">
        <f>IF(OR(D30="",D30="no KPI data"),"no KPI data",D30+E32)</f>
        <v>896941.00104959996</v>
      </c>
    </row>
    <row r="34" spans="1:5" ht="42" customHeight="1" x14ac:dyDescent="0.35">
      <c r="A34" s="63" t="s">
        <v>170</v>
      </c>
    </row>
    <row r="37" spans="1:5" ht="14.25" customHeight="1" x14ac:dyDescent="0.35">
      <c r="A37" s="31" t="s">
        <v>171</v>
      </c>
    </row>
    <row r="38" spans="1:5" ht="33.75" customHeight="1" x14ac:dyDescent="0.35">
      <c r="A38" s="14" t="s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9"/>
  <sheetViews>
    <sheetView showGridLines="0" zoomScaleNormal="100" workbookViewId="0"/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201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202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32</v>
      </c>
      <c r="C9" s="51">
        <v>1259</v>
      </c>
      <c r="D9" s="51">
        <v>1204</v>
      </c>
      <c r="E9" s="51">
        <v>1308</v>
      </c>
    </row>
    <row r="10" spans="1:10" ht="14.25" customHeight="1" x14ac:dyDescent="0.35">
      <c r="A10" t="s">
        <v>145</v>
      </c>
      <c r="C10" s="10">
        <f>C9</f>
        <v>1259</v>
      </c>
      <c r="D10" s="10">
        <f>D9</f>
        <v>1204</v>
      </c>
      <c r="E10" s="10">
        <f>E9</f>
        <v>1308</v>
      </c>
    </row>
    <row r="11" spans="1:10" ht="14.25" customHeight="1" x14ac:dyDescent="0.35">
      <c r="A11" s="2" t="s">
        <v>203</v>
      </c>
    </row>
    <row r="13" spans="1:10" ht="14.25" customHeight="1" x14ac:dyDescent="0.35">
      <c r="A13" s="31" t="s">
        <v>147</v>
      </c>
      <c r="C13" s="52" t="s">
        <v>148</v>
      </c>
      <c r="D13" s="52" t="s">
        <v>149</v>
      </c>
      <c r="E13" s="52" t="s">
        <v>150</v>
      </c>
      <c r="F13" s="52" t="s">
        <v>151</v>
      </c>
    </row>
    <row r="14" spans="1:10" ht="14.25" customHeight="1" x14ac:dyDescent="0.35">
      <c r="A14" t="s">
        <v>152</v>
      </c>
      <c r="B14" s="53">
        <v>291.2</v>
      </c>
      <c r="C14" s="54">
        <f>B14*$J$6</f>
        <v>337.79199999999997</v>
      </c>
      <c r="D14" s="54">
        <f>C14*0.65</f>
        <v>219.56479999999999</v>
      </c>
      <c r="E14" s="55">
        <f>D14*1.05</f>
        <v>230.54303999999999</v>
      </c>
      <c r="F14" s="54">
        <f>E14*1.03</f>
        <v>237.45933120000001</v>
      </c>
    </row>
    <row r="15" spans="1:10" ht="14.25" customHeight="1" x14ac:dyDescent="0.35">
      <c r="A15" s="2" t="s">
        <v>153</v>
      </c>
    </row>
    <row r="17" spans="1:6" ht="14.25" customHeight="1" x14ac:dyDescent="0.35">
      <c r="A17" s="31" t="s">
        <v>204</v>
      </c>
    </row>
    <row r="18" spans="1:6" ht="26.25" customHeight="1" x14ac:dyDescent="0.35">
      <c r="C18" s="4" t="s">
        <v>142</v>
      </c>
      <c r="D18" s="4" t="s">
        <v>143</v>
      </c>
      <c r="E18" s="4" t="s">
        <v>144</v>
      </c>
    </row>
    <row r="19" spans="1:6" ht="14.25" customHeight="1" x14ac:dyDescent="0.35">
      <c r="A19" t="s">
        <v>155</v>
      </c>
      <c r="C19" s="10">
        <f>C9*$D$14</f>
        <v>276432.08319999999</v>
      </c>
      <c r="D19" s="10">
        <f>D9*$D$14</f>
        <v>264356.01919999998</v>
      </c>
      <c r="E19" s="10">
        <f>E9*$E$14</f>
        <v>301550.29631999996</v>
      </c>
    </row>
    <row r="20" spans="1:6" ht="14.25" customHeight="1" x14ac:dyDescent="0.35">
      <c r="A20" t="s">
        <v>156</v>
      </c>
      <c r="C20" s="56">
        <v>266204.484873857</v>
      </c>
      <c r="D20" s="56">
        <v>279383.24544143002</v>
      </c>
      <c r="E20" s="56">
        <v>360300</v>
      </c>
      <c r="F20" s="2" t="s">
        <v>157</v>
      </c>
    </row>
    <row r="21" spans="1:6" ht="14.25" customHeight="1" x14ac:dyDescent="0.35">
      <c r="A21" t="s">
        <v>158</v>
      </c>
      <c r="C21" s="29">
        <f>C20/C19</f>
        <v>0.96300140632104825</v>
      </c>
      <c r="D21" s="29">
        <f>D20/D19</f>
        <v>1.05684465323281</v>
      </c>
      <c r="E21" s="29">
        <f>E20/E19</f>
        <v>1.1948255544662303</v>
      </c>
    </row>
    <row r="22" spans="1:6" ht="14.25" customHeight="1" x14ac:dyDescent="0.35">
      <c r="A22" t="s">
        <v>159</v>
      </c>
      <c r="C22" s="57">
        <v>0</v>
      </c>
      <c r="D22" s="57">
        <v>0</v>
      </c>
      <c r="E22" s="57">
        <v>1.7999999999999999E-2</v>
      </c>
    </row>
    <row r="23" spans="1:6" ht="14.25" customHeight="1" x14ac:dyDescent="0.35">
      <c r="A23" t="s">
        <v>160</v>
      </c>
      <c r="C23" s="10">
        <f>C19*C22</f>
        <v>0</v>
      </c>
      <c r="D23" s="10">
        <f>D19*D22</f>
        <v>0</v>
      </c>
      <c r="E23" s="30">
        <f>E19*E22</f>
        <v>5427.9053337599989</v>
      </c>
    </row>
    <row r="24" spans="1:6" ht="14.25" customHeight="1" x14ac:dyDescent="0.35">
      <c r="A24" s="9" t="s">
        <v>161</v>
      </c>
      <c r="C24" s="13">
        <f>C20+C23</f>
        <v>266204.484873857</v>
      </c>
      <c r="D24" s="13">
        <f>D20+D23</f>
        <v>279383.24544143002</v>
      </c>
      <c r="E24" s="22">
        <f>E20+E23</f>
        <v>365727.90533376002</v>
      </c>
    </row>
    <row r="25" spans="1:6" ht="14.25" customHeight="1" x14ac:dyDescent="0.35">
      <c r="A25" t="s">
        <v>162</v>
      </c>
      <c r="C25" s="11">
        <f>C24/C19</f>
        <v>0.96300140632104825</v>
      </c>
      <c r="D25" s="11">
        <f>D24/D19</f>
        <v>1.05684465323281</v>
      </c>
      <c r="E25" s="11">
        <f>E24/E19</f>
        <v>1.2128255544662303</v>
      </c>
    </row>
    <row r="26" spans="1:6" ht="14.25" customHeight="1" x14ac:dyDescent="0.35">
      <c r="A26" s="2" t="s">
        <v>205</v>
      </c>
    </row>
    <row r="28" spans="1:6" ht="14.25" customHeight="1" x14ac:dyDescent="0.35">
      <c r="A28" s="58" t="s">
        <v>206</v>
      </c>
    </row>
    <row r="29" spans="1:6" ht="26.25" customHeight="1" x14ac:dyDescent="0.35">
      <c r="C29" s="4" t="s">
        <v>142</v>
      </c>
      <c r="D29" s="4" t="s">
        <v>143</v>
      </c>
      <c r="E29" s="4" t="s">
        <v>144</v>
      </c>
    </row>
    <row r="30" spans="1:6" ht="14.25" customHeight="1" x14ac:dyDescent="0.35">
      <c r="A30" t="s">
        <v>165</v>
      </c>
      <c r="C30" s="56">
        <v>576758</v>
      </c>
      <c r="D30" s="56">
        <v>350854</v>
      </c>
      <c r="F30" s="64" t="s">
        <v>207</v>
      </c>
    </row>
    <row r="31" spans="1:6" ht="14.25" customHeight="1" x14ac:dyDescent="0.35">
      <c r="A31" t="s">
        <v>167</v>
      </c>
      <c r="B31" s="59">
        <v>0.35</v>
      </c>
      <c r="C31" s="60"/>
      <c r="D31" s="60"/>
    </row>
    <row r="32" spans="1:6" ht="14.25" customHeight="1" x14ac:dyDescent="0.35">
      <c r="A32" t="s">
        <v>168</v>
      </c>
      <c r="E32" s="61">
        <f>-E23/(B31-1)</f>
        <v>8350.6235903999986</v>
      </c>
    </row>
    <row r="33" spans="1:5" ht="14.25" customHeight="1" x14ac:dyDescent="0.35">
      <c r="A33" s="9" t="s">
        <v>169</v>
      </c>
      <c r="E33" s="62">
        <f>IF(OR(D30="",D30="no KPI data"),"no KPI data",D30+E32)</f>
        <v>359204.62359039998</v>
      </c>
    </row>
    <row r="34" spans="1:5" ht="42" customHeight="1" x14ac:dyDescent="0.35">
      <c r="A34" s="63" t="s">
        <v>170</v>
      </c>
    </row>
    <row r="37" spans="1:5" ht="14.25" customHeight="1" x14ac:dyDescent="0.35">
      <c r="A37" s="31" t="s">
        <v>171</v>
      </c>
    </row>
    <row r="38" spans="1:5" ht="33.75" customHeight="1" x14ac:dyDescent="0.35">
      <c r="A38" s="14" t="s">
        <v>172</v>
      </c>
    </row>
    <row r="39" spans="1:5" ht="22.5" customHeight="1" x14ac:dyDescent="0.35">
      <c r="A39" s="14" t="s">
        <v>208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9"/>
  <sheetViews>
    <sheetView showGridLines="0" zoomScaleNormal="100" workbookViewId="0"/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209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210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32</v>
      </c>
      <c r="C9" s="51">
        <v>986</v>
      </c>
      <c r="D9" s="51">
        <v>1071</v>
      </c>
      <c r="E9" s="51">
        <v>1209</v>
      </c>
    </row>
    <row r="10" spans="1:10" ht="14.25" customHeight="1" x14ac:dyDescent="0.35">
      <c r="A10" t="s">
        <v>145</v>
      </c>
      <c r="C10" s="10">
        <f>C9</f>
        <v>986</v>
      </c>
      <c r="D10" s="10">
        <f>D9</f>
        <v>1071</v>
      </c>
      <c r="E10" s="10">
        <f>E9</f>
        <v>1209</v>
      </c>
    </row>
    <row r="11" spans="1:10" ht="14.25" customHeight="1" x14ac:dyDescent="0.35">
      <c r="A11" s="2" t="s">
        <v>211</v>
      </c>
    </row>
    <row r="13" spans="1:10" ht="14.25" customHeight="1" x14ac:dyDescent="0.35">
      <c r="A13" s="31" t="s">
        <v>147</v>
      </c>
      <c r="C13" s="52" t="s">
        <v>148</v>
      </c>
      <c r="D13" s="52" t="s">
        <v>149</v>
      </c>
      <c r="E13" s="52" t="s">
        <v>150</v>
      </c>
      <c r="F13" s="52" t="s">
        <v>151</v>
      </c>
    </row>
    <row r="14" spans="1:10" ht="14.25" customHeight="1" x14ac:dyDescent="0.35">
      <c r="A14" t="s">
        <v>152</v>
      </c>
      <c r="B14" s="53">
        <v>291.2</v>
      </c>
      <c r="C14" s="54">
        <f>B14*$J$6</f>
        <v>337.79199999999997</v>
      </c>
      <c r="D14" s="54">
        <f>C14*0.65</f>
        <v>219.56479999999999</v>
      </c>
      <c r="E14" s="55">
        <f>D14*1.05</f>
        <v>230.54303999999999</v>
      </c>
      <c r="F14" s="54">
        <f>E14*1.03</f>
        <v>237.45933120000001</v>
      </c>
    </row>
    <row r="15" spans="1:10" ht="14.25" customHeight="1" x14ac:dyDescent="0.35">
      <c r="A15" s="2" t="s">
        <v>153</v>
      </c>
    </row>
    <row r="17" spans="1:6" ht="14.25" customHeight="1" x14ac:dyDescent="0.35">
      <c r="A17" s="31" t="s">
        <v>212</v>
      </c>
    </row>
    <row r="18" spans="1:6" ht="26.25" customHeight="1" x14ac:dyDescent="0.35">
      <c r="C18" s="4" t="s">
        <v>142</v>
      </c>
      <c r="D18" s="4" t="s">
        <v>143</v>
      </c>
      <c r="E18" s="4" t="s">
        <v>144</v>
      </c>
    </row>
    <row r="19" spans="1:6" ht="14.25" customHeight="1" x14ac:dyDescent="0.35">
      <c r="A19" t="s">
        <v>155</v>
      </c>
      <c r="C19" s="10">
        <f>C9*$D$14</f>
        <v>216490.8928</v>
      </c>
      <c r="D19" s="10">
        <f>D9*$D$14</f>
        <v>235153.9008</v>
      </c>
      <c r="E19" s="10">
        <f>E9*$E$14</f>
        <v>278726.53535999998</v>
      </c>
    </row>
    <row r="20" spans="1:6" ht="14.25" customHeight="1" x14ac:dyDescent="0.35">
      <c r="A20" t="s">
        <v>156</v>
      </c>
      <c r="C20" s="56">
        <v>151600.22292365</v>
      </c>
      <c r="D20" s="56">
        <v>180409.82658198001</v>
      </c>
      <c r="E20" s="56">
        <v>199587.57</v>
      </c>
      <c r="F20" s="2" t="s">
        <v>157</v>
      </c>
    </row>
    <row r="21" spans="1:6" ht="14.25" customHeight="1" x14ac:dyDescent="0.35">
      <c r="A21" t="s">
        <v>158</v>
      </c>
      <c r="C21" s="29">
        <f>C20/C19</f>
        <v>0.70026143346224856</v>
      </c>
      <c r="D21" s="29">
        <f>D20/D19</f>
        <v>0.76719895340124422</v>
      </c>
      <c r="E21" s="29">
        <f>E20/E19</f>
        <v>0.71606949708686685</v>
      </c>
    </row>
    <row r="22" spans="1:6" ht="14.25" customHeight="1" x14ac:dyDescent="0.35">
      <c r="A22" t="s">
        <v>159</v>
      </c>
      <c r="C22" s="57">
        <v>0</v>
      </c>
      <c r="D22" s="57">
        <v>0</v>
      </c>
      <c r="E22" s="57">
        <v>1.7999999999999999E-2</v>
      </c>
    </row>
    <row r="23" spans="1:6" ht="14.25" customHeight="1" x14ac:dyDescent="0.35">
      <c r="A23" t="s">
        <v>160</v>
      </c>
      <c r="C23" s="10">
        <f>C19*C22</f>
        <v>0</v>
      </c>
      <c r="D23" s="10">
        <f>D19*D22</f>
        <v>0</v>
      </c>
      <c r="E23" s="30">
        <f>E19*E22</f>
        <v>5017.0776364799995</v>
      </c>
    </row>
    <row r="24" spans="1:6" ht="14.25" customHeight="1" x14ac:dyDescent="0.35">
      <c r="A24" s="9" t="s">
        <v>161</v>
      </c>
      <c r="C24" s="13">
        <f>C20+C23</f>
        <v>151600.22292365</v>
      </c>
      <c r="D24" s="13">
        <f>D20+D23</f>
        <v>180409.82658198001</v>
      </c>
      <c r="E24" s="22">
        <f>E20+E23</f>
        <v>204604.64763648002</v>
      </c>
    </row>
    <row r="25" spans="1:6" ht="14.25" customHeight="1" x14ac:dyDescent="0.35">
      <c r="A25" t="s">
        <v>162</v>
      </c>
      <c r="C25" s="11">
        <f>C24/C19</f>
        <v>0.70026143346224856</v>
      </c>
      <c r="D25" s="11">
        <f>D24/D19</f>
        <v>0.76719895340124422</v>
      </c>
      <c r="E25" s="11">
        <f>E24/E19</f>
        <v>0.73406949708686697</v>
      </c>
    </row>
    <row r="26" spans="1:6" ht="14.25" customHeight="1" x14ac:dyDescent="0.35">
      <c r="A26" s="2" t="s">
        <v>213</v>
      </c>
    </row>
    <row r="28" spans="1:6" ht="14.25" customHeight="1" x14ac:dyDescent="0.35">
      <c r="A28" s="58" t="s">
        <v>214</v>
      </c>
    </row>
    <row r="29" spans="1:6" ht="26.25" customHeight="1" x14ac:dyDescent="0.35">
      <c r="C29" s="4" t="s">
        <v>142</v>
      </c>
      <c r="D29" s="4" t="s">
        <v>143</v>
      </c>
      <c r="E29" s="4" t="s">
        <v>144</v>
      </c>
    </row>
    <row r="30" spans="1:6" ht="14.25" customHeight="1" x14ac:dyDescent="0.35">
      <c r="A30" t="s">
        <v>165</v>
      </c>
      <c r="C30" s="56">
        <v>382258</v>
      </c>
      <c r="D30" s="56">
        <v>394596.62925313797</v>
      </c>
      <c r="F30" s="2" t="s">
        <v>166</v>
      </c>
    </row>
    <row r="31" spans="1:6" ht="14.25" customHeight="1" x14ac:dyDescent="0.35">
      <c r="A31" t="s">
        <v>167</v>
      </c>
      <c r="B31" s="59">
        <v>0.35</v>
      </c>
      <c r="C31" s="60"/>
      <c r="D31" s="60"/>
    </row>
    <row r="32" spans="1:6" ht="14.25" customHeight="1" x14ac:dyDescent="0.35">
      <c r="A32" t="s">
        <v>168</v>
      </c>
      <c r="E32" s="61">
        <f>-E23/(B31-1)</f>
        <v>7718.5809791999991</v>
      </c>
    </row>
    <row r="33" spans="1:5" ht="14.25" customHeight="1" x14ac:dyDescent="0.35">
      <c r="A33" s="9" t="s">
        <v>169</v>
      </c>
      <c r="E33" s="62">
        <f>IF(OR(D30="",D30="no KPI data"),"no KPI data",D30+E32)</f>
        <v>402315.21023233799</v>
      </c>
    </row>
    <row r="34" spans="1:5" ht="42" customHeight="1" x14ac:dyDescent="0.35">
      <c r="A34" s="63" t="s">
        <v>170</v>
      </c>
    </row>
    <row r="37" spans="1:5" ht="14.25" customHeight="1" x14ac:dyDescent="0.35">
      <c r="A37" s="31" t="s">
        <v>171</v>
      </c>
    </row>
    <row r="38" spans="1:5" ht="33.75" customHeight="1" x14ac:dyDescent="0.35">
      <c r="A38" s="14" t="s">
        <v>172</v>
      </c>
    </row>
    <row r="39" spans="1:5" ht="22.5" customHeight="1" x14ac:dyDescent="0.35">
      <c r="A39" s="14" t="s">
        <v>215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8"/>
  <sheetViews>
    <sheetView showGridLines="0" zoomScaleNormal="100" workbookViewId="0"/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216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217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32</v>
      </c>
      <c r="C9" s="51">
        <v>829</v>
      </c>
      <c r="D9" s="51">
        <v>850</v>
      </c>
      <c r="E9" s="51">
        <v>944</v>
      </c>
    </row>
    <row r="10" spans="1:10" ht="14.25" customHeight="1" x14ac:dyDescent="0.35">
      <c r="A10" t="s">
        <v>145</v>
      </c>
      <c r="C10" s="10">
        <f>C9</f>
        <v>829</v>
      </c>
      <c r="D10" s="10">
        <f>D9</f>
        <v>850</v>
      </c>
      <c r="E10" s="10">
        <f>E9</f>
        <v>944</v>
      </c>
    </row>
    <row r="11" spans="1:10" ht="14.25" customHeight="1" x14ac:dyDescent="0.35">
      <c r="A11" s="2" t="s">
        <v>218</v>
      </c>
    </row>
    <row r="13" spans="1:10" ht="14.25" customHeight="1" x14ac:dyDescent="0.35">
      <c r="A13" s="31" t="s">
        <v>147</v>
      </c>
      <c r="C13" s="52" t="s">
        <v>148</v>
      </c>
      <c r="D13" s="52" t="s">
        <v>149</v>
      </c>
      <c r="E13" s="52" t="s">
        <v>150</v>
      </c>
      <c r="F13" s="52" t="s">
        <v>151</v>
      </c>
    </row>
    <row r="14" spans="1:10" ht="14.25" customHeight="1" x14ac:dyDescent="0.35">
      <c r="A14" t="s">
        <v>152</v>
      </c>
      <c r="B14" s="53">
        <v>291.2</v>
      </c>
      <c r="C14" s="54">
        <f>B14*$J$6</f>
        <v>337.79199999999997</v>
      </c>
      <c r="D14" s="54">
        <f>C14*0.65</f>
        <v>219.56479999999999</v>
      </c>
      <c r="E14" s="55">
        <f>D14*1.05</f>
        <v>230.54303999999999</v>
      </c>
      <c r="F14" s="54">
        <f>E14*1.03</f>
        <v>237.45933120000001</v>
      </c>
    </row>
    <row r="15" spans="1:10" ht="14.25" customHeight="1" x14ac:dyDescent="0.35">
      <c r="A15" s="2" t="s">
        <v>153</v>
      </c>
    </row>
    <row r="17" spans="1:6" ht="14.25" customHeight="1" x14ac:dyDescent="0.35">
      <c r="A17" s="31" t="s">
        <v>219</v>
      </c>
    </row>
    <row r="18" spans="1:6" ht="26.25" customHeight="1" x14ac:dyDescent="0.35">
      <c r="C18" s="4" t="s">
        <v>142</v>
      </c>
      <c r="D18" s="4" t="s">
        <v>143</v>
      </c>
      <c r="E18" s="4" t="s">
        <v>144</v>
      </c>
    </row>
    <row r="19" spans="1:6" ht="14.25" customHeight="1" x14ac:dyDescent="0.35">
      <c r="A19" t="s">
        <v>155</v>
      </c>
      <c r="C19" s="10">
        <f>C9*$D$14</f>
        <v>182019.21919999999</v>
      </c>
      <c r="D19" s="10">
        <f>D9*$D$14</f>
        <v>186630.08</v>
      </c>
      <c r="E19" s="10">
        <f>E9*$E$14</f>
        <v>217632.62975999998</v>
      </c>
    </row>
    <row r="20" spans="1:6" ht="14.25" customHeight="1" x14ac:dyDescent="0.35">
      <c r="A20" t="s">
        <v>156</v>
      </c>
      <c r="C20" s="56">
        <v>122628.716974549</v>
      </c>
      <c r="D20" s="56">
        <v>155916.459671066</v>
      </c>
      <c r="E20" s="56">
        <v>187600</v>
      </c>
      <c r="F20" s="2" t="s">
        <v>157</v>
      </c>
    </row>
    <row r="21" spans="1:6" ht="14.25" customHeight="1" x14ac:dyDescent="0.35">
      <c r="A21" t="s">
        <v>158</v>
      </c>
      <c r="C21" s="29">
        <f>C20/C19</f>
        <v>0.67371301510642345</v>
      </c>
      <c r="D21" s="29">
        <f>D20/D19</f>
        <v>0.83543049261440605</v>
      </c>
      <c r="E21" s="29">
        <f>E20/E19</f>
        <v>0.86200309304207168</v>
      </c>
    </row>
    <row r="22" spans="1:6" ht="14.25" customHeight="1" x14ac:dyDescent="0.35">
      <c r="A22" t="s">
        <v>159</v>
      </c>
      <c r="C22" s="57">
        <v>0</v>
      </c>
      <c r="D22" s="57">
        <v>0</v>
      </c>
      <c r="E22" s="57">
        <v>1.7999999999999999E-2</v>
      </c>
    </row>
    <row r="23" spans="1:6" ht="14.25" customHeight="1" x14ac:dyDescent="0.35">
      <c r="A23" t="s">
        <v>160</v>
      </c>
      <c r="C23" s="10">
        <f>C19*C22</f>
        <v>0</v>
      </c>
      <c r="D23" s="10">
        <f>D19*D22</f>
        <v>0</v>
      </c>
      <c r="E23" s="30">
        <f>E19*E22</f>
        <v>3917.3873356799995</v>
      </c>
    </row>
    <row r="24" spans="1:6" ht="14.25" customHeight="1" x14ac:dyDescent="0.35">
      <c r="A24" s="9" t="s">
        <v>161</v>
      </c>
      <c r="C24" s="13">
        <f>C20+C23</f>
        <v>122628.716974549</v>
      </c>
      <c r="D24" s="13">
        <f>D20+D23</f>
        <v>155916.459671066</v>
      </c>
      <c r="E24" s="22">
        <f>E20+E23</f>
        <v>191517.38733567999</v>
      </c>
    </row>
    <row r="25" spans="1:6" ht="14.25" customHeight="1" x14ac:dyDescent="0.35">
      <c r="A25" t="s">
        <v>162</v>
      </c>
      <c r="C25" s="11">
        <f>C24/C19</f>
        <v>0.67371301510642345</v>
      </c>
      <c r="D25" s="11">
        <f>D24/D19</f>
        <v>0.83543049261440605</v>
      </c>
      <c r="E25" s="11">
        <f>E24/E19</f>
        <v>0.88000309304207158</v>
      </c>
    </row>
    <row r="26" spans="1:6" ht="14.25" customHeight="1" x14ac:dyDescent="0.35">
      <c r="A26" s="2" t="s">
        <v>220</v>
      </c>
    </row>
    <row r="28" spans="1:6" ht="14.25" customHeight="1" x14ac:dyDescent="0.35">
      <c r="A28" s="58" t="s">
        <v>221</v>
      </c>
    </row>
    <row r="29" spans="1:6" ht="26.25" customHeight="1" x14ac:dyDescent="0.35">
      <c r="C29" s="4" t="s">
        <v>142</v>
      </c>
      <c r="D29" s="4" t="s">
        <v>143</v>
      </c>
      <c r="E29" s="4" t="s">
        <v>144</v>
      </c>
    </row>
    <row r="30" spans="1:6" ht="14.25" customHeight="1" x14ac:dyDescent="0.35">
      <c r="A30" t="s">
        <v>165</v>
      </c>
      <c r="C30" s="56">
        <v>356680.16</v>
      </c>
      <c r="D30" s="56">
        <v>572863.67000000004</v>
      </c>
      <c r="F30" s="2" t="s">
        <v>166</v>
      </c>
    </row>
    <row r="31" spans="1:6" ht="14.25" customHeight="1" x14ac:dyDescent="0.35">
      <c r="A31" t="s">
        <v>167</v>
      </c>
      <c r="B31" s="59">
        <v>0.35</v>
      </c>
      <c r="C31" s="60"/>
      <c r="D31" s="60"/>
    </row>
    <row r="32" spans="1:6" ht="14.25" customHeight="1" x14ac:dyDescent="0.35">
      <c r="A32" t="s">
        <v>168</v>
      </c>
      <c r="E32" s="61">
        <f>-E23/(B31-1)</f>
        <v>6026.7497471999986</v>
      </c>
    </row>
    <row r="33" spans="1:5" ht="14.25" customHeight="1" x14ac:dyDescent="0.35">
      <c r="A33" s="9" t="s">
        <v>169</v>
      </c>
      <c r="E33" s="62">
        <f>IF(OR(D30="",D30="no KPI data"),"no KPI data",D30+E32)</f>
        <v>578890.4197472001</v>
      </c>
    </row>
    <row r="34" spans="1:5" ht="42" customHeight="1" x14ac:dyDescent="0.35">
      <c r="A34" s="63" t="s">
        <v>170</v>
      </c>
    </row>
    <row r="37" spans="1:5" ht="14.25" customHeight="1" x14ac:dyDescent="0.35">
      <c r="A37" s="31" t="s">
        <v>171</v>
      </c>
    </row>
    <row r="38" spans="1:5" ht="33.75" customHeight="1" x14ac:dyDescent="0.35">
      <c r="A38" s="14" t="s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9"/>
  <sheetViews>
    <sheetView showGridLines="0" zoomScaleNormal="100" workbookViewId="0"/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222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223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32</v>
      </c>
      <c r="C9" s="51">
        <v>342</v>
      </c>
      <c r="D9" s="51">
        <v>406</v>
      </c>
      <c r="E9" s="51">
        <v>439</v>
      </c>
    </row>
    <row r="10" spans="1:10" ht="14.25" customHeight="1" x14ac:dyDescent="0.35">
      <c r="A10" t="s">
        <v>145</v>
      </c>
      <c r="C10" s="10">
        <f>C9</f>
        <v>342</v>
      </c>
      <c r="D10" s="10">
        <f>D9</f>
        <v>406</v>
      </c>
      <c r="E10" s="10">
        <f>E9</f>
        <v>439</v>
      </c>
    </row>
    <row r="11" spans="1:10" ht="14.25" customHeight="1" x14ac:dyDescent="0.35">
      <c r="A11" s="2" t="s">
        <v>224</v>
      </c>
    </row>
    <row r="13" spans="1:10" ht="14.25" customHeight="1" x14ac:dyDescent="0.35">
      <c r="A13" s="31" t="s">
        <v>147</v>
      </c>
      <c r="C13" s="52" t="s">
        <v>148</v>
      </c>
      <c r="D13" s="52" t="s">
        <v>149</v>
      </c>
      <c r="E13" s="52" t="s">
        <v>150</v>
      </c>
      <c r="F13" s="52" t="s">
        <v>151</v>
      </c>
    </row>
    <row r="14" spans="1:10" ht="14.25" customHeight="1" x14ac:dyDescent="0.35">
      <c r="A14" t="s">
        <v>152</v>
      </c>
      <c r="B14" s="53">
        <v>291.2</v>
      </c>
      <c r="C14" s="54">
        <f>B14*$J$6</f>
        <v>337.79199999999997</v>
      </c>
      <c r="D14" s="54">
        <f>C14*0.65</f>
        <v>219.56479999999999</v>
      </c>
      <c r="E14" s="55">
        <f>D14*1.05</f>
        <v>230.54303999999999</v>
      </c>
      <c r="F14" s="54">
        <f>E14*1.03</f>
        <v>237.45933120000001</v>
      </c>
    </row>
    <row r="15" spans="1:10" ht="14.25" customHeight="1" x14ac:dyDescent="0.35">
      <c r="A15" s="2" t="s">
        <v>153</v>
      </c>
    </row>
    <row r="17" spans="1:6" ht="14.25" customHeight="1" x14ac:dyDescent="0.35">
      <c r="A17" s="31" t="s">
        <v>225</v>
      </c>
    </row>
    <row r="18" spans="1:6" ht="26.25" customHeight="1" x14ac:dyDescent="0.35">
      <c r="C18" s="4" t="s">
        <v>142</v>
      </c>
      <c r="D18" s="4" t="s">
        <v>143</v>
      </c>
      <c r="E18" s="4" t="s">
        <v>144</v>
      </c>
    </row>
    <row r="19" spans="1:6" ht="14.25" customHeight="1" x14ac:dyDescent="0.35">
      <c r="A19" t="s">
        <v>155</v>
      </c>
      <c r="C19" s="10">
        <f>C9*$D$14</f>
        <v>75091.161599999992</v>
      </c>
      <c r="D19" s="10">
        <f>D9*$D$14</f>
        <v>89143.308799999999</v>
      </c>
      <c r="E19" s="10">
        <f>E9*$E$14</f>
        <v>101208.39456</v>
      </c>
    </row>
    <row r="20" spans="1:6" ht="14.25" customHeight="1" x14ac:dyDescent="0.35">
      <c r="A20" t="s">
        <v>156</v>
      </c>
      <c r="C20" s="56">
        <v>73673.5215497686</v>
      </c>
      <c r="D20" s="56">
        <v>86604.505126576507</v>
      </c>
      <c r="E20" s="56">
        <v>104600</v>
      </c>
      <c r="F20" s="2" t="s">
        <v>157</v>
      </c>
    </row>
    <row r="21" spans="1:6" ht="14.25" customHeight="1" x14ac:dyDescent="0.35">
      <c r="A21" t="s">
        <v>158</v>
      </c>
      <c r="C21" s="29">
        <f>C20/C19</f>
        <v>0.98112107976458052</v>
      </c>
      <c r="D21" s="29">
        <f>D20/D19</f>
        <v>0.97151997488538933</v>
      </c>
      <c r="E21" s="29">
        <f>E20/E19</f>
        <v>1.0335111079940047</v>
      </c>
    </row>
    <row r="22" spans="1:6" ht="14.25" customHeight="1" x14ac:dyDescent="0.35">
      <c r="A22" t="s">
        <v>159</v>
      </c>
      <c r="C22" s="57">
        <v>0</v>
      </c>
      <c r="D22" s="57">
        <v>0</v>
      </c>
      <c r="E22" s="57">
        <v>1.7999999999999999E-2</v>
      </c>
    </row>
    <row r="23" spans="1:6" ht="14.25" customHeight="1" x14ac:dyDescent="0.35">
      <c r="A23" t="s">
        <v>160</v>
      </c>
      <c r="C23" s="10">
        <f>C19*C22</f>
        <v>0</v>
      </c>
      <c r="D23" s="10">
        <f>D19*D22</f>
        <v>0</v>
      </c>
      <c r="E23" s="30">
        <f>E19*E22</f>
        <v>1821.7511020799998</v>
      </c>
    </row>
    <row r="24" spans="1:6" ht="14.25" customHeight="1" x14ac:dyDescent="0.35">
      <c r="A24" s="9" t="s">
        <v>161</v>
      </c>
      <c r="C24" s="13">
        <f>C20+C23</f>
        <v>73673.5215497686</v>
      </c>
      <c r="D24" s="13">
        <f>D20+D23</f>
        <v>86604.505126576507</v>
      </c>
      <c r="E24" s="22">
        <f>E20+E23</f>
        <v>106421.75110208</v>
      </c>
    </row>
    <row r="25" spans="1:6" ht="14.25" customHeight="1" x14ac:dyDescent="0.35">
      <c r="A25" t="s">
        <v>162</v>
      </c>
      <c r="C25" s="11">
        <f>C24/C19</f>
        <v>0.98112107976458052</v>
      </c>
      <c r="D25" s="11">
        <f>D24/D19</f>
        <v>0.97151997488538933</v>
      </c>
      <c r="E25" s="11">
        <f>E24/E19</f>
        <v>1.0515111079940047</v>
      </c>
    </row>
    <row r="26" spans="1:6" ht="14.25" customHeight="1" x14ac:dyDescent="0.35">
      <c r="A26" s="2" t="s">
        <v>226</v>
      </c>
    </row>
    <row r="28" spans="1:6" ht="14.25" customHeight="1" x14ac:dyDescent="0.35">
      <c r="A28" s="58" t="s">
        <v>227</v>
      </c>
    </row>
    <row r="29" spans="1:6" ht="26.25" customHeight="1" x14ac:dyDescent="0.35">
      <c r="C29" s="4" t="s">
        <v>142</v>
      </c>
      <c r="D29" s="4" t="s">
        <v>143</v>
      </c>
      <c r="E29" s="4" t="s">
        <v>144</v>
      </c>
    </row>
    <row r="30" spans="1:6" ht="14.25" customHeight="1" x14ac:dyDescent="0.35">
      <c r="A30" t="s">
        <v>165</v>
      </c>
      <c r="C30" s="56">
        <v>209944</v>
      </c>
      <c r="D30" s="56">
        <v>195849</v>
      </c>
      <c r="F30" s="2" t="s">
        <v>166</v>
      </c>
    </row>
    <row r="31" spans="1:6" ht="14.25" customHeight="1" x14ac:dyDescent="0.35">
      <c r="A31" t="s">
        <v>167</v>
      </c>
      <c r="B31" s="59">
        <v>0.35</v>
      </c>
      <c r="C31" s="60"/>
      <c r="D31" s="60"/>
    </row>
    <row r="32" spans="1:6" ht="14.25" customHeight="1" x14ac:dyDescent="0.35">
      <c r="A32" t="s">
        <v>168</v>
      </c>
      <c r="E32" s="61">
        <f>-E23/(B31-1)</f>
        <v>2802.6940031999998</v>
      </c>
    </row>
    <row r="33" spans="1:5" ht="14.25" customHeight="1" x14ac:dyDescent="0.35">
      <c r="A33" s="9" t="s">
        <v>169</v>
      </c>
      <c r="E33" s="62">
        <f>IF(OR(D30="",D30="no KPI data"),"no KPI data",D30+E32)</f>
        <v>198651.69400320001</v>
      </c>
    </row>
    <row r="34" spans="1:5" ht="42" customHeight="1" x14ac:dyDescent="0.35">
      <c r="A34" s="63" t="s">
        <v>170</v>
      </c>
    </row>
    <row r="37" spans="1:5" ht="14.25" customHeight="1" x14ac:dyDescent="0.35">
      <c r="A37" s="31" t="s">
        <v>171</v>
      </c>
    </row>
    <row r="38" spans="1:5" ht="33.75" customHeight="1" x14ac:dyDescent="0.35">
      <c r="A38" s="14" t="s">
        <v>172</v>
      </c>
    </row>
    <row r="39" spans="1:5" ht="22.5" customHeight="1" x14ac:dyDescent="0.35">
      <c r="A39" s="14" t="s">
        <v>208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5"/>
  <sheetViews>
    <sheetView showGridLines="0" zoomScaleNormal="100" workbookViewId="0"/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228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229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230</v>
      </c>
      <c r="C9" s="51">
        <v>719</v>
      </c>
      <c r="D9" s="51">
        <v>697</v>
      </c>
      <c r="E9" s="51">
        <v>1066</v>
      </c>
    </row>
    <row r="10" spans="1:10" ht="14.25" customHeight="1" x14ac:dyDescent="0.35">
      <c r="A10" t="s">
        <v>231</v>
      </c>
      <c r="C10" s="51">
        <v>36</v>
      </c>
      <c r="D10" s="51">
        <v>35</v>
      </c>
      <c r="E10" s="51">
        <v>34</v>
      </c>
    </row>
    <row r="11" spans="1:10" ht="14.25" customHeight="1" x14ac:dyDescent="0.35">
      <c r="A11" t="s">
        <v>232</v>
      </c>
      <c r="C11" s="51">
        <v>0</v>
      </c>
      <c r="D11" s="51">
        <v>0</v>
      </c>
      <c r="E11" s="51">
        <v>0</v>
      </c>
    </row>
    <row r="12" spans="1:10" ht="14.25" customHeight="1" x14ac:dyDescent="0.35">
      <c r="A12" t="s">
        <v>233</v>
      </c>
      <c r="C12" s="51">
        <v>12709</v>
      </c>
      <c r="D12" s="51">
        <v>13048</v>
      </c>
      <c r="E12" s="51">
        <v>13657</v>
      </c>
    </row>
    <row r="13" spans="1:10" ht="14.25" customHeight="1" x14ac:dyDescent="0.35">
      <c r="A13" s="9" t="s">
        <v>145</v>
      </c>
      <c r="C13" s="13">
        <f>SUM(C9:C12)</f>
        <v>13464</v>
      </c>
      <c r="D13" s="13">
        <f>SUM(D9:D12)</f>
        <v>13780</v>
      </c>
      <c r="E13" s="13">
        <f>SUM(E9:E12)</f>
        <v>14757</v>
      </c>
    </row>
    <row r="14" spans="1:10" ht="14.25" customHeight="1" x14ac:dyDescent="0.35">
      <c r="A14" s="2" t="s">
        <v>234</v>
      </c>
    </row>
    <row r="16" spans="1:10" ht="14.25" customHeight="1" x14ac:dyDescent="0.35">
      <c r="A16" s="31" t="s">
        <v>235</v>
      </c>
      <c r="C16" s="52" t="s">
        <v>236</v>
      </c>
      <c r="D16" s="52" t="s">
        <v>150</v>
      </c>
    </row>
    <row r="17" spans="1:6" ht="14.25" customHeight="1" x14ac:dyDescent="0.35">
      <c r="A17" t="s">
        <v>237</v>
      </c>
      <c r="C17" s="53">
        <v>739</v>
      </c>
      <c r="D17" s="55">
        <f>C17*1.05</f>
        <v>775.95</v>
      </c>
    </row>
    <row r="18" spans="1:6" ht="14.25" customHeight="1" x14ac:dyDescent="0.35">
      <c r="A18" t="s">
        <v>238</v>
      </c>
      <c r="C18" s="53">
        <v>887</v>
      </c>
      <c r="D18" s="55">
        <f>C18*1.05</f>
        <v>931.35</v>
      </c>
    </row>
    <row r="19" spans="1:6" ht="14.25" customHeight="1" x14ac:dyDescent="0.35">
      <c r="A19" t="s">
        <v>239</v>
      </c>
      <c r="C19" s="53">
        <v>887</v>
      </c>
      <c r="D19" s="55">
        <f>C19*1.05</f>
        <v>931.35</v>
      </c>
    </row>
    <row r="20" spans="1:6" ht="14.25" customHeight="1" x14ac:dyDescent="0.35">
      <c r="A20" t="s">
        <v>240</v>
      </c>
      <c r="C20" s="54">
        <f>291.2*$J$6*0.65</f>
        <v>219.56479999999999</v>
      </c>
      <c r="D20" s="55">
        <f>C20*1.05</f>
        <v>230.54303999999999</v>
      </c>
    </row>
    <row r="21" spans="1:6" ht="14.25" customHeight="1" x14ac:dyDescent="0.35">
      <c r="A21" s="2" t="s">
        <v>241</v>
      </c>
    </row>
    <row r="23" spans="1:6" ht="14.25" customHeight="1" x14ac:dyDescent="0.35">
      <c r="A23" s="31" t="s">
        <v>242</v>
      </c>
    </row>
    <row r="24" spans="1:6" ht="26.25" customHeight="1" x14ac:dyDescent="0.35">
      <c r="C24" s="4" t="s">
        <v>142</v>
      </c>
      <c r="D24" s="4" t="s">
        <v>143</v>
      </c>
      <c r="E24" s="4" t="s">
        <v>144</v>
      </c>
    </row>
    <row r="25" spans="1:6" ht="14.25" customHeight="1" x14ac:dyDescent="0.35">
      <c r="A25" t="s">
        <v>155</v>
      </c>
      <c r="C25" s="10">
        <f>C9*$C$17+C10*$C$18+C11*$C$19+C12*$C$20</f>
        <v>3353722.0431999997</v>
      </c>
      <c r="D25" s="10">
        <f>D9*$C$17+D10*$C$18+D11*$C$19+D12*$C$20</f>
        <v>3411009.5104</v>
      </c>
      <c r="E25" s="10">
        <f>E9*$D$17+E10*$D$18+E11*$D$19+E12*$D$20</f>
        <v>4007354.8972800002</v>
      </c>
    </row>
    <row r="26" spans="1:6" ht="14.25" customHeight="1" x14ac:dyDescent="0.35">
      <c r="A26" t="s">
        <v>156</v>
      </c>
      <c r="C26" s="56">
        <v>2589331.9239570298</v>
      </c>
      <c r="D26" s="56">
        <v>2647396.27706812</v>
      </c>
      <c r="E26" s="56">
        <v>2913662.84</v>
      </c>
      <c r="F26" s="2" t="s">
        <v>157</v>
      </c>
    </row>
    <row r="27" spans="1:6" ht="14.25" customHeight="1" x14ac:dyDescent="0.35">
      <c r="A27" t="s">
        <v>158</v>
      </c>
      <c r="C27" s="29">
        <f>C26/C25</f>
        <v>0.77207708051034052</v>
      </c>
      <c r="D27" s="29">
        <f>D26/D25</f>
        <v>0.77613277506155853</v>
      </c>
      <c r="E27" s="29">
        <f>E26/E25</f>
        <v>0.72707881250489048</v>
      </c>
    </row>
    <row r="28" spans="1:6" ht="14.25" customHeight="1" x14ac:dyDescent="0.35">
      <c r="A28" t="s">
        <v>159</v>
      </c>
      <c r="C28" s="57">
        <v>0</v>
      </c>
      <c r="D28" s="57">
        <v>0</v>
      </c>
      <c r="E28" s="57">
        <v>1.7999999999999999E-2</v>
      </c>
    </row>
    <row r="29" spans="1:6" ht="14.25" customHeight="1" x14ac:dyDescent="0.35">
      <c r="A29" t="s">
        <v>160</v>
      </c>
      <c r="C29" s="10">
        <f>C25*C28</f>
        <v>0</v>
      </c>
      <c r="D29" s="10">
        <f>D25*D28</f>
        <v>0</v>
      </c>
      <c r="E29" s="30">
        <f>E25*E28</f>
        <v>72132.388151039995</v>
      </c>
    </row>
    <row r="30" spans="1:6" ht="14.25" customHeight="1" x14ac:dyDescent="0.35">
      <c r="A30" s="9" t="s">
        <v>161</v>
      </c>
      <c r="C30" s="13">
        <f>C26+C29</f>
        <v>2589331.9239570298</v>
      </c>
      <c r="D30" s="13">
        <f>D26+D29</f>
        <v>2647396.27706812</v>
      </c>
      <c r="E30" s="22">
        <f>E26+E29</f>
        <v>2985795.2281510397</v>
      </c>
    </row>
    <row r="31" spans="1:6" ht="14.25" customHeight="1" x14ac:dyDescent="0.35">
      <c r="A31" t="s">
        <v>162</v>
      </c>
      <c r="C31" s="11">
        <f>C30/C25</f>
        <v>0.77207708051034052</v>
      </c>
      <c r="D31" s="11">
        <f>D30/D25</f>
        <v>0.77613277506155853</v>
      </c>
      <c r="E31" s="11">
        <f>E30/E25</f>
        <v>0.74507881250489039</v>
      </c>
    </row>
    <row r="32" spans="1:6" ht="14.25" customHeight="1" x14ac:dyDescent="0.35">
      <c r="A32" s="2" t="s">
        <v>243</v>
      </c>
    </row>
    <row r="34" spans="1:6" ht="14.25" customHeight="1" x14ac:dyDescent="0.35">
      <c r="A34" s="58" t="s">
        <v>244</v>
      </c>
    </row>
    <row r="35" spans="1:6" ht="26.25" customHeight="1" x14ac:dyDescent="0.35">
      <c r="C35" s="4" t="s">
        <v>142</v>
      </c>
      <c r="D35" s="4" t="s">
        <v>143</v>
      </c>
      <c r="E35" s="4" t="s">
        <v>144</v>
      </c>
    </row>
    <row r="36" spans="1:6" ht="14.25" customHeight="1" x14ac:dyDescent="0.35">
      <c r="A36" t="s">
        <v>165</v>
      </c>
      <c r="C36" s="56">
        <v>4475521</v>
      </c>
      <c r="D36" s="56"/>
      <c r="F36" s="64" t="s">
        <v>245</v>
      </c>
    </row>
    <row r="37" spans="1:6" ht="14.25" customHeight="1" x14ac:dyDescent="0.35">
      <c r="A37" t="s">
        <v>167</v>
      </c>
      <c r="B37" s="59">
        <v>0.35</v>
      </c>
      <c r="C37" s="60"/>
      <c r="D37" s="60"/>
    </row>
    <row r="38" spans="1:6" ht="14.25" customHeight="1" x14ac:dyDescent="0.35">
      <c r="A38" t="s">
        <v>168</v>
      </c>
      <c r="E38" s="61">
        <f>-E29/(B37-1)</f>
        <v>110972.90484775383</v>
      </c>
    </row>
    <row r="39" spans="1:6" ht="14.25" customHeight="1" x14ac:dyDescent="0.35">
      <c r="A39" s="9" t="s">
        <v>169</v>
      </c>
      <c r="E39" s="62" t="str">
        <f>IF(OR(D36="",D36="no KPI data"),"no KPI data",D36+E38)</f>
        <v>no KPI data</v>
      </c>
    </row>
    <row r="40" spans="1:6" ht="42" customHeight="1" x14ac:dyDescent="0.35">
      <c r="A40" s="63" t="s">
        <v>170</v>
      </c>
    </row>
    <row r="43" spans="1:6" ht="14.25" customHeight="1" x14ac:dyDescent="0.35">
      <c r="A43" s="31" t="s">
        <v>171</v>
      </c>
    </row>
    <row r="44" spans="1:6" ht="22.5" customHeight="1" x14ac:dyDescent="0.35">
      <c r="A44" s="14" t="s">
        <v>246</v>
      </c>
    </row>
    <row r="45" spans="1:6" ht="33.75" customHeight="1" x14ac:dyDescent="0.35">
      <c r="A45" s="14" t="s">
        <v>247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5"/>
  <sheetViews>
    <sheetView showGridLines="0" zoomScaleNormal="100" workbookViewId="0"/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248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249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230</v>
      </c>
      <c r="C9" s="51">
        <v>123</v>
      </c>
      <c r="D9" s="51">
        <v>113</v>
      </c>
      <c r="E9" s="51">
        <v>145</v>
      </c>
    </row>
    <row r="10" spans="1:10" ht="14.25" customHeight="1" x14ac:dyDescent="0.35">
      <c r="A10" t="s">
        <v>231</v>
      </c>
      <c r="C10" s="51">
        <v>0</v>
      </c>
      <c r="D10" s="51">
        <v>0</v>
      </c>
      <c r="E10" s="51">
        <v>0</v>
      </c>
    </row>
    <row r="11" spans="1:10" ht="14.25" customHeight="1" x14ac:dyDescent="0.35">
      <c r="A11" t="s">
        <v>232</v>
      </c>
      <c r="C11" s="51">
        <v>0</v>
      </c>
      <c r="D11" s="51">
        <v>0</v>
      </c>
      <c r="E11" s="51">
        <v>0</v>
      </c>
    </row>
    <row r="12" spans="1:10" ht="14.25" customHeight="1" x14ac:dyDescent="0.35">
      <c r="A12" t="s">
        <v>233</v>
      </c>
      <c r="C12" s="51">
        <v>9160</v>
      </c>
      <c r="D12" s="51">
        <v>9452</v>
      </c>
      <c r="E12" s="51">
        <v>10008</v>
      </c>
    </row>
    <row r="13" spans="1:10" ht="14.25" customHeight="1" x14ac:dyDescent="0.35">
      <c r="A13" s="9" t="s">
        <v>145</v>
      </c>
      <c r="C13" s="13">
        <f>SUM(C9:C12)</f>
        <v>9283</v>
      </c>
      <c r="D13" s="13">
        <f>SUM(D9:D12)</f>
        <v>9565</v>
      </c>
      <c r="E13" s="13">
        <f>SUM(E9:E12)</f>
        <v>10153</v>
      </c>
    </row>
    <row r="14" spans="1:10" ht="14.25" customHeight="1" x14ac:dyDescent="0.35">
      <c r="A14" s="2" t="s">
        <v>250</v>
      </c>
    </row>
    <row r="16" spans="1:10" ht="14.25" customHeight="1" x14ac:dyDescent="0.35">
      <c r="A16" s="31" t="s">
        <v>235</v>
      </c>
      <c r="C16" s="52" t="s">
        <v>236</v>
      </c>
      <c r="D16" s="52" t="s">
        <v>150</v>
      </c>
    </row>
    <row r="17" spans="1:6" ht="14.25" customHeight="1" x14ac:dyDescent="0.35">
      <c r="A17" t="s">
        <v>237</v>
      </c>
      <c r="C17" s="53">
        <v>739</v>
      </c>
      <c r="D17" s="55">
        <f>C17*1.05</f>
        <v>775.95</v>
      </c>
    </row>
    <row r="18" spans="1:6" ht="14.25" customHeight="1" x14ac:dyDescent="0.35">
      <c r="A18" t="s">
        <v>238</v>
      </c>
      <c r="C18" s="53">
        <v>887</v>
      </c>
      <c r="D18" s="55">
        <f>C18*1.05</f>
        <v>931.35</v>
      </c>
    </row>
    <row r="19" spans="1:6" ht="14.25" customHeight="1" x14ac:dyDescent="0.35">
      <c r="A19" t="s">
        <v>239</v>
      </c>
      <c r="C19" s="53">
        <v>887</v>
      </c>
      <c r="D19" s="55">
        <f>C19*1.05</f>
        <v>931.35</v>
      </c>
    </row>
    <row r="20" spans="1:6" ht="14.25" customHeight="1" x14ac:dyDescent="0.35">
      <c r="A20" t="s">
        <v>240</v>
      </c>
      <c r="C20" s="54">
        <f>291.2*$J$6*0.65</f>
        <v>219.56479999999999</v>
      </c>
      <c r="D20" s="55">
        <f>C20*1.05</f>
        <v>230.54303999999999</v>
      </c>
    </row>
    <row r="21" spans="1:6" ht="14.25" customHeight="1" x14ac:dyDescent="0.35">
      <c r="A21" s="2" t="s">
        <v>241</v>
      </c>
    </row>
    <row r="23" spans="1:6" ht="14.25" customHeight="1" x14ac:dyDescent="0.35">
      <c r="A23" s="31" t="s">
        <v>251</v>
      </c>
    </row>
    <row r="24" spans="1:6" ht="26.25" customHeight="1" x14ac:dyDescent="0.35">
      <c r="C24" s="4" t="s">
        <v>142</v>
      </c>
      <c r="D24" s="4" t="s">
        <v>143</v>
      </c>
      <c r="E24" s="4" t="s">
        <v>144</v>
      </c>
    </row>
    <row r="25" spans="1:6" ht="14.25" customHeight="1" x14ac:dyDescent="0.35">
      <c r="A25" t="s">
        <v>155</v>
      </c>
      <c r="C25" s="10">
        <f>C9*$C$17+C10*$C$18+C11*$C$19+C12*$C$20</f>
        <v>2102110.568</v>
      </c>
      <c r="D25" s="10">
        <f>D9*$C$17+D10*$C$18+D11*$C$19+D12*$C$20</f>
        <v>2158833.4896</v>
      </c>
      <c r="E25" s="10">
        <f>E9*$D$17+E10*$D$18+E11*$D$19+E12*$D$20</f>
        <v>2419787.4943200001</v>
      </c>
    </row>
    <row r="26" spans="1:6" ht="14.25" customHeight="1" x14ac:dyDescent="0.35">
      <c r="A26" t="s">
        <v>156</v>
      </c>
      <c r="C26" s="56">
        <v>2229128.6123891198</v>
      </c>
      <c r="D26" s="56">
        <v>2110127.6594392499</v>
      </c>
      <c r="E26" s="56">
        <v>2296577.34</v>
      </c>
      <c r="F26" s="2" t="s">
        <v>157</v>
      </c>
    </row>
    <row r="27" spans="1:6" ht="14.25" customHeight="1" x14ac:dyDescent="0.35">
      <c r="A27" t="s">
        <v>158</v>
      </c>
      <c r="C27" s="29">
        <f>C26/C25</f>
        <v>1.0604240549106643</v>
      </c>
      <c r="D27" s="29">
        <f>D26/D25</f>
        <v>0.97743882036507845</v>
      </c>
      <c r="E27" s="29">
        <f>E26/E25</f>
        <v>0.94908224188726775</v>
      </c>
    </row>
    <row r="28" spans="1:6" ht="14.25" customHeight="1" x14ac:dyDescent="0.35">
      <c r="A28" t="s">
        <v>159</v>
      </c>
      <c r="C28" s="57">
        <v>0</v>
      </c>
      <c r="D28" s="57">
        <v>0</v>
      </c>
      <c r="E28" s="57">
        <v>1.7999999999999999E-2</v>
      </c>
    </row>
    <row r="29" spans="1:6" ht="14.25" customHeight="1" x14ac:dyDescent="0.35">
      <c r="A29" t="s">
        <v>160</v>
      </c>
      <c r="C29" s="10">
        <f>C25*C28</f>
        <v>0</v>
      </c>
      <c r="D29" s="10">
        <f>D25*D28</f>
        <v>0</v>
      </c>
      <c r="E29" s="30">
        <f>E25*E28</f>
        <v>43556.17489776</v>
      </c>
    </row>
    <row r="30" spans="1:6" ht="14.25" customHeight="1" x14ac:dyDescent="0.35">
      <c r="A30" s="9" t="s">
        <v>161</v>
      </c>
      <c r="C30" s="13">
        <f>C26+C29</f>
        <v>2229128.6123891198</v>
      </c>
      <c r="D30" s="13">
        <f>D26+D29</f>
        <v>2110127.6594392499</v>
      </c>
      <c r="E30" s="22">
        <f>E26+E29</f>
        <v>2340133.51489776</v>
      </c>
    </row>
    <row r="31" spans="1:6" ht="14.25" customHeight="1" x14ac:dyDescent="0.35">
      <c r="A31" t="s">
        <v>162</v>
      </c>
      <c r="C31" s="11">
        <f>C30/C25</f>
        <v>1.0604240549106643</v>
      </c>
      <c r="D31" s="11">
        <f>D30/D25</f>
        <v>0.97743882036507845</v>
      </c>
      <c r="E31" s="11">
        <f>E30/E25</f>
        <v>0.96708224188726777</v>
      </c>
    </row>
    <row r="32" spans="1:6" ht="14.25" customHeight="1" x14ac:dyDescent="0.35">
      <c r="A32" s="2" t="s">
        <v>252</v>
      </c>
    </row>
    <row r="34" spans="1:6" ht="14.25" customHeight="1" x14ac:dyDescent="0.35">
      <c r="A34" s="58" t="s">
        <v>253</v>
      </c>
    </row>
    <row r="35" spans="1:6" ht="26.25" customHeight="1" x14ac:dyDescent="0.35">
      <c r="C35" s="4" t="s">
        <v>142</v>
      </c>
      <c r="D35" s="4" t="s">
        <v>143</v>
      </c>
      <c r="E35" s="4" t="s">
        <v>144</v>
      </c>
    </row>
    <row r="36" spans="1:6" ht="14.25" customHeight="1" x14ac:dyDescent="0.35">
      <c r="A36" t="s">
        <v>165</v>
      </c>
      <c r="C36" s="56">
        <v>4056302</v>
      </c>
      <c r="D36" s="56">
        <v>6834272</v>
      </c>
      <c r="F36" s="64" t="s">
        <v>254</v>
      </c>
    </row>
    <row r="37" spans="1:6" ht="14.25" customHeight="1" x14ac:dyDescent="0.35">
      <c r="A37" t="s">
        <v>167</v>
      </c>
      <c r="B37" s="59">
        <v>0.35</v>
      </c>
      <c r="C37" s="60"/>
      <c r="D37" s="60"/>
    </row>
    <row r="38" spans="1:6" ht="14.25" customHeight="1" x14ac:dyDescent="0.35">
      <c r="A38" t="s">
        <v>168</v>
      </c>
      <c r="E38" s="61">
        <f>-E29/(B37-1)</f>
        <v>67009.499842707693</v>
      </c>
    </row>
    <row r="39" spans="1:6" ht="14.25" customHeight="1" x14ac:dyDescent="0.35">
      <c r="A39" s="9" t="s">
        <v>169</v>
      </c>
      <c r="E39" s="62">
        <f>IF(OR(D36="",D36="no KPI data"),"no KPI data",D36+E38)</f>
        <v>6901281.499842708</v>
      </c>
    </row>
    <row r="40" spans="1:6" ht="42" customHeight="1" x14ac:dyDescent="0.35">
      <c r="A40" s="63" t="s">
        <v>170</v>
      </c>
    </row>
    <row r="43" spans="1:6" ht="14.25" customHeight="1" x14ac:dyDescent="0.35">
      <c r="A43" s="31" t="s">
        <v>171</v>
      </c>
    </row>
    <row r="44" spans="1:6" ht="22.5" customHeight="1" x14ac:dyDescent="0.35">
      <c r="A44" s="14" t="s">
        <v>246</v>
      </c>
    </row>
    <row r="45" spans="1:6" ht="45" customHeight="1" x14ac:dyDescent="0.35">
      <c r="A45" s="14" t="s">
        <v>255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4"/>
  <sheetViews>
    <sheetView showGridLines="0" zoomScaleNormal="100" workbookViewId="0"/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256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257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230</v>
      </c>
      <c r="C9" s="51">
        <v>2239</v>
      </c>
      <c r="D9" s="51">
        <v>2206</v>
      </c>
      <c r="E9" s="51">
        <v>2596</v>
      </c>
    </row>
    <row r="10" spans="1:10" ht="14.25" customHeight="1" x14ac:dyDescent="0.35">
      <c r="A10" t="s">
        <v>231</v>
      </c>
      <c r="C10" s="51">
        <v>0</v>
      </c>
      <c r="D10" s="51">
        <v>0</v>
      </c>
      <c r="E10" s="51">
        <v>96</v>
      </c>
    </row>
    <row r="11" spans="1:10" ht="14.25" customHeight="1" x14ac:dyDescent="0.35">
      <c r="A11" t="s">
        <v>232</v>
      </c>
      <c r="C11" s="51">
        <v>254</v>
      </c>
      <c r="D11" s="51">
        <v>269</v>
      </c>
      <c r="E11" s="51">
        <v>261</v>
      </c>
    </row>
    <row r="12" spans="1:10" ht="14.25" customHeight="1" x14ac:dyDescent="0.35">
      <c r="A12" t="s">
        <v>233</v>
      </c>
      <c r="C12" s="51">
        <v>4410</v>
      </c>
      <c r="D12" s="51">
        <v>4733</v>
      </c>
      <c r="E12" s="51">
        <v>5491</v>
      </c>
    </row>
    <row r="13" spans="1:10" ht="14.25" customHeight="1" x14ac:dyDescent="0.35">
      <c r="A13" s="9" t="s">
        <v>145</v>
      </c>
      <c r="C13" s="13">
        <f>SUM(C9:C12)</f>
        <v>6903</v>
      </c>
      <c r="D13" s="13">
        <f>SUM(D9:D12)</f>
        <v>7208</v>
      </c>
      <c r="E13" s="13">
        <f>SUM(E9:E12)</f>
        <v>8444</v>
      </c>
    </row>
    <row r="14" spans="1:10" ht="14.25" customHeight="1" x14ac:dyDescent="0.35">
      <c r="A14" s="2" t="s">
        <v>258</v>
      </c>
    </row>
    <row r="16" spans="1:10" ht="14.25" customHeight="1" x14ac:dyDescent="0.35">
      <c r="A16" s="31" t="s">
        <v>235</v>
      </c>
      <c r="C16" s="52" t="s">
        <v>236</v>
      </c>
      <c r="D16" s="52" t="s">
        <v>150</v>
      </c>
    </row>
    <row r="17" spans="1:6" ht="14.25" customHeight="1" x14ac:dyDescent="0.35">
      <c r="A17" t="s">
        <v>237</v>
      </c>
      <c r="C17" s="53">
        <v>739</v>
      </c>
      <c r="D17" s="55">
        <f>C17*1.05</f>
        <v>775.95</v>
      </c>
    </row>
    <row r="18" spans="1:6" ht="14.25" customHeight="1" x14ac:dyDescent="0.35">
      <c r="A18" t="s">
        <v>238</v>
      </c>
      <c r="C18" s="53">
        <v>887</v>
      </c>
      <c r="D18" s="55">
        <f>C18*1.05</f>
        <v>931.35</v>
      </c>
    </row>
    <row r="19" spans="1:6" ht="14.25" customHeight="1" x14ac:dyDescent="0.35">
      <c r="A19" t="s">
        <v>239</v>
      </c>
      <c r="C19" s="53">
        <v>887</v>
      </c>
      <c r="D19" s="55">
        <f>C19*1.05</f>
        <v>931.35</v>
      </c>
    </row>
    <row r="20" spans="1:6" ht="14.25" customHeight="1" x14ac:dyDescent="0.35">
      <c r="A20" t="s">
        <v>240</v>
      </c>
      <c r="C20" s="54">
        <f>291.2*$J$6*0.65</f>
        <v>219.56479999999999</v>
      </c>
      <c r="D20" s="55">
        <f>C20*1.05</f>
        <v>230.54303999999999</v>
      </c>
    </row>
    <row r="21" spans="1:6" ht="14.25" customHeight="1" x14ac:dyDescent="0.35">
      <c r="A21" s="2" t="s">
        <v>241</v>
      </c>
    </row>
    <row r="23" spans="1:6" ht="14.25" customHeight="1" x14ac:dyDescent="0.35">
      <c r="A23" s="31" t="s">
        <v>259</v>
      </c>
    </row>
    <row r="24" spans="1:6" ht="26.25" customHeight="1" x14ac:dyDescent="0.35">
      <c r="C24" s="4" t="s">
        <v>142</v>
      </c>
      <c r="D24" s="4" t="s">
        <v>143</v>
      </c>
      <c r="E24" s="4" t="s">
        <v>144</v>
      </c>
    </row>
    <row r="25" spans="1:6" ht="14.25" customHeight="1" x14ac:dyDescent="0.35">
      <c r="A25" t="s">
        <v>155</v>
      </c>
      <c r="C25" s="10">
        <f>C9*$C$17+C10*$C$18+C11*$C$19+C12*$C$20</f>
        <v>2848199.7680000002</v>
      </c>
      <c r="D25" s="10">
        <f>D9*$C$17+D10*$C$18+D11*$C$19+D12*$C$20</f>
        <v>2908037.1984000001</v>
      </c>
      <c r="E25" s="10">
        <f>E9*$D$17+E10*$D$18+E11*$D$19+E12*$D$20</f>
        <v>3612769.9826400001</v>
      </c>
    </row>
    <row r="26" spans="1:6" ht="14.25" customHeight="1" x14ac:dyDescent="0.35">
      <c r="A26" t="s">
        <v>156</v>
      </c>
      <c r="C26" s="56">
        <v>1544440.6309585799</v>
      </c>
      <c r="D26" s="56">
        <v>1822338.8164608099</v>
      </c>
      <c r="E26" s="56">
        <v>1858269.4</v>
      </c>
      <c r="F26" s="2" t="s">
        <v>157</v>
      </c>
    </row>
    <row r="27" spans="1:6" ht="14.25" customHeight="1" x14ac:dyDescent="0.35">
      <c r="A27" t="s">
        <v>158</v>
      </c>
      <c r="C27" s="29">
        <f>C26/C25</f>
        <v>0.5422515120991962</v>
      </c>
      <c r="D27" s="29">
        <f>D26/D25</f>
        <v>0.62665595112175987</v>
      </c>
      <c r="E27" s="29">
        <f>E26/E25</f>
        <v>0.51436139276215032</v>
      </c>
    </row>
    <row r="28" spans="1:6" ht="14.25" customHeight="1" x14ac:dyDescent="0.35">
      <c r="A28" t="s">
        <v>159</v>
      </c>
      <c r="C28" s="57">
        <v>0</v>
      </c>
      <c r="D28" s="57">
        <v>0</v>
      </c>
      <c r="E28" s="57">
        <v>1.7999999999999999E-2</v>
      </c>
    </row>
    <row r="29" spans="1:6" ht="14.25" customHeight="1" x14ac:dyDescent="0.35">
      <c r="A29" t="s">
        <v>160</v>
      </c>
      <c r="C29" s="10">
        <f>C25*C28</f>
        <v>0</v>
      </c>
      <c r="D29" s="10">
        <f>D25*D28</f>
        <v>0</v>
      </c>
      <c r="E29" s="30">
        <f>E25*E28</f>
        <v>65029.859687519995</v>
      </c>
    </row>
    <row r="30" spans="1:6" ht="14.25" customHeight="1" x14ac:dyDescent="0.35">
      <c r="A30" s="9" t="s">
        <v>161</v>
      </c>
      <c r="C30" s="13">
        <f>C26+C29</f>
        <v>1544440.6309585799</v>
      </c>
      <c r="D30" s="13">
        <f>D26+D29</f>
        <v>1822338.8164608099</v>
      </c>
      <c r="E30" s="22">
        <f>E26+E29</f>
        <v>1923299.2596875199</v>
      </c>
    </row>
    <row r="31" spans="1:6" ht="14.25" customHeight="1" x14ac:dyDescent="0.35">
      <c r="A31" t="s">
        <v>162</v>
      </c>
      <c r="C31" s="11">
        <f>C30/C25</f>
        <v>0.5422515120991962</v>
      </c>
      <c r="D31" s="11">
        <f>D30/D25</f>
        <v>0.62665595112175987</v>
      </c>
      <c r="E31" s="11">
        <f>E30/E25</f>
        <v>0.53236139276215022</v>
      </c>
    </row>
    <row r="32" spans="1:6" ht="14.25" customHeight="1" x14ac:dyDescent="0.35">
      <c r="A32" s="2" t="s">
        <v>260</v>
      </c>
    </row>
    <row r="34" spans="1:6" ht="14.25" customHeight="1" x14ac:dyDescent="0.35">
      <c r="A34" s="58" t="s">
        <v>261</v>
      </c>
    </row>
    <row r="35" spans="1:6" ht="26.25" customHeight="1" x14ac:dyDescent="0.35">
      <c r="C35" s="4" t="s">
        <v>142</v>
      </c>
      <c r="D35" s="4" t="s">
        <v>143</v>
      </c>
      <c r="E35" s="4" t="s">
        <v>144</v>
      </c>
    </row>
    <row r="36" spans="1:6" ht="14.25" customHeight="1" x14ac:dyDescent="0.35">
      <c r="A36" t="s">
        <v>165</v>
      </c>
      <c r="C36" s="56">
        <v>2229187</v>
      </c>
      <c r="D36" s="56">
        <v>4047903</v>
      </c>
      <c r="F36" s="64" t="s">
        <v>262</v>
      </c>
    </row>
    <row r="37" spans="1:6" ht="14.25" customHeight="1" x14ac:dyDescent="0.35">
      <c r="A37" t="s">
        <v>167</v>
      </c>
      <c r="B37" s="59">
        <v>0.35</v>
      </c>
      <c r="C37" s="60"/>
      <c r="D37" s="60"/>
    </row>
    <row r="38" spans="1:6" ht="14.25" customHeight="1" x14ac:dyDescent="0.35">
      <c r="A38" t="s">
        <v>168</v>
      </c>
      <c r="E38" s="61">
        <f>-E29/(B37-1)</f>
        <v>100045.93798079999</v>
      </c>
    </row>
    <row r="39" spans="1:6" ht="14.25" customHeight="1" x14ac:dyDescent="0.35">
      <c r="A39" s="9" t="s">
        <v>169</v>
      </c>
      <c r="E39" s="62">
        <f>IF(OR(D36="",D36="no KPI data"),"no KPI data",D36+E38)</f>
        <v>4147948.9379807999</v>
      </c>
    </row>
    <row r="40" spans="1:6" ht="42" customHeight="1" x14ac:dyDescent="0.35">
      <c r="A40" s="63" t="s">
        <v>170</v>
      </c>
    </row>
    <row r="43" spans="1:6" ht="14.25" customHeight="1" x14ac:dyDescent="0.35">
      <c r="A43" s="31" t="s">
        <v>171</v>
      </c>
    </row>
    <row r="44" spans="1:6" ht="22.5" customHeight="1" x14ac:dyDescent="0.35">
      <c r="A44" s="14" t="s">
        <v>246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5"/>
  <sheetViews>
    <sheetView showGridLines="0" zoomScaleNormal="100" workbookViewId="0"/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263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264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230</v>
      </c>
      <c r="C9" s="51">
        <v>749</v>
      </c>
      <c r="D9" s="51">
        <v>731</v>
      </c>
      <c r="E9" s="51">
        <v>925</v>
      </c>
    </row>
    <row r="10" spans="1:10" ht="14.25" customHeight="1" x14ac:dyDescent="0.35">
      <c r="A10" t="s">
        <v>231</v>
      </c>
      <c r="C10" s="51">
        <v>0</v>
      </c>
      <c r="D10" s="51">
        <v>0</v>
      </c>
      <c r="E10" s="51">
        <v>36</v>
      </c>
    </row>
    <row r="11" spans="1:10" ht="14.25" customHeight="1" x14ac:dyDescent="0.35">
      <c r="A11" t="s">
        <v>232</v>
      </c>
      <c r="C11" s="51">
        <v>67</v>
      </c>
      <c r="D11" s="51">
        <v>92</v>
      </c>
      <c r="E11" s="51">
        <v>89</v>
      </c>
    </row>
    <row r="12" spans="1:10" ht="14.25" customHeight="1" x14ac:dyDescent="0.35">
      <c r="A12" t="s">
        <v>233</v>
      </c>
      <c r="C12" s="51">
        <v>1135</v>
      </c>
      <c r="D12" s="51">
        <v>1338</v>
      </c>
      <c r="E12" s="51">
        <v>1728</v>
      </c>
    </row>
    <row r="13" spans="1:10" ht="14.25" customHeight="1" x14ac:dyDescent="0.35">
      <c r="A13" s="9" t="s">
        <v>145</v>
      </c>
      <c r="C13" s="13">
        <f>SUM(C9:C12)</f>
        <v>1951</v>
      </c>
      <c r="D13" s="13">
        <f>SUM(D9:D12)</f>
        <v>2161</v>
      </c>
      <c r="E13" s="13">
        <f>SUM(E9:E12)</f>
        <v>2778</v>
      </c>
    </row>
    <row r="14" spans="1:10" ht="14.25" customHeight="1" x14ac:dyDescent="0.35">
      <c r="A14" s="2" t="s">
        <v>265</v>
      </c>
    </row>
    <row r="16" spans="1:10" ht="14.25" customHeight="1" x14ac:dyDescent="0.35">
      <c r="A16" s="31" t="s">
        <v>235</v>
      </c>
      <c r="C16" s="52" t="s">
        <v>236</v>
      </c>
      <c r="D16" s="52" t="s">
        <v>150</v>
      </c>
    </row>
    <row r="17" spans="1:6" ht="14.25" customHeight="1" x14ac:dyDescent="0.35">
      <c r="A17" t="s">
        <v>237</v>
      </c>
      <c r="C17" s="53">
        <v>739</v>
      </c>
      <c r="D17" s="55">
        <f>C17*1.05</f>
        <v>775.95</v>
      </c>
    </row>
    <row r="18" spans="1:6" ht="14.25" customHeight="1" x14ac:dyDescent="0.35">
      <c r="A18" t="s">
        <v>238</v>
      </c>
      <c r="C18" s="53">
        <v>887</v>
      </c>
      <c r="D18" s="55">
        <f>C18*1.05</f>
        <v>931.35</v>
      </c>
    </row>
    <row r="19" spans="1:6" ht="14.25" customHeight="1" x14ac:dyDescent="0.35">
      <c r="A19" t="s">
        <v>239</v>
      </c>
      <c r="C19" s="53">
        <v>887</v>
      </c>
      <c r="D19" s="55">
        <f>C19*1.05</f>
        <v>931.35</v>
      </c>
    </row>
    <row r="20" spans="1:6" ht="14.25" customHeight="1" x14ac:dyDescent="0.35">
      <c r="A20" t="s">
        <v>240</v>
      </c>
      <c r="C20" s="54">
        <f>291.2*$J$6*0.65</f>
        <v>219.56479999999999</v>
      </c>
      <c r="D20" s="55">
        <f>C20*1.05</f>
        <v>230.54303999999999</v>
      </c>
    </row>
    <row r="21" spans="1:6" ht="14.25" customHeight="1" x14ac:dyDescent="0.35">
      <c r="A21" s="2" t="s">
        <v>241</v>
      </c>
    </row>
    <row r="23" spans="1:6" ht="14.25" customHeight="1" x14ac:dyDescent="0.35">
      <c r="A23" s="31" t="s">
        <v>266</v>
      </c>
    </row>
    <row r="24" spans="1:6" ht="26.25" customHeight="1" x14ac:dyDescent="0.35">
      <c r="C24" s="4" t="s">
        <v>142</v>
      </c>
      <c r="D24" s="4" t="s">
        <v>143</v>
      </c>
      <c r="E24" s="4" t="s">
        <v>144</v>
      </c>
    </row>
    <row r="25" spans="1:6" ht="14.25" customHeight="1" x14ac:dyDescent="0.35">
      <c r="A25" t="s">
        <v>155</v>
      </c>
      <c r="C25" s="10">
        <f>C9*$C$17+C10*$C$18+C11*$C$19+C12*$C$20</f>
        <v>862146.04799999995</v>
      </c>
      <c r="D25" s="10">
        <f>D9*$C$17+D10*$C$18+D11*$C$19+D12*$C$20</f>
        <v>915590.70240000007</v>
      </c>
      <c r="E25" s="10">
        <f>E9*$D$17+E10*$D$18+E11*$D$19+E12*$D$20</f>
        <v>1232550.8731200001</v>
      </c>
    </row>
    <row r="26" spans="1:6" ht="14.25" customHeight="1" x14ac:dyDescent="0.35">
      <c r="A26" t="s">
        <v>156</v>
      </c>
      <c r="C26" s="56">
        <v>1222521.52621351</v>
      </c>
      <c r="D26" s="56">
        <v>1116861.5360419599</v>
      </c>
      <c r="E26" s="56">
        <v>1267443.3500000001</v>
      </c>
      <c r="F26" s="2" t="s">
        <v>157</v>
      </c>
    </row>
    <row r="27" spans="1:6" ht="14.25" customHeight="1" x14ac:dyDescent="0.35">
      <c r="A27" t="s">
        <v>158</v>
      </c>
      <c r="C27" s="29">
        <f>C26/C25</f>
        <v>1.4179981791362455</v>
      </c>
      <c r="D27" s="29">
        <f>D26/D25</f>
        <v>1.2198262095872936</v>
      </c>
      <c r="E27" s="29">
        <f>E26/E25</f>
        <v>1.0283091575698415</v>
      </c>
    </row>
    <row r="28" spans="1:6" ht="14.25" customHeight="1" x14ac:dyDescent="0.35">
      <c r="A28" t="s">
        <v>159</v>
      </c>
      <c r="C28" s="57">
        <v>0</v>
      </c>
      <c r="D28" s="57">
        <v>0</v>
      </c>
      <c r="E28" s="57">
        <v>1.7999999999999999E-2</v>
      </c>
    </row>
    <row r="29" spans="1:6" ht="14.25" customHeight="1" x14ac:dyDescent="0.35">
      <c r="A29" t="s">
        <v>160</v>
      </c>
      <c r="C29" s="10">
        <f>C25*C28</f>
        <v>0</v>
      </c>
      <c r="D29" s="10">
        <f>D25*D28</f>
        <v>0</v>
      </c>
      <c r="E29" s="30">
        <f>E25*E28</f>
        <v>22185.915716160001</v>
      </c>
    </row>
    <row r="30" spans="1:6" ht="14.25" customHeight="1" x14ac:dyDescent="0.35">
      <c r="A30" s="9" t="s">
        <v>161</v>
      </c>
      <c r="C30" s="13">
        <f>C26+C29</f>
        <v>1222521.52621351</v>
      </c>
      <c r="D30" s="13">
        <f>D26+D29</f>
        <v>1116861.5360419599</v>
      </c>
      <c r="E30" s="22">
        <f>E26+E29</f>
        <v>1289629.2657161602</v>
      </c>
    </row>
    <row r="31" spans="1:6" ht="14.25" customHeight="1" x14ac:dyDescent="0.35">
      <c r="A31" t="s">
        <v>162</v>
      </c>
      <c r="C31" s="11">
        <f>C30/C25</f>
        <v>1.4179981791362455</v>
      </c>
      <c r="D31" s="11">
        <f>D30/D25</f>
        <v>1.2198262095872936</v>
      </c>
      <c r="E31" s="11">
        <f>E30/E25</f>
        <v>1.0463091575698418</v>
      </c>
    </row>
    <row r="32" spans="1:6" ht="14.25" customHeight="1" x14ac:dyDescent="0.35">
      <c r="A32" s="2" t="s">
        <v>267</v>
      </c>
    </row>
    <row r="34" spans="1:6" ht="14.25" customHeight="1" x14ac:dyDescent="0.35">
      <c r="A34" s="58" t="s">
        <v>268</v>
      </c>
    </row>
    <row r="35" spans="1:6" ht="26.25" customHeight="1" x14ac:dyDescent="0.35">
      <c r="C35" s="4" t="s">
        <v>142</v>
      </c>
      <c r="D35" s="4" t="s">
        <v>143</v>
      </c>
      <c r="E35" s="4" t="s">
        <v>144</v>
      </c>
    </row>
    <row r="36" spans="1:6" ht="14.25" customHeight="1" x14ac:dyDescent="0.35">
      <c r="A36" t="s">
        <v>165</v>
      </c>
      <c r="C36" s="56">
        <v>2687539</v>
      </c>
      <c r="D36" s="56">
        <v>2833637</v>
      </c>
      <c r="F36" s="2" t="s">
        <v>166</v>
      </c>
    </row>
    <row r="37" spans="1:6" ht="14.25" customHeight="1" x14ac:dyDescent="0.35">
      <c r="A37" t="s">
        <v>167</v>
      </c>
      <c r="B37" s="59">
        <v>0.35</v>
      </c>
      <c r="C37" s="60"/>
      <c r="D37" s="60"/>
    </row>
    <row r="38" spans="1:6" ht="14.25" customHeight="1" x14ac:dyDescent="0.35">
      <c r="A38" t="s">
        <v>168</v>
      </c>
      <c r="E38" s="61">
        <f>-E29/(B37-1)</f>
        <v>34132.17802486154</v>
      </c>
    </row>
    <row r="39" spans="1:6" ht="14.25" customHeight="1" x14ac:dyDescent="0.35">
      <c r="A39" s="9" t="s">
        <v>169</v>
      </c>
      <c r="E39" s="62">
        <f>IF(OR(D36="",D36="no KPI data"),"no KPI data",D36+E38)</f>
        <v>2867769.1780248615</v>
      </c>
    </row>
    <row r="40" spans="1:6" ht="42" customHeight="1" x14ac:dyDescent="0.35">
      <c r="A40" s="63" t="s">
        <v>170</v>
      </c>
    </row>
    <row r="43" spans="1:6" ht="14.25" customHeight="1" x14ac:dyDescent="0.35">
      <c r="A43" s="31" t="s">
        <v>171</v>
      </c>
    </row>
    <row r="44" spans="1:6" ht="22.5" customHeight="1" x14ac:dyDescent="0.35">
      <c r="A44" s="14" t="s">
        <v>246</v>
      </c>
    </row>
    <row r="45" spans="1:6" ht="33.75" customHeight="1" x14ac:dyDescent="0.35">
      <c r="A45" s="14" t="s">
        <v>269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5"/>
  <sheetViews>
    <sheetView showGridLines="0" zoomScaleNormal="100" workbookViewId="0"/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270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271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230</v>
      </c>
      <c r="C9" s="51">
        <v>43</v>
      </c>
      <c r="D9" s="51">
        <v>37</v>
      </c>
      <c r="E9" s="51">
        <v>56</v>
      </c>
    </row>
    <row r="10" spans="1:10" ht="14.25" customHeight="1" x14ac:dyDescent="0.35">
      <c r="A10" t="s">
        <v>231</v>
      </c>
      <c r="C10" s="51">
        <v>0</v>
      </c>
      <c r="D10" s="51">
        <v>0</v>
      </c>
      <c r="E10" s="51">
        <v>5</v>
      </c>
    </row>
    <row r="11" spans="1:10" ht="14.25" customHeight="1" x14ac:dyDescent="0.35">
      <c r="A11" t="s">
        <v>232</v>
      </c>
      <c r="C11" s="51">
        <v>0</v>
      </c>
      <c r="D11" s="51">
        <v>0</v>
      </c>
      <c r="E11" s="51">
        <v>0</v>
      </c>
    </row>
    <row r="12" spans="1:10" ht="14.25" customHeight="1" x14ac:dyDescent="0.35">
      <c r="A12" t="s">
        <v>233</v>
      </c>
      <c r="C12" s="51">
        <v>3075</v>
      </c>
      <c r="D12" s="51">
        <v>3705</v>
      </c>
      <c r="E12" s="51">
        <v>4224</v>
      </c>
    </row>
    <row r="13" spans="1:10" ht="14.25" customHeight="1" x14ac:dyDescent="0.35">
      <c r="A13" s="9" t="s">
        <v>145</v>
      </c>
      <c r="C13" s="13">
        <f>SUM(C9:C12)</f>
        <v>3118</v>
      </c>
      <c r="D13" s="13">
        <f>SUM(D9:D12)</f>
        <v>3742</v>
      </c>
      <c r="E13" s="13">
        <f>SUM(E9:E12)</f>
        <v>4285</v>
      </c>
    </row>
    <row r="14" spans="1:10" ht="14.25" customHeight="1" x14ac:dyDescent="0.35">
      <c r="A14" s="2" t="s">
        <v>272</v>
      </c>
    </row>
    <row r="16" spans="1:10" ht="14.25" customHeight="1" x14ac:dyDescent="0.35">
      <c r="A16" s="31" t="s">
        <v>235</v>
      </c>
      <c r="C16" s="52" t="s">
        <v>236</v>
      </c>
      <c r="D16" s="52" t="s">
        <v>150</v>
      </c>
    </row>
    <row r="17" spans="1:6" ht="14.25" customHeight="1" x14ac:dyDescent="0.35">
      <c r="A17" t="s">
        <v>237</v>
      </c>
      <c r="C17" s="53">
        <v>739</v>
      </c>
      <c r="D17" s="55">
        <f>C17*1.05</f>
        <v>775.95</v>
      </c>
    </row>
    <row r="18" spans="1:6" ht="14.25" customHeight="1" x14ac:dyDescent="0.35">
      <c r="A18" t="s">
        <v>238</v>
      </c>
      <c r="C18" s="53">
        <v>887</v>
      </c>
      <c r="D18" s="55">
        <f>C18*1.05</f>
        <v>931.35</v>
      </c>
    </row>
    <row r="19" spans="1:6" ht="14.25" customHeight="1" x14ac:dyDescent="0.35">
      <c r="A19" t="s">
        <v>239</v>
      </c>
      <c r="C19" s="53">
        <v>887</v>
      </c>
      <c r="D19" s="55">
        <f>C19*1.05</f>
        <v>931.35</v>
      </c>
    </row>
    <row r="20" spans="1:6" ht="14.25" customHeight="1" x14ac:dyDescent="0.35">
      <c r="A20" t="s">
        <v>240</v>
      </c>
      <c r="C20" s="54">
        <f>291.2*$J$6*0.65</f>
        <v>219.56479999999999</v>
      </c>
      <c r="D20" s="55">
        <f>C20*1.05</f>
        <v>230.54303999999999</v>
      </c>
    </row>
    <row r="21" spans="1:6" ht="14.25" customHeight="1" x14ac:dyDescent="0.35">
      <c r="A21" s="2" t="s">
        <v>241</v>
      </c>
    </row>
    <row r="23" spans="1:6" ht="14.25" customHeight="1" x14ac:dyDescent="0.35">
      <c r="A23" s="31" t="s">
        <v>273</v>
      </c>
    </row>
    <row r="24" spans="1:6" ht="26.25" customHeight="1" x14ac:dyDescent="0.35">
      <c r="C24" s="4" t="s">
        <v>142</v>
      </c>
      <c r="D24" s="4" t="s">
        <v>143</v>
      </c>
      <c r="E24" s="4" t="s">
        <v>144</v>
      </c>
    </row>
    <row r="25" spans="1:6" ht="14.25" customHeight="1" x14ac:dyDescent="0.35">
      <c r="A25" t="s">
        <v>155</v>
      </c>
      <c r="C25" s="10">
        <f>C9*$C$17+C10*$C$18+C11*$C$19+C12*$C$20</f>
        <v>706938.76</v>
      </c>
      <c r="D25" s="10">
        <f>D9*$C$17+D10*$C$18+D11*$C$19+D12*$C$20</f>
        <v>840830.58399999992</v>
      </c>
      <c r="E25" s="10">
        <f>E9*$D$17+E10*$D$18+E11*$D$19+E12*$D$20</f>
        <v>1021923.7509599999</v>
      </c>
    </row>
    <row r="26" spans="1:6" ht="14.25" customHeight="1" x14ac:dyDescent="0.35">
      <c r="A26" t="s">
        <v>156</v>
      </c>
      <c r="C26" s="56">
        <v>460697.41980638797</v>
      </c>
      <c r="D26" s="56">
        <v>460633.71570300998</v>
      </c>
      <c r="E26" s="56">
        <v>574400</v>
      </c>
      <c r="F26" s="2" t="s">
        <v>157</v>
      </c>
    </row>
    <row r="27" spans="1:6" ht="14.25" customHeight="1" x14ac:dyDescent="0.35">
      <c r="A27" t="s">
        <v>158</v>
      </c>
      <c r="C27" s="29">
        <f>C26/C25</f>
        <v>0.65167938988999274</v>
      </c>
      <c r="D27" s="29">
        <f>D26/D25</f>
        <v>0.54783178022816781</v>
      </c>
      <c r="E27" s="29">
        <f>E26/E25</f>
        <v>0.56207716031690824</v>
      </c>
    </row>
    <row r="28" spans="1:6" ht="14.25" customHeight="1" x14ac:dyDescent="0.35">
      <c r="A28" t="s">
        <v>159</v>
      </c>
      <c r="C28" s="57">
        <v>0</v>
      </c>
      <c r="D28" s="57">
        <v>0</v>
      </c>
      <c r="E28" s="57">
        <v>1.7999999999999999E-2</v>
      </c>
    </row>
    <row r="29" spans="1:6" ht="14.25" customHeight="1" x14ac:dyDescent="0.35">
      <c r="A29" t="s">
        <v>160</v>
      </c>
      <c r="C29" s="10">
        <f>C25*C28</f>
        <v>0</v>
      </c>
      <c r="D29" s="10">
        <f>D25*D28</f>
        <v>0</v>
      </c>
      <c r="E29" s="30">
        <f>E25*E28</f>
        <v>18394.627517279998</v>
      </c>
    </row>
    <row r="30" spans="1:6" ht="14.25" customHeight="1" x14ac:dyDescent="0.35">
      <c r="A30" s="9" t="s">
        <v>161</v>
      </c>
      <c r="C30" s="13">
        <f>C26+C29</f>
        <v>460697.41980638797</v>
      </c>
      <c r="D30" s="13">
        <f>D26+D29</f>
        <v>460633.71570300998</v>
      </c>
      <c r="E30" s="22">
        <f>E26+E29</f>
        <v>592794.62751728005</v>
      </c>
    </row>
    <row r="31" spans="1:6" ht="14.25" customHeight="1" x14ac:dyDescent="0.35">
      <c r="A31" t="s">
        <v>162</v>
      </c>
      <c r="C31" s="11">
        <f>C30/C25</f>
        <v>0.65167938988999274</v>
      </c>
      <c r="D31" s="11">
        <f>D30/D25</f>
        <v>0.54783178022816781</v>
      </c>
      <c r="E31" s="11">
        <f>E30/E25</f>
        <v>0.58007716031690826</v>
      </c>
    </row>
    <row r="32" spans="1:6" ht="14.25" customHeight="1" x14ac:dyDescent="0.35">
      <c r="A32" s="2" t="s">
        <v>274</v>
      </c>
    </row>
    <row r="34" spans="1:6" ht="14.25" customHeight="1" x14ac:dyDescent="0.35">
      <c r="A34" s="58" t="s">
        <v>275</v>
      </c>
    </row>
    <row r="35" spans="1:6" ht="26.25" customHeight="1" x14ac:dyDescent="0.35">
      <c r="C35" s="4" t="s">
        <v>142</v>
      </c>
      <c r="D35" s="4" t="s">
        <v>143</v>
      </c>
      <c r="E35" s="4" t="s">
        <v>144</v>
      </c>
    </row>
    <row r="36" spans="1:6" ht="14.25" customHeight="1" x14ac:dyDescent="0.35">
      <c r="A36" t="s">
        <v>165</v>
      </c>
      <c r="C36" s="56">
        <v>515115</v>
      </c>
      <c r="D36" s="56"/>
      <c r="F36" s="64" t="s">
        <v>276</v>
      </c>
    </row>
    <row r="37" spans="1:6" ht="14.25" customHeight="1" x14ac:dyDescent="0.35">
      <c r="A37" t="s">
        <v>167</v>
      </c>
      <c r="B37" s="59">
        <v>0.35</v>
      </c>
      <c r="C37" s="60"/>
      <c r="D37" s="60"/>
    </row>
    <row r="38" spans="1:6" ht="14.25" customHeight="1" x14ac:dyDescent="0.35">
      <c r="A38" t="s">
        <v>168</v>
      </c>
      <c r="E38" s="61">
        <f>-E29/(B37-1)</f>
        <v>28299.426949661534</v>
      </c>
    </row>
    <row r="39" spans="1:6" ht="14.25" customHeight="1" x14ac:dyDescent="0.35">
      <c r="A39" s="9" t="s">
        <v>169</v>
      </c>
      <c r="E39" s="62" t="str">
        <f>IF(OR(D36="",D36="no KPI data"),"no KPI data",D36+E38)</f>
        <v>no KPI data</v>
      </c>
    </row>
    <row r="40" spans="1:6" ht="42" customHeight="1" x14ac:dyDescent="0.35">
      <c r="A40" s="63" t="s">
        <v>170</v>
      </c>
    </row>
    <row r="43" spans="1:6" ht="14.25" customHeight="1" x14ac:dyDescent="0.35">
      <c r="A43" s="31" t="s">
        <v>171</v>
      </c>
    </row>
    <row r="44" spans="1:6" ht="22.5" customHeight="1" x14ac:dyDescent="0.35">
      <c r="A44" s="14" t="s">
        <v>246</v>
      </c>
    </row>
    <row r="45" spans="1:6" ht="33.75" customHeight="1" x14ac:dyDescent="0.35">
      <c r="A45" s="14" t="s">
        <v>277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4"/>
  <sheetViews>
    <sheetView showGridLines="0" zoomScaleNormal="100" workbookViewId="0"/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278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279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230</v>
      </c>
      <c r="C9" s="51">
        <v>213</v>
      </c>
      <c r="D9" s="51">
        <v>203</v>
      </c>
      <c r="E9" s="51">
        <v>227</v>
      </c>
    </row>
    <row r="10" spans="1:10" ht="14.25" customHeight="1" x14ac:dyDescent="0.35">
      <c r="A10" t="s">
        <v>231</v>
      </c>
      <c r="C10" s="51">
        <v>0</v>
      </c>
      <c r="D10" s="51">
        <v>0</v>
      </c>
      <c r="E10" s="51">
        <v>5</v>
      </c>
    </row>
    <row r="11" spans="1:10" ht="14.25" customHeight="1" x14ac:dyDescent="0.35">
      <c r="A11" t="s">
        <v>232</v>
      </c>
      <c r="C11" s="51">
        <v>0</v>
      </c>
      <c r="D11" s="51">
        <v>0</v>
      </c>
      <c r="E11" s="51">
        <v>0</v>
      </c>
    </row>
    <row r="12" spans="1:10" ht="14.25" customHeight="1" x14ac:dyDescent="0.35">
      <c r="A12" t="s">
        <v>233</v>
      </c>
      <c r="C12" s="51">
        <v>1859</v>
      </c>
      <c r="D12" s="51">
        <v>2105</v>
      </c>
      <c r="E12" s="51">
        <v>2402</v>
      </c>
    </row>
    <row r="13" spans="1:10" ht="14.25" customHeight="1" x14ac:dyDescent="0.35">
      <c r="A13" s="9" t="s">
        <v>145</v>
      </c>
      <c r="C13" s="13">
        <f>SUM(C9:C12)</f>
        <v>2072</v>
      </c>
      <c r="D13" s="13">
        <f>SUM(D9:D12)</f>
        <v>2308</v>
      </c>
      <c r="E13" s="13">
        <f>SUM(E9:E12)</f>
        <v>2634</v>
      </c>
    </row>
    <row r="14" spans="1:10" ht="14.25" customHeight="1" x14ac:dyDescent="0.35">
      <c r="A14" s="2" t="s">
        <v>280</v>
      </c>
    </row>
    <row r="16" spans="1:10" ht="14.25" customHeight="1" x14ac:dyDescent="0.35">
      <c r="A16" s="31" t="s">
        <v>235</v>
      </c>
      <c r="C16" s="52" t="s">
        <v>236</v>
      </c>
      <c r="D16" s="52" t="s">
        <v>150</v>
      </c>
    </row>
    <row r="17" spans="1:6" ht="14.25" customHeight="1" x14ac:dyDescent="0.35">
      <c r="A17" t="s">
        <v>237</v>
      </c>
      <c r="C17" s="53">
        <v>739</v>
      </c>
      <c r="D17" s="55">
        <f>C17*1.05</f>
        <v>775.95</v>
      </c>
    </row>
    <row r="18" spans="1:6" ht="14.25" customHeight="1" x14ac:dyDescent="0.35">
      <c r="A18" t="s">
        <v>238</v>
      </c>
      <c r="C18" s="53">
        <v>887</v>
      </c>
      <c r="D18" s="55">
        <f>C18*1.05</f>
        <v>931.35</v>
      </c>
    </row>
    <row r="19" spans="1:6" ht="14.25" customHeight="1" x14ac:dyDescent="0.35">
      <c r="A19" t="s">
        <v>239</v>
      </c>
      <c r="C19" s="53">
        <v>887</v>
      </c>
      <c r="D19" s="55">
        <f>C19*1.05</f>
        <v>931.35</v>
      </c>
    </row>
    <row r="20" spans="1:6" ht="14.25" customHeight="1" x14ac:dyDescent="0.35">
      <c r="A20" t="s">
        <v>240</v>
      </c>
      <c r="C20" s="54">
        <f>291.2*$J$6*0.65</f>
        <v>219.56479999999999</v>
      </c>
      <c r="D20" s="55">
        <f>C20*1.05</f>
        <v>230.54303999999999</v>
      </c>
    </row>
    <row r="21" spans="1:6" ht="14.25" customHeight="1" x14ac:dyDescent="0.35">
      <c r="A21" s="2" t="s">
        <v>241</v>
      </c>
    </row>
    <row r="23" spans="1:6" ht="14.25" customHeight="1" x14ac:dyDescent="0.35">
      <c r="A23" s="31" t="s">
        <v>281</v>
      </c>
    </row>
    <row r="24" spans="1:6" ht="26.25" customHeight="1" x14ac:dyDescent="0.35">
      <c r="C24" s="4" t="s">
        <v>142</v>
      </c>
      <c r="D24" s="4" t="s">
        <v>143</v>
      </c>
      <c r="E24" s="4" t="s">
        <v>144</v>
      </c>
    </row>
    <row r="25" spans="1:6" ht="14.25" customHeight="1" x14ac:dyDescent="0.35">
      <c r="A25" t="s">
        <v>155</v>
      </c>
      <c r="C25" s="10">
        <f>C9*$C$17+C10*$C$18+C11*$C$19+C12*$C$20</f>
        <v>565577.9632</v>
      </c>
      <c r="D25" s="10">
        <f>D9*$C$17+D10*$C$18+D11*$C$19+D12*$C$20</f>
        <v>612200.90399999998</v>
      </c>
      <c r="E25" s="10">
        <f>E9*$D$17+E10*$D$18+E11*$D$19+E12*$D$20</f>
        <v>734561.78208000003</v>
      </c>
    </row>
    <row r="26" spans="1:6" ht="14.25" customHeight="1" x14ac:dyDescent="0.35">
      <c r="A26" t="s">
        <v>156</v>
      </c>
      <c r="C26" s="56">
        <v>395930.56259947998</v>
      </c>
      <c r="D26" s="56">
        <v>401755.06118459901</v>
      </c>
      <c r="E26" s="56">
        <v>539600</v>
      </c>
      <c r="F26" s="2" t="s">
        <v>157</v>
      </c>
    </row>
    <row r="27" spans="1:6" ht="14.25" customHeight="1" x14ac:dyDescent="0.35">
      <c r="A27" t="s">
        <v>158</v>
      </c>
      <c r="C27" s="29">
        <f>C26/C25</f>
        <v>0.70004595009206683</v>
      </c>
      <c r="D27" s="29">
        <f>D26/D25</f>
        <v>0.65624708908400931</v>
      </c>
      <c r="E27" s="29">
        <f>E26/E25</f>
        <v>0.73458763192397203</v>
      </c>
    </row>
    <row r="28" spans="1:6" ht="14.25" customHeight="1" x14ac:dyDescent="0.35">
      <c r="A28" t="s">
        <v>159</v>
      </c>
      <c r="C28" s="57">
        <v>0</v>
      </c>
      <c r="D28" s="57">
        <v>0</v>
      </c>
      <c r="E28" s="57">
        <v>1.7999999999999999E-2</v>
      </c>
    </row>
    <row r="29" spans="1:6" ht="14.25" customHeight="1" x14ac:dyDescent="0.35">
      <c r="A29" t="s">
        <v>160</v>
      </c>
      <c r="C29" s="10">
        <f>C25*C28</f>
        <v>0</v>
      </c>
      <c r="D29" s="10">
        <f>D25*D28</f>
        <v>0</v>
      </c>
      <c r="E29" s="30">
        <f>E25*E28</f>
        <v>13222.112077439999</v>
      </c>
    </row>
    <row r="30" spans="1:6" ht="14.25" customHeight="1" x14ac:dyDescent="0.35">
      <c r="A30" s="9" t="s">
        <v>161</v>
      </c>
      <c r="C30" s="13">
        <f>C26+C29</f>
        <v>395930.56259947998</v>
      </c>
      <c r="D30" s="13">
        <f>D26+D29</f>
        <v>401755.06118459901</v>
      </c>
      <c r="E30" s="22">
        <f>E26+E29</f>
        <v>552822.11207744002</v>
      </c>
    </row>
    <row r="31" spans="1:6" ht="14.25" customHeight="1" x14ac:dyDescent="0.35">
      <c r="A31" t="s">
        <v>162</v>
      </c>
      <c r="C31" s="11">
        <f>C30/C25</f>
        <v>0.70004595009206683</v>
      </c>
      <c r="D31" s="11">
        <f>D30/D25</f>
        <v>0.65624708908400931</v>
      </c>
      <c r="E31" s="11">
        <f>E30/E25</f>
        <v>0.75258763192397204</v>
      </c>
    </row>
    <row r="32" spans="1:6" ht="14.25" customHeight="1" x14ac:dyDescent="0.35">
      <c r="A32" s="2" t="s">
        <v>282</v>
      </c>
    </row>
    <row r="34" spans="1:6" ht="14.25" customHeight="1" x14ac:dyDescent="0.35">
      <c r="A34" s="58" t="s">
        <v>283</v>
      </c>
    </row>
    <row r="35" spans="1:6" ht="26.25" customHeight="1" x14ac:dyDescent="0.35">
      <c r="C35" s="4" t="s">
        <v>142</v>
      </c>
      <c r="D35" s="4" t="s">
        <v>143</v>
      </c>
      <c r="E35" s="4" t="s">
        <v>144</v>
      </c>
    </row>
    <row r="36" spans="1:6" ht="14.25" customHeight="1" x14ac:dyDescent="0.35">
      <c r="A36" t="s">
        <v>165</v>
      </c>
      <c r="C36" s="56"/>
      <c r="D36" s="56"/>
      <c r="F36" s="64" t="s">
        <v>179</v>
      </c>
    </row>
    <row r="37" spans="1:6" ht="14.25" customHeight="1" x14ac:dyDescent="0.35">
      <c r="A37" t="s">
        <v>167</v>
      </c>
      <c r="B37" s="59">
        <v>0.35</v>
      </c>
      <c r="C37" s="60"/>
      <c r="D37" s="60"/>
    </row>
    <row r="38" spans="1:6" ht="14.25" customHeight="1" x14ac:dyDescent="0.35">
      <c r="A38" t="s">
        <v>168</v>
      </c>
      <c r="E38" s="61">
        <f>-E29/(B37-1)</f>
        <v>20341.710888369227</v>
      </c>
    </row>
    <row r="39" spans="1:6" ht="14.25" customHeight="1" x14ac:dyDescent="0.35">
      <c r="A39" s="9" t="s">
        <v>169</v>
      </c>
      <c r="E39" s="62" t="str">
        <f>IF(OR(D36="",D36="no KPI data"),"no KPI data",D36+E38)</f>
        <v>no KPI data</v>
      </c>
    </row>
    <row r="40" spans="1:6" ht="42" customHeight="1" x14ac:dyDescent="0.35">
      <c r="A40" s="63" t="s">
        <v>170</v>
      </c>
    </row>
    <row r="43" spans="1:6" ht="14.25" customHeight="1" x14ac:dyDescent="0.35">
      <c r="A43" s="31" t="s">
        <v>171</v>
      </c>
    </row>
    <row r="44" spans="1:6" ht="22.5" customHeight="1" x14ac:dyDescent="0.35">
      <c r="A44" s="14" t="s">
        <v>246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4"/>
  <sheetViews>
    <sheetView showGridLines="0" zoomScaleNormal="100" workbookViewId="0"/>
  </sheetViews>
  <sheetFormatPr defaultColWidth="8.6328125" defaultRowHeight="14.5" x14ac:dyDescent="0.35"/>
  <cols>
    <col min="1" max="1" width="54" customWidth="1"/>
    <col min="2" max="2" width="13" customWidth="1"/>
    <col min="3" max="5" width="15" customWidth="1"/>
    <col min="6" max="6" width="14" customWidth="1"/>
    <col min="7" max="7" width="3" customWidth="1"/>
    <col min="8" max="8" width="12" customWidth="1"/>
    <col min="9" max="9" width="30" customWidth="1"/>
    <col min="10" max="10" width="8" customWidth="1"/>
  </cols>
  <sheetData>
    <row r="1" spans="1:10" ht="15.75" customHeight="1" x14ac:dyDescent="0.35">
      <c r="A1" s="1" t="s">
        <v>284</v>
      </c>
    </row>
    <row r="2" spans="1:10" ht="14.25" customHeight="1" x14ac:dyDescent="0.35">
      <c r="A2" s="2" t="s">
        <v>136</v>
      </c>
    </row>
    <row r="3" spans="1:10" ht="14.25" customHeight="1" x14ac:dyDescent="0.35">
      <c r="F3" s="9" t="s">
        <v>137</v>
      </c>
    </row>
    <row r="4" spans="1:10" ht="14.25" customHeight="1" x14ac:dyDescent="0.35">
      <c r="F4" s="48" t="s">
        <v>138</v>
      </c>
    </row>
    <row r="5" spans="1:10" ht="14.25" customHeight="1" x14ac:dyDescent="0.35">
      <c r="F5" s="49" t="s">
        <v>139</v>
      </c>
    </row>
    <row r="6" spans="1:10" ht="14.25" customHeight="1" x14ac:dyDescent="0.35">
      <c r="I6" s="2" t="s">
        <v>140</v>
      </c>
      <c r="J6" s="50">
        <v>1.1599999999999999</v>
      </c>
    </row>
    <row r="7" spans="1:10" ht="14.25" customHeight="1" x14ac:dyDescent="0.35">
      <c r="A7" s="31" t="s">
        <v>285</v>
      </c>
    </row>
    <row r="8" spans="1:10" ht="26.25" customHeight="1" x14ac:dyDescent="0.35">
      <c r="C8" s="4" t="s">
        <v>142</v>
      </c>
      <c r="D8" s="4" t="s">
        <v>143</v>
      </c>
      <c r="E8" s="4" t="s">
        <v>144</v>
      </c>
    </row>
    <row r="9" spans="1:10" ht="14.25" customHeight="1" x14ac:dyDescent="0.35">
      <c r="A9" t="s">
        <v>230</v>
      </c>
      <c r="C9" s="51">
        <v>261</v>
      </c>
      <c r="D9" s="51">
        <v>243</v>
      </c>
      <c r="E9" s="51">
        <v>260</v>
      </c>
    </row>
    <row r="10" spans="1:10" ht="14.25" customHeight="1" x14ac:dyDescent="0.35">
      <c r="A10" t="s">
        <v>231</v>
      </c>
      <c r="C10" s="51">
        <v>0</v>
      </c>
      <c r="D10" s="51">
        <v>0</v>
      </c>
      <c r="E10" s="51">
        <v>0</v>
      </c>
    </row>
    <row r="11" spans="1:10" ht="14.25" customHeight="1" x14ac:dyDescent="0.35">
      <c r="A11" t="s">
        <v>232</v>
      </c>
      <c r="C11" s="51">
        <v>0</v>
      </c>
      <c r="D11" s="51">
        <v>0</v>
      </c>
      <c r="E11" s="51">
        <v>0</v>
      </c>
    </row>
    <row r="12" spans="1:10" ht="14.25" customHeight="1" x14ac:dyDescent="0.35">
      <c r="A12" t="s">
        <v>233</v>
      </c>
      <c r="C12" s="51">
        <v>793</v>
      </c>
      <c r="D12" s="51">
        <v>797</v>
      </c>
      <c r="E12" s="51">
        <v>848</v>
      </c>
    </row>
    <row r="13" spans="1:10" ht="14.25" customHeight="1" x14ac:dyDescent="0.35">
      <c r="A13" s="9" t="s">
        <v>145</v>
      </c>
      <c r="C13" s="13">
        <f>SUM(C9:C12)</f>
        <v>1054</v>
      </c>
      <c r="D13" s="13">
        <f>SUM(D9:D12)</f>
        <v>1040</v>
      </c>
      <c r="E13" s="13">
        <f>SUM(E9:E12)</f>
        <v>1108</v>
      </c>
    </row>
    <row r="14" spans="1:10" ht="14.25" customHeight="1" x14ac:dyDescent="0.35">
      <c r="A14" s="2" t="s">
        <v>286</v>
      </c>
    </row>
    <row r="16" spans="1:10" ht="14.25" customHeight="1" x14ac:dyDescent="0.35">
      <c r="A16" s="31" t="s">
        <v>235</v>
      </c>
      <c r="C16" s="52" t="s">
        <v>236</v>
      </c>
      <c r="D16" s="52" t="s">
        <v>150</v>
      </c>
    </row>
    <row r="17" spans="1:6" ht="14.25" customHeight="1" x14ac:dyDescent="0.35">
      <c r="A17" t="s">
        <v>237</v>
      </c>
      <c r="C17" s="53">
        <v>739</v>
      </c>
      <c r="D17" s="55">
        <f>C17*1.05</f>
        <v>775.95</v>
      </c>
    </row>
    <row r="18" spans="1:6" ht="14.25" customHeight="1" x14ac:dyDescent="0.35">
      <c r="A18" t="s">
        <v>238</v>
      </c>
      <c r="C18" s="53">
        <v>887</v>
      </c>
      <c r="D18" s="55">
        <f>C18*1.05</f>
        <v>931.35</v>
      </c>
    </row>
    <row r="19" spans="1:6" ht="14.25" customHeight="1" x14ac:dyDescent="0.35">
      <c r="A19" t="s">
        <v>239</v>
      </c>
      <c r="C19" s="53">
        <v>887</v>
      </c>
      <c r="D19" s="55">
        <f>C19*1.05</f>
        <v>931.35</v>
      </c>
    </row>
    <row r="20" spans="1:6" ht="14.25" customHeight="1" x14ac:dyDescent="0.35">
      <c r="A20" t="s">
        <v>240</v>
      </c>
      <c r="C20" s="54">
        <f>291.2*$J$6*0.65</f>
        <v>219.56479999999999</v>
      </c>
      <c r="D20" s="55">
        <f>C20*1.05</f>
        <v>230.54303999999999</v>
      </c>
    </row>
    <row r="21" spans="1:6" ht="14.25" customHeight="1" x14ac:dyDescent="0.35">
      <c r="A21" s="2" t="s">
        <v>241</v>
      </c>
    </row>
    <row r="23" spans="1:6" ht="14.25" customHeight="1" x14ac:dyDescent="0.35">
      <c r="A23" s="31" t="s">
        <v>287</v>
      </c>
    </row>
    <row r="24" spans="1:6" ht="26.25" customHeight="1" x14ac:dyDescent="0.35">
      <c r="C24" s="4" t="s">
        <v>142</v>
      </c>
      <c r="D24" s="4" t="s">
        <v>143</v>
      </c>
      <c r="E24" s="4" t="s">
        <v>144</v>
      </c>
    </row>
    <row r="25" spans="1:6" ht="14.25" customHeight="1" x14ac:dyDescent="0.35">
      <c r="A25" t="s">
        <v>155</v>
      </c>
      <c r="C25" s="10">
        <f>C9*$C$17+C10*$C$18+C11*$C$19+C12*$C$20</f>
        <v>366993.88639999996</v>
      </c>
      <c r="D25" s="10">
        <f>D9*$C$17+D10*$C$18+D11*$C$19+D12*$C$20</f>
        <v>354570.14559999999</v>
      </c>
      <c r="E25" s="10">
        <f>E9*$D$17+E10*$D$18+E11*$D$19+E12*$D$20</f>
        <v>397247.49791999999</v>
      </c>
    </row>
    <row r="26" spans="1:6" ht="14.25" customHeight="1" x14ac:dyDescent="0.35">
      <c r="A26" t="s">
        <v>156</v>
      </c>
      <c r="C26" s="56">
        <v>208360.364530302</v>
      </c>
      <c r="D26" s="56">
        <v>197021.68672897201</v>
      </c>
      <c r="E26" s="56">
        <v>233100</v>
      </c>
      <c r="F26" s="2" t="s">
        <v>157</v>
      </c>
    </row>
    <row r="27" spans="1:6" ht="14.25" customHeight="1" x14ac:dyDescent="0.35">
      <c r="A27" t="s">
        <v>158</v>
      </c>
      <c r="C27" s="29">
        <f>C26/C25</f>
        <v>0.5677488706261512</v>
      </c>
      <c r="D27" s="29">
        <f>D26/D25</f>
        <v>0.5556634961343796</v>
      </c>
      <c r="E27" s="29">
        <f>E26/E25</f>
        <v>0.58678783685364588</v>
      </c>
    </row>
    <row r="28" spans="1:6" ht="14.25" customHeight="1" x14ac:dyDescent="0.35">
      <c r="A28" t="s">
        <v>159</v>
      </c>
      <c r="C28" s="57">
        <v>0</v>
      </c>
      <c r="D28" s="57">
        <v>0</v>
      </c>
      <c r="E28" s="57">
        <v>1.7999999999999999E-2</v>
      </c>
    </row>
    <row r="29" spans="1:6" ht="14.25" customHeight="1" x14ac:dyDescent="0.35">
      <c r="A29" t="s">
        <v>160</v>
      </c>
      <c r="C29" s="10">
        <f>C25*C28</f>
        <v>0</v>
      </c>
      <c r="D29" s="10">
        <f>D25*D28</f>
        <v>0</v>
      </c>
      <c r="E29" s="30">
        <f>E25*E28</f>
        <v>7150.4549625599993</v>
      </c>
    </row>
    <row r="30" spans="1:6" ht="14.25" customHeight="1" x14ac:dyDescent="0.35">
      <c r="A30" s="9" t="s">
        <v>161</v>
      </c>
      <c r="C30" s="13">
        <f>C26+C29</f>
        <v>208360.364530302</v>
      </c>
      <c r="D30" s="13">
        <f>D26+D29</f>
        <v>197021.68672897201</v>
      </c>
      <c r="E30" s="22">
        <f>E26+E29</f>
        <v>240250.45496256</v>
      </c>
    </row>
    <row r="31" spans="1:6" ht="14.25" customHeight="1" x14ac:dyDescent="0.35">
      <c r="A31" t="s">
        <v>162</v>
      </c>
      <c r="C31" s="11">
        <f>C30/C25</f>
        <v>0.5677488706261512</v>
      </c>
      <c r="D31" s="11">
        <f>D30/D25</f>
        <v>0.5556634961343796</v>
      </c>
      <c r="E31" s="11">
        <f>E30/E25</f>
        <v>0.6047878368536459</v>
      </c>
    </row>
    <row r="32" spans="1:6" ht="14.25" customHeight="1" x14ac:dyDescent="0.35">
      <c r="A32" s="2" t="s">
        <v>288</v>
      </c>
    </row>
    <row r="34" spans="1:6" ht="14.25" customHeight="1" x14ac:dyDescent="0.35">
      <c r="A34" s="58" t="s">
        <v>289</v>
      </c>
    </row>
    <row r="35" spans="1:6" ht="26.25" customHeight="1" x14ac:dyDescent="0.35">
      <c r="C35" s="4" t="s">
        <v>142</v>
      </c>
      <c r="D35" s="4" t="s">
        <v>143</v>
      </c>
      <c r="E35" s="4" t="s">
        <v>144</v>
      </c>
    </row>
    <row r="36" spans="1:6" ht="14.25" customHeight="1" x14ac:dyDescent="0.35">
      <c r="A36" t="s">
        <v>165</v>
      </c>
      <c r="C36" s="56">
        <v>555482</v>
      </c>
      <c r="D36" s="56">
        <v>553873</v>
      </c>
      <c r="F36" s="2" t="s">
        <v>166</v>
      </c>
    </row>
    <row r="37" spans="1:6" ht="14.25" customHeight="1" x14ac:dyDescent="0.35">
      <c r="A37" t="s">
        <v>167</v>
      </c>
      <c r="B37" s="59">
        <v>0.35</v>
      </c>
      <c r="C37" s="60"/>
      <c r="D37" s="60"/>
    </row>
    <row r="38" spans="1:6" ht="14.25" customHeight="1" x14ac:dyDescent="0.35">
      <c r="A38" t="s">
        <v>168</v>
      </c>
      <c r="E38" s="61">
        <f>-E29/(B37-1)</f>
        <v>11000.699942399999</v>
      </c>
    </row>
    <row r="39" spans="1:6" ht="14.25" customHeight="1" x14ac:dyDescent="0.35">
      <c r="A39" s="9" t="s">
        <v>169</v>
      </c>
      <c r="E39" s="62">
        <f>IF(OR(D36="",D36="no KPI data"),"no KPI data",D36+E38)</f>
        <v>564873.69994239998</v>
      </c>
    </row>
    <row r="40" spans="1:6" ht="42" customHeight="1" x14ac:dyDescent="0.35">
      <c r="A40" s="63" t="s">
        <v>170</v>
      </c>
    </row>
    <row r="43" spans="1:6" ht="14.25" customHeight="1" x14ac:dyDescent="0.35">
      <c r="A43" s="31" t="s">
        <v>171</v>
      </c>
    </row>
    <row r="44" spans="1:6" ht="22.5" customHeight="1" x14ac:dyDescent="0.35">
      <c r="A44" s="14" t="s">
        <v>246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28"/>
  <sheetViews>
    <sheetView showGridLines="0" zoomScaleNormal="100" workbookViewId="0"/>
  </sheetViews>
  <sheetFormatPr defaultColWidth="8.6328125" defaultRowHeight="14.5" x14ac:dyDescent="0.35"/>
  <cols>
    <col min="1" max="1" width="6" customWidth="1"/>
    <col min="2" max="19" width="15" customWidth="1"/>
  </cols>
  <sheetData>
    <row r="1" spans="1:19" ht="15.75" customHeight="1" x14ac:dyDescent="0.35">
      <c r="A1" s="1" t="s">
        <v>290</v>
      </c>
    </row>
    <row r="2" spans="1:19" ht="14.25" customHeight="1" x14ac:dyDescent="0.35">
      <c r="A2" s="2" t="s">
        <v>291</v>
      </c>
    </row>
    <row r="7" spans="1:19" ht="14.25" customHeight="1" x14ac:dyDescent="0.35">
      <c r="P7" s="56">
        <v>952037.42245729698</v>
      </c>
      <c r="S7" t="s">
        <v>83</v>
      </c>
    </row>
    <row r="8" spans="1:19" ht="14.25" customHeight="1" x14ac:dyDescent="0.35">
      <c r="O8" s="56">
        <v>210000</v>
      </c>
      <c r="P8" t="s">
        <v>292</v>
      </c>
      <c r="Q8" s="56">
        <v>-260000</v>
      </c>
      <c r="S8" s="56">
        <v>35284444.237800002</v>
      </c>
    </row>
    <row r="9" spans="1:19" ht="14.25" customHeight="1" x14ac:dyDescent="0.35">
      <c r="O9" t="s">
        <v>86</v>
      </c>
      <c r="R9" s="56">
        <v>-350000</v>
      </c>
    </row>
    <row r="10" spans="1:19" ht="14.25" customHeight="1" x14ac:dyDescent="0.35">
      <c r="N10" s="56">
        <v>378908</v>
      </c>
      <c r="Q10" t="s">
        <v>87</v>
      </c>
      <c r="S10" s="56">
        <v>35284444.237800002</v>
      </c>
    </row>
    <row r="11" spans="1:19" ht="14.25" customHeight="1" x14ac:dyDescent="0.35">
      <c r="K11" s="56">
        <v>93000</v>
      </c>
      <c r="N11" t="s">
        <v>88</v>
      </c>
      <c r="R11" t="s">
        <v>89</v>
      </c>
    </row>
    <row r="12" spans="1:19" ht="14.25" customHeight="1" x14ac:dyDescent="0.35">
      <c r="M12" s="56">
        <v>55000</v>
      </c>
    </row>
    <row r="13" spans="1:19" ht="14.25" customHeight="1" x14ac:dyDescent="0.35">
      <c r="J13" s="56">
        <v>280000</v>
      </c>
      <c r="K13" t="s">
        <v>91</v>
      </c>
      <c r="M13" t="s">
        <v>92</v>
      </c>
      <c r="N13" t="s">
        <v>93</v>
      </c>
    </row>
    <row r="14" spans="1:19" ht="14.25" customHeight="1" x14ac:dyDescent="0.35">
      <c r="H14" s="56">
        <v>46000</v>
      </c>
      <c r="I14" s="56">
        <v>11940</v>
      </c>
      <c r="J14" t="s">
        <v>95</v>
      </c>
      <c r="M14" t="s">
        <v>96</v>
      </c>
      <c r="N14" t="s">
        <v>97</v>
      </c>
    </row>
    <row r="15" spans="1:19" ht="14.25" customHeight="1" x14ac:dyDescent="0.35">
      <c r="G15" s="56">
        <v>75000</v>
      </c>
      <c r="H15" t="s">
        <v>98</v>
      </c>
      <c r="I15" t="s">
        <v>99</v>
      </c>
      <c r="N15" t="s">
        <v>100</v>
      </c>
    </row>
    <row r="16" spans="1:19" ht="14.25" customHeight="1" x14ac:dyDescent="0.35">
      <c r="F16" s="56">
        <v>60000</v>
      </c>
      <c r="G16" t="s">
        <v>102</v>
      </c>
      <c r="H16" t="s">
        <v>103</v>
      </c>
      <c r="I16" t="s">
        <v>104</v>
      </c>
      <c r="N16" t="s">
        <v>105</v>
      </c>
    </row>
    <row r="17" spans="3:19" ht="14.25" customHeight="1" x14ac:dyDescent="0.35">
      <c r="E17" s="56">
        <v>96664.1975427</v>
      </c>
      <c r="F17" t="s">
        <v>107</v>
      </c>
      <c r="H17" t="s">
        <v>108</v>
      </c>
      <c r="I17" t="s">
        <v>109</v>
      </c>
      <c r="N17" t="s">
        <v>105</v>
      </c>
    </row>
    <row r="18" spans="3:19" ht="14.25" customHeight="1" x14ac:dyDescent="0.35">
      <c r="D18" s="56">
        <v>691851.84780000197</v>
      </c>
      <c r="E18" t="s">
        <v>111</v>
      </c>
      <c r="H18" t="s">
        <v>112</v>
      </c>
      <c r="I18" t="s">
        <v>113</v>
      </c>
    </row>
    <row r="19" spans="3:19" ht="14.25" customHeight="1" x14ac:dyDescent="0.35">
      <c r="C19" s="56">
        <v>32944042.77</v>
      </c>
      <c r="D19" t="s">
        <v>115</v>
      </c>
      <c r="H19" t="s">
        <v>113</v>
      </c>
      <c r="I19" t="s">
        <v>112</v>
      </c>
    </row>
    <row r="20" spans="3:19" ht="14.25" customHeight="1" x14ac:dyDescent="0.35">
      <c r="H20" t="s">
        <v>117</v>
      </c>
      <c r="I20" t="s">
        <v>114</v>
      </c>
    </row>
    <row r="21" spans="3:19" ht="14.25" customHeight="1" x14ac:dyDescent="0.35">
      <c r="H21" t="s">
        <v>117</v>
      </c>
      <c r="I21" t="s">
        <v>117</v>
      </c>
    </row>
    <row r="22" spans="3:19" ht="14.25" customHeight="1" x14ac:dyDescent="0.35">
      <c r="H22" t="s">
        <v>117</v>
      </c>
      <c r="I22" t="s">
        <v>117</v>
      </c>
    </row>
    <row r="28" spans="3:19" ht="14.25" customHeight="1" x14ac:dyDescent="0.35">
      <c r="C28" t="s">
        <v>126</v>
      </c>
      <c r="S28" t="s">
        <v>127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53"/>
  <sheetViews>
    <sheetView showGridLines="0" zoomScaleNormal="100" workbookViewId="0"/>
  </sheetViews>
  <sheetFormatPr defaultColWidth="8.6328125" defaultRowHeight="14.5" x14ac:dyDescent="0.35"/>
  <cols>
    <col min="1" max="1" width="135" customWidth="1"/>
  </cols>
  <sheetData>
    <row r="1" spans="1:1" ht="15.75" customHeight="1" x14ac:dyDescent="0.35">
      <c r="A1" s="1" t="s">
        <v>293</v>
      </c>
    </row>
    <row r="2" spans="1:1" ht="14.25" customHeight="1" x14ac:dyDescent="0.35">
      <c r="A2" s="2"/>
    </row>
    <row r="3" spans="1:1" ht="14.25" customHeight="1" x14ac:dyDescent="0.35">
      <c r="A3" s="2" t="s">
        <v>294</v>
      </c>
    </row>
    <row r="4" spans="1:1" ht="14.25" customHeight="1" x14ac:dyDescent="0.35">
      <c r="A4" s="2" t="s">
        <v>295</v>
      </c>
    </row>
    <row r="5" spans="1:1" ht="14.25" customHeight="1" x14ac:dyDescent="0.35">
      <c r="A5" s="2" t="s">
        <v>296</v>
      </c>
    </row>
    <row r="6" spans="1:1" ht="14.25" customHeight="1" x14ac:dyDescent="0.35">
      <c r="A6" s="2" t="s">
        <v>297</v>
      </c>
    </row>
    <row r="7" spans="1:1" ht="14.25" customHeight="1" x14ac:dyDescent="0.35">
      <c r="A7" s="2" t="s">
        <v>298</v>
      </c>
    </row>
    <row r="8" spans="1:1" ht="14.25" customHeight="1" x14ac:dyDescent="0.35">
      <c r="A8" s="2" t="s">
        <v>299</v>
      </c>
    </row>
    <row r="9" spans="1:1" ht="14.25" customHeight="1" x14ac:dyDescent="0.35">
      <c r="A9" s="2"/>
    </row>
    <row r="10" spans="1:1" ht="14.25" customHeight="1" x14ac:dyDescent="0.35">
      <c r="A10" s="31" t="s">
        <v>300</v>
      </c>
    </row>
    <row r="11" spans="1:1" ht="14.25" customHeight="1" x14ac:dyDescent="0.35">
      <c r="A11" s="2" t="s">
        <v>301</v>
      </c>
    </row>
    <row r="12" spans="1:1" ht="14.25" customHeight="1" x14ac:dyDescent="0.35">
      <c r="A12" s="2" t="s">
        <v>302</v>
      </c>
    </row>
    <row r="13" spans="1:1" ht="14.25" customHeight="1" x14ac:dyDescent="0.35">
      <c r="A13" s="2" t="s">
        <v>303</v>
      </c>
    </row>
    <row r="14" spans="1:1" ht="14.25" customHeight="1" x14ac:dyDescent="0.35">
      <c r="A14" s="2" t="s">
        <v>304</v>
      </c>
    </row>
    <row r="15" spans="1:1" ht="14.25" customHeight="1" x14ac:dyDescent="0.35">
      <c r="A15" s="2" t="s">
        <v>305</v>
      </c>
    </row>
    <row r="16" spans="1:1" ht="14.25" customHeight="1" x14ac:dyDescent="0.35">
      <c r="A16" s="2" t="s">
        <v>306</v>
      </c>
    </row>
    <row r="17" spans="1:1" ht="14.25" customHeight="1" x14ac:dyDescent="0.35">
      <c r="A17" s="2"/>
    </row>
    <row r="18" spans="1:1" ht="14.25" customHeight="1" x14ac:dyDescent="0.35">
      <c r="A18" s="2" t="s">
        <v>307</v>
      </c>
    </row>
    <row r="19" spans="1:1" ht="14.25" customHeight="1" x14ac:dyDescent="0.35">
      <c r="A19" s="2" t="s">
        <v>308</v>
      </c>
    </row>
    <row r="20" spans="1:1" ht="14.25" customHeight="1" x14ac:dyDescent="0.35">
      <c r="A20" s="2" t="s">
        <v>309</v>
      </c>
    </row>
    <row r="21" spans="1:1" ht="14.25" customHeight="1" x14ac:dyDescent="0.35">
      <c r="A21" s="2" t="s">
        <v>310</v>
      </c>
    </row>
    <row r="22" spans="1:1" ht="14.25" customHeight="1" x14ac:dyDescent="0.35">
      <c r="A22" s="2"/>
    </row>
    <row r="23" spans="1:1" ht="14.25" customHeight="1" x14ac:dyDescent="0.35">
      <c r="A23" s="2" t="s">
        <v>311</v>
      </c>
    </row>
    <row r="26" spans="1:1" ht="14.25" customHeight="1" x14ac:dyDescent="0.35">
      <c r="A26" s="65" t="s">
        <v>312</v>
      </c>
    </row>
    <row r="27" spans="1:1" ht="14.25" customHeight="1" x14ac:dyDescent="0.35">
      <c r="A27" s="15" t="s">
        <v>313</v>
      </c>
    </row>
    <row r="28" spans="1:1" x14ac:dyDescent="0.35">
      <c r="A28" s="15" t="s">
        <v>314</v>
      </c>
    </row>
    <row r="29" spans="1:1" ht="14.25" customHeight="1" x14ac:dyDescent="0.35">
      <c r="A29" s="15"/>
    </row>
    <row r="30" spans="1:1" ht="14.25" customHeight="1" x14ac:dyDescent="0.35">
      <c r="A30" s="65" t="s">
        <v>300</v>
      </c>
    </row>
    <row r="31" spans="1:1" ht="14.25" customHeight="1" x14ac:dyDescent="0.35">
      <c r="A31" s="15" t="s">
        <v>315</v>
      </c>
    </row>
    <row r="32" spans="1:1" ht="14.25" customHeight="1" x14ac:dyDescent="0.35">
      <c r="A32" s="15" t="s">
        <v>316</v>
      </c>
    </row>
    <row r="33" spans="1:1" ht="14.25" customHeight="1" x14ac:dyDescent="0.35">
      <c r="A33" s="15" t="s">
        <v>317</v>
      </c>
    </row>
    <row r="34" spans="1:1" x14ac:dyDescent="0.35">
      <c r="A34" s="15" t="s">
        <v>318</v>
      </c>
    </row>
    <row r="35" spans="1:1" ht="14.25" customHeight="1" x14ac:dyDescent="0.35">
      <c r="A35" s="15" t="s">
        <v>319</v>
      </c>
    </row>
    <row r="36" spans="1:1" ht="14.25" customHeight="1" x14ac:dyDescent="0.35">
      <c r="A36" s="15"/>
    </row>
    <row r="37" spans="1:1" ht="14.25" customHeight="1" x14ac:dyDescent="0.35">
      <c r="A37" s="65" t="s">
        <v>320</v>
      </c>
    </row>
    <row r="38" spans="1:1" ht="14.25" customHeight="1" x14ac:dyDescent="0.35">
      <c r="A38" s="15" t="s">
        <v>321</v>
      </c>
    </row>
    <row r="39" spans="1:1" ht="14.25" customHeight="1" x14ac:dyDescent="0.35">
      <c r="A39" s="15" t="s">
        <v>322</v>
      </c>
    </row>
    <row r="40" spans="1:1" ht="14.25" customHeight="1" x14ac:dyDescent="0.35">
      <c r="A40" s="15" t="s">
        <v>323</v>
      </c>
    </row>
    <row r="41" spans="1:1" ht="14.25" customHeight="1" x14ac:dyDescent="0.35">
      <c r="A41" s="15" t="s">
        <v>324</v>
      </c>
    </row>
    <row r="42" spans="1:1" ht="14.25" customHeight="1" x14ac:dyDescent="0.35">
      <c r="A42" s="15" t="s">
        <v>325</v>
      </c>
    </row>
    <row r="43" spans="1:1" x14ac:dyDescent="0.35">
      <c r="A43" s="15" t="s">
        <v>326</v>
      </c>
    </row>
    <row r="44" spans="1:1" ht="14.25" customHeight="1" x14ac:dyDescent="0.35">
      <c r="A44" s="15"/>
    </row>
    <row r="45" spans="1:1" ht="14.25" customHeight="1" x14ac:dyDescent="0.35">
      <c r="A45" s="65" t="s">
        <v>327</v>
      </c>
    </row>
    <row r="46" spans="1:1" ht="14.25" customHeight="1" x14ac:dyDescent="0.35">
      <c r="A46" s="15" t="s">
        <v>328</v>
      </c>
    </row>
    <row r="47" spans="1:1" ht="14.25" customHeight="1" x14ac:dyDescent="0.35">
      <c r="A47" s="15"/>
    </row>
    <row r="48" spans="1:1" x14ac:dyDescent="0.35">
      <c r="A48" s="65" t="s">
        <v>329</v>
      </c>
    </row>
    <row r="49" spans="1:1" ht="14.25" customHeight="1" x14ac:dyDescent="0.35">
      <c r="A49" s="15" t="s">
        <v>330</v>
      </c>
    </row>
    <row r="50" spans="1:1" x14ac:dyDescent="0.35">
      <c r="A50" t="s">
        <v>331</v>
      </c>
    </row>
    <row r="51" spans="1:1" x14ac:dyDescent="0.35">
      <c r="A51" t="s">
        <v>332</v>
      </c>
    </row>
    <row r="53" spans="1:1" x14ac:dyDescent="0.35">
      <c r="A53" t="s">
        <v>333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Dashboard (2)</vt:lpstr>
      <vt:lpstr>Dashboard</vt:lpstr>
      <vt:lpstr>Waterfall VP</vt:lpstr>
      <vt:lpstr>IUK</vt:lpstr>
      <vt:lpstr>UMI</vt:lpstr>
      <vt:lpstr>NORWAY</vt:lpstr>
      <vt:lpstr>SWEDEN</vt:lpstr>
      <vt:lpstr>HUNGARY</vt:lpstr>
      <vt:lpstr>FINLAND</vt:lpstr>
      <vt:lpstr>ROMANIA</vt:lpstr>
      <vt:lpstr>DENMARK</vt:lpstr>
      <vt:lpstr>ICELAND</vt:lpstr>
      <vt:lpstr>GERMANY</vt:lpstr>
      <vt:lpstr>BELGIUM</vt:lpstr>
      <vt:lpstr>PORTUGAL</vt:lpstr>
      <vt:lpstr>IRELAND</vt:lpstr>
      <vt:lpstr>GREECE</vt:lpstr>
      <vt:lpstr>CYPRUS</vt:lpstr>
      <vt:lpstr>MALTA</vt:lpstr>
      <vt:lpstr>Waterfall VP (original)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Masumi Hayakawa</cp:lastModifiedBy>
  <cp:revision>0</cp:revision>
  <dcterms:created xsi:type="dcterms:W3CDTF">2026-07-17T12:24:24Z</dcterms:created>
  <dcterms:modified xsi:type="dcterms:W3CDTF">2026-10-22T10:37:39Z</dcterms:modified>
  <dc:language>en-US</dc:language>
</cp:coreProperties>
</file>